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rindi\Downloads\Load ETL\data\"/>
    </mc:Choice>
  </mc:AlternateContent>
  <xr:revisionPtr revIDLastSave="0" documentId="13_ncr:1_{BE8E5992-6AB2-4F15-ACDA-8F29F079B942}" xr6:coauthVersionLast="47" xr6:coauthVersionMax="47" xr10:uidLastSave="{00000000-0000-0000-0000-000000000000}"/>
  <bookViews>
    <workbookView xWindow="-50" yWindow="0" windowWidth="9780" windowHeight="10170" firstSheet="13" activeTab="13" xr2:uid="{648D1D1C-5CD2-4E07-B8A6-85176C28A02B}"/>
  </bookViews>
  <sheets>
    <sheet name="D3 - Administrasi Bisnis" sheetId="1" r:id="rId1"/>
    <sheet name="D4 - Akuntansi" sheetId="2" r:id="rId2"/>
    <sheet name="D4 - Administrasi Bisnis" sheetId="6" r:id="rId3"/>
    <sheet name="D3 - Akuntansi" sheetId="3" r:id="rId4"/>
    <sheet name="D4 - Akuntansi Manajemen Pemeri" sheetId="4" r:id="rId5"/>
    <sheet name="D3 - Teknik Aeronautika" sheetId="7" r:id="rId6"/>
    <sheet name="D4 - Teknik Elektronika" sheetId="5" r:id="rId7"/>
    <sheet name="D3 - Teknik Elektronika" sheetId="8" r:id="rId8"/>
    <sheet name="D4 - Teknik Informatika" sheetId="9" r:id="rId9"/>
    <sheet name="D3 - Teknik Informatika" sheetId="10" r:id="rId10"/>
    <sheet name="D3 - Teknik Kimia" sheetId="11" r:id="rId11"/>
    <sheet name="D4 - Teknik Kimia Produksi Bers" sheetId="12" r:id="rId12"/>
    <sheet name="D4 - Teknik Konservasi Energi" sheetId="13" r:id="rId13"/>
    <sheet name="D3 - Teknik Konversi Energi" sheetId="16" r:id="rId14"/>
    <sheet name="D3 - Teknik Listrik" sheetId="17" r:id="rId15"/>
    <sheet name="D3 - Teknik Mesin" sheetId="18" r:id="rId16"/>
    <sheet name="D4 - Teknik Otomasi Industri" sheetId="19" r:id="rId17"/>
    <sheet name="D3 - Teknik Pendingin Dan Tata " sheetId="20" r:id="rId18"/>
    <sheet name="D4 - Teknik Perancangan dan Kon" sheetId="22" r:id="rId19"/>
    <sheet name="D4 - Teknik Perancangan Jalan D" sheetId="23" r:id="rId20"/>
    <sheet name="D4 - Teknik Perawatan Dan Perb" sheetId="24" r:id="rId21"/>
    <sheet name="D4 - Teknik Telekomunikasi" sheetId="25" r:id="rId22"/>
    <sheet name="D3 - Teknik Telekomunikasi" sheetId="26" r:id="rId23"/>
    <sheet name="D4 - Teknologi Pembangkit Tenag" sheetId="28" r:id="rId24"/>
    <sheet name="D3 - Usaha Perjalanan Wisata" sheetId="29" r:id="rId25"/>
    <sheet name="D3 - Analis Kimia" sheetId="30" r:id="rId26"/>
    <sheet name="D3 - Bahasa Inggris" sheetId="31" r:id="rId27"/>
    <sheet name="D3 - Keuangan Dan Perbankan" sheetId="32" r:id="rId28"/>
    <sheet name="D4 - Keuangan Syariah" sheetId="33" r:id="rId29"/>
    <sheet name="D4 - Manajemen Aset" sheetId="34" r:id="rId30"/>
    <sheet name="D4 - Manajemen Pemasaran" sheetId="35" r:id="rId31"/>
    <sheet name="D3 - Manajemen Pemasaran" sheetId="36" r:id="rId32"/>
    <sheet name="D4 - Teknik Pendingin dan Tata " sheetId="21" r:id="rId33"/>
    <sheet name="D3 - Teknik Konstruksi Gedung" sheetId="14" r:id="rId34"/>
    <sheet name="D3 - Teknik Konstruksi Sipil" sheetId="15" r:id="rId35"/>
    <sheet name="D4 - Proses Manufaktur" sheetId="27" r:id="rId36"/>
    <sheet name="Sheet1" sheetId="37" r:id="rId37"/>
  </sheets>
  <definedNames>
    <definedName name="t">'D3 - Bahasa Inggris'!$CU$11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4" i="36" l="1"/>
  <c r="P39" i="34"/>
  <c r="Q30" i="33"/>
  <c r="P30" i="33"/>
  <c r="P18" i="29"/>
  <c r="R8" i="26"/>
  <c r="Q8" i="26"/>
  <c r="P8" i="26"/>
  <c r="Q52" i="20"/>
  <c r="P52" i="20"/>
  <c r="R2" i="17"/>
  <c r="Q2" i="17"/>
  <c r="P2" i="17"/>
  <c r="Q38" i="10"/>
  <c r="Q3" i="8"/>
  <c r="P3" i="8"/>
  <c r="R3" i="3"/>
  <c r="Q3" i="3"/>
  <c r="P3" i="3"/>
  <c r="R32" i="2"/>
  <c r="R25" i="2"/>
  <c r="Q25" i="2"/>
  <c r="P25" i="2"/>
</calcChain>
</file>

<file path=xl/sharedStrings.xml><?xml version="1.0" encoding="utf-8"?>
<sst xmlns="http://schemas.openxmlformats.org/spreadsheetml/2006/main" count="10010" uniqueCount="4346">
  <si>
    <t xml:space="preserve">1. Nama </t>
  </si>
  <si>
    <t>2. NIM</t>
  </si>
  <si>
    <t>Bagaimana Anda mencari pekerjaan tersebut? Jawaban bisa lebih dari satu[3]</t>
  </si>
  <si>
    <t>Bagaimana Anda mencari pekerjaan tersebut? Jawaban bisa lebih dari satu[4]</t>
  </si>
  <si>
    <t>Bagaimana Anda mencari pekerjaan tersebut? Jawaban bisa lebih dari satu[5]</t>
  </si>
  <si>
    <t>Bagaimana Anda mencari pekerjaan tersebut? Jawaban bisa lebih dari satu[6]</t>
  </si>
  <si>
    <t>Bagaimana Anda mencari pekerjaan tersebut? Jawaban bisa lebih dari satu[7]</t>
  </si>
  <si>
    <t>Bagaimana Anda mencari pekerjaan tersebut? Jawaban bisa lebih dari satu[8]</t>
  </si>
  <si>
    <t>Bagaimana Anda mencari pekerjaan tersebut? Jawaban bisa lebih dari satu[9]</t>
  </si>
  <si>
    <t>Bagaimana Anda mencari pekerjaan tersebut? Jawaban bisa lebih dari satu[10]</t>
  </si>
  <si>
    <t>Bagaimana Anda mencari pekerjaan tersebut? Jawaban bisa lebih dari satu[11]</t>
  </si>
  <si>
    <t>Bagaimana Anda mencari pekerjaan tersebut? Jawaban bisa lebih dari satu[12]</t>
  </si>
  <si>
    <t>Bagaimana Anda mencari pekerjaan tersebut? Jawaban bisa lebih dari satu[13]</t>
  </si>
  <si>
    <t>Bagaimana Anda mencari pekerjaan tersebut? Jawaban bisa lebih dari satu[14]</t>
  </si>
  <si>
    <t>Bagaimana Anda mencari pekerjaan tersebut? Jawaban bisa lebih dari satu[other]</t>
  </si>
  <si>
    <t>Berapa perusahaan/instansi/institusi yang sudah Anda lamar (lewat surat atau e-mail) sebelum Anda memeroleh pekerjaan pertama?</t>
  </si>
  <si>
    <t>Berapa banyak perusahaan/instansi/institusi yang merespons lamaran Anda?</t>
  </si>
  <si>
    <t>Berapa banyak perusahaan/instansi/institusi yang mengundang Anda untuk wawancara?</t>
  </si>
  <si>
    <t>Jelaskan status Anda saat ini?</t>
  </si>
  <si>
    <t>Sebutkan sumberdana dalam pembiayaan kuliah?</t>
  </si>
  <si>
    <t>Pada saat LULUS, pada tingkat mana kompetensi di bawah ini anda kuasai?[Etika]</t>
  </si>
  <si>
    <t>Pada saat LULUS, pada tingkat mana kompetensi di bawah ini anda kuasai?[Keahlian berdasarkan bidang ilmu]</t>
  </si>
  <si>
    <t>Pada saat LULUS, pada tingkat mana kompetensi di bawah ini anda kuasai?[Bahasa Inggris]</t>
  </si>
  <si>
    <t>Pada saat LULUS, pada tingkat mana kompetensi di bawah ini anda kuasai?[Penggunaan Teknologi Informasi]</t>
  </si>
  <si>
    <t>Pada saat LULUS, pada tingkat mana kompetensi di bawah ini anda kuasai?[Komunikasi]</t>
  </si>
  <si>
    <t>Pada saat LULUS, pada tingkat mana kompetensi di bawah ini anda kuasai?[Kerja sama tim]</t>
  </si>
  <si>
    <t>Pada saat LULUS, pada tingkat mana kompetensi di bawah ini anda kuasai?[Pengembangan Diri]</t>
  </si>
  <si>
    <t>Bila Berwiraswasta,apa posisi jabatan anda saat ini</t>
  </si>
  <si>
    <t>Apakah anda telah mendapatkan pekerjaan &lt;= 6 bulan / termasuk bekerja sebelum lulus?</t>
  </si>
  <si>
    <t>Dalam berapa bulan anda mendapatkan pekerjaan ?</t>
  </si>
  <si>
    <t>Dalam berapa bulan anda mendapatkan pekerjaan pertama?</t>
  </si>
  <si>
    <t>Berapa rata-rata pendapatan anda per bulan ? (take home pay)? (dalam Rupiah) Tuliskan hanya dalam bentuk ANGKA tanpa titik, Contoh: 5000000</t>
  </si>
  <si>
    <t>Dimana lokasi tempat Anda bekerja? (Propinsi)</t>
  </si>
  <si>
    <t>Dimana lokasi tempat Anda bekerja? (Kabupaten/Kota)</t>
  </si>
  <si>
    <t xml:space="preserve">Dimana lokasi tempat Anda bekerja? (Kabupaten/Kota) </t>
  </si>
  <si>
    <t>Apa jenis perusahaan/instansi/institusi tempat anda bekerja sekarang?</t>
  </si>
  <si>
    <t>Apa nama perusahaan/kantor tempat Anda bekerja?</t>
  </si>
  <si>
    <t>Tuliskan nama atasan langsung di tempat Anda bekerja</t>
  </si>
  <si>
    <t>Tuliskan Email atasan langsung di tempat Anda bekerja</t>
  </si>
  <si>
    <t>Termasuk ke dalam kelompok/tingkat manakah tempat kerja Anda?</t>
  </si>
  <si>
    <t>Seberapa erat keterkaitan antara bidang studi dengan pekerjaan anda? Contoh: Lulusan T. Kimia Bekerja di Bank adalah SANGAT ERAT dikarenakan jobdesknya berhubungan dengan nasabah Kimia, sedangkan lulusan T. Kimia bekerja sebagai akuntan adalah Tidak Erat</t>
  </si>
  <si>
    <t>Tingkat pendidikan apa yang paling tepat/sesuai untuk pekerjaan anda saat ini?</t>
  </si>
  <si>
    <t>Jika menurut anda pekerjaan anda saat ini tidak sesuai dengan pendidikan anda, mengapa anda mengambilnya? Jawaban bisa lebih dari satu[1]</t>
  </si>
  <si>
    <t>Jika menurut anda pekerjaan anda saat ini tidak sesuai dengan pendidikan anda, mengapa anda mengambilnya? Jawaban bisa lebih dari satu[2]</t>
  </si>
  <si>
    <t>Jika menurut anda pekerjaan anda saat ini tidak sesuai dengan pendidikan anda, mengapa anda mengambilnya? Jawaban bisa lebih dari satu[3]</t>
  </si>
  <si>
    <t>Jika menurut anda pekerjaan anda saat ini tidak sesuai dengan pendidikan anda, mengapa anda mengambilnya? Jawaban bisa lebih dari satu[4]</t>
  </si>
  <si>
    <t>Jika menurut anda pekerjaan anda saat ini tidak sesuai dengan pendidikan anda, mengapa anda mengambilnya? Jawaban bisa lebih dari satu[5]</t>
  </si>
  <si>
    <t>Jika menurut anda pekerjaan anda saat ini tidak sesuai dengan pendidikan anda, mengapa anda mengambilnya? Jawaban bisa lebih dari satu[6]</t>
  </si>
  <si>
    <t>Jika menurut anda pekerjaan anda saat ini tidak sesuai dengan pendidikan anda, mengapa anda mengambilnya? Jawaban bisa lebih dari satu[7]</t>
  </si>
  <si>
    <t>Jika menurut anda pekerjaan anda saat ini tidak sesuai dengan pendidikan anda, mengapa anda mengambilnya? Jawaban bisa lebih dari satu[8]</t>
  </si>
  <si>
    <t>Jika menurut anda pekerjaan anda saat ini tidak sesuai dengan pendidikan anda, mengapa anda mengambilnya? Jawaban bisa lebih dari satu[9]</t>
  </si>
  <si>
    <t>Jika menurut anda pekerjaan anda saat ini tidak sesuai dengan pendidikan anda, mengapa anda mengambilnya? Jawaban bisa lebih dari satu[10]</t>
  </si>
  <si>
    <t>Jika menurut anda pekerjaan anda saat ini tidak sesuai dengan pendidikan anda, mengapa anda mengambilnya? Jawaban bisa lebih dari satu[11]</t>
  </si>
  <si>
    <t>Jika menurut anda pekerjaan anda saat ini tidak sesuai dengan pendidikan anda, mengapa anda mengambilnya? Jawaban bisa lebih dari satu[12]</t>
  </si>
  <si>
    <t>Jika menurut anda pekerjaan anda saat ini tidak sesuai dengan pendidikan anda, mengapa anda mengambilnya? Jawaban bisa lebih dari satu[other]</t>
  </si>
  <si>
    <t>Pada saat ini, pada tingkat mana kompetensi di bawah ini diperlukan dalam pekerjaan?[Etika]</t>
  </si>
  <si>
    <t>Pada saat ini, pada tingkat mana kompetensi di bawah ini diperlukan dalam pekerjaan?[Keahlian berdasarkan bidang ilmu]</t>
  </si>
  <si>
    <t>Pada saat ini, pada tingkat mana kompetensi di bawah ini diperlukan dalam pekerjaan?[Bahasa Inggris]</t>
  </si>
  <si>
    <t>Pada saat ini, pada tingkat mana kompetensi di bawah ini diperlukan dalam pekerjaan?[Penggunaan Teknologi Informasi]</t>
  </si>
  <si>
    <t>Pada saat ini, pada tingkat mana kompetensi di bawah ini diperlukan dalam pekerjaan?[Komunikasi]</t>
  </si>
  <si>
    <t>Pada saat ini, pada tingkat mana kompetensi di bawah ini diperlukan dalam pekerjaan?[Kerja sama tim]</t>
  </si>
  <si>
    <t>Pada saat ini, pada tingkat mana kompetensi di bawah ini diperlukan dalam pekerjaan?[Pengembangan Diri]</t>
  </si>
  <si>
    <t>Darimana sumber beasiswa studi lanjutan anda?</t>
  </si>
  <si>
    <t>Apakah Nama Pergururan Tinggi tempat anda melanjutkan studi?</t>
  </si>
  <si>
    <t>Jenis Program Studi saat ini?</t>
  </si>
  <si>
    <t>Tanggal Masuk Studi Lanjutan</t>
  </si>
  <si>
    <t>Apakah Anda aktif mencari pekerjaan dalam 4 minggu terakhir?</t>
  </si>
  <si>
    <t>LASTY FLORIE AFNIA</t>
  </si>
  <si>
    <t>NAUFAL RIZQULLAH</t>
  </si>
  <si>
    <t>Kota Tangerang</t>
  </si>
  <si>
    <t xml:space="preserve">PT Mitsuba Indonesia </t>
  </si>
  <si>
    <t>Juwita Muliasari</t>
  </si>
  <si>
    <t>juwita-m@mina.mitsuba-gr.com</t>
  </si>
  <si>
    <t>Multinasional/internasional</t>
  </si>
  <si>
    <t>NEYSA YASMINE ANEIRA SAPUTRA</t>
  </si>
  <si>
    <t>Kabupaten Karawang</t>
  </si>
  <si>
    <t>Edukasi</t>
  </si>
  <si>
    <t>Edulab</t>
  </si>
  <si>
    <t>-</t>
  </si>
  <si>
    <t>Nasional/wiraswasta berbadan hukum</t>
  </si>
  <si>
    <t>Nur Fitriannisa Avirastika Rahma Putri</t>
  </si>
  <si>
    <t>ADZRA AFIFAH NURULLANA</t>
  </si>
  <si>
    <t>ANISA GERHANI PUTRI</t>
  </si>
  <si>
    <t>Kabupaten Bekasi</t>
  </si>
  <si>
    <t>PT Kasen Indonesia</t>
  </si>
  <si>
    <t>ENENG NAELUL YULIA NINGSIH</t>
  </si>
  <si>
    <t>Kota Bandung</t>
  </si>
  <si>
    <t>PT Infomedia Nusantara</t>
  </si>
  <si>
    <t>Yudi</t>
  </si>
  <si>
    <t>yudiardiansyah05@gmail.com</t>
  </si>
  <si>
    <t>FARADIZA SYIAM</t>
  </si>
  <si>
    <t>GHINAA KHOIRUNNISA</t>
  </si>
  <si>
    <t>tidak pasti jumlahnya, tapi banyak</t>
  </si>
  <si>
    <t>Kabupaten Bandung</t>
  </si>
  <si>
    <t>PT Indoneptune Net Manufacturing</t>
  </si>
  <si>
    <t>Mira Amalia Wulan</t>
  </si>
  <si>
    <t xml:space="preserve">mira.amalia@indoneptune.com </t>
  </si>
  <si>
    <t>MIFTAH FAUZI</t>
  </si>
  <si>
    <t>MURNI SALFADILLA SAEPUDIN</t>
  </si>
  <si>
    <t>Medion Group</t>
  </si>
  <si>
    <t>Jessica</t>
  </si>
  <si>
    <t>jessica@medionindonesia.com</t>
  </si>
  <si>
    <t>NOVIA SILVIANI</t>
  </si>
  <si>
    <t>Pendidikan</t>
  </si>
  <si>
    <t>PT Edukasi Kompleks Indonesia</t>
  </si>
  <si>
    <t>Bapak Aguntaran</t>
  </si>
  <si>
    <t>aguntarann@gmail.com</t>
  </si>
  <si>
    <t>Lokal/wilayah/wiraswasta tidak berbadan hukum</t>
  </si>
  <si>
    <t>NURUL FITRIYANI</t>
  </si>
  <si>
    <t>Kabupaten Cirebon</t>
  </si>
  <si>
    <t>PT Arista Jaya Lestari</t>
  </si>
  <si>
    <t>Dwi Suyamti</t>
  </si>
  <si>
    <t>dwi.yanti@arista-group.co.id</t>
  </si>
  <si>
    <t>ROSA DWI ANDINI</t>
  </si>
  <si>
    <t>PT. Infomedia Nusantara</t>
  </si>
  <si>
    <t>Pak Yudi</t>
  </si>
  <si>
    <t>SALMA ELIMATUL S</t>
  </si>
  <si>
    <t>&gt;10</t>
  </si>
  <si>
    <t>Kota Administrasi Jakarta Pusat</t>
  </si>
  <si>
    <t>PT. PERTAMINA PERSERO</t>
  </si>
  <si>
    <t>LILIK H</t>
  </si>
  <si>
    <t>SARAH NUR HANIFAH</t>
  </si>
  <si>
    <t xml:space="preserve">2 perusahaan </t>
  </si>
  <si>
    <t xml:space="preserve">1 perusahaan </t>
  </si>
  <si>
    <t>1 perusahaan</t>
  </si>
  <si>
    <t>PT. Alqosbah Karya Indonesia</t>
  </si>
  <si>
    <t>Hastuti</t>
  </si>
  <si>
    <t>tutiqosbah@gmail.com</t>
  </si>
  <si>
    <t>SHOFI NABILA KHOERUNNISA</t>
  </si>
  <si>
    <t>THOMAS GIANDAIVA SAMODRA WIBOWO</t>
  </si>
  <si>
    <t>Kota Administrasi Jakarta Selatan</t>
  </si>
  <si>
    <t>KAP Mirawati Sensi Idris / Moore Indonesia</t>
  </si>
  <si>
    <t>Santo</t>
  </si>
  <si>
    <t>santo@moore.co.id</t>
  </si>
  <si>
    <t>YATTAQI QINTHARA YUSUF</t>
  </si>
  <si>
    <t>LKP Bimbingan Belajar 100%</t>
  </si>
  <si>
    <t>Rifqi Fauzan Syafii</t>
  </si>
  <si>
    <t>rifqifauzansyafii@gmail.com</t>
  </si>
  <si>
    <t>YUSANTI PEMILA PUTRI</t>
  </si>
  <si>
    <t>ABDILLAH FIRDAUS</t>
  </si>
  <si>
    <t>PT. INFOMEDIA</t>
  </si>
  <si>
    <t>Rita</t>
  </si>
  <si>
    <t>rita.itha21@gmail.com</t>
  </si>
  <si>
    <t>ALDI HERYANTO</t>
  </si>
  <si>
    <t>Kota Administrasi Jakarta Barat</t>
  </si>
  <si>
    <t>Tata Service</t>
  </si>
  <si>
    <t>Miming Komariah</t>
  </si>
  <si>
    <t>Miming.komariah@gmail.com</t>
  </si>
  <si>
    <t>AMANDA THALIA ARVIN</t>
  </si>
  <si>
    <t>AYU USWATUN HASANAH</t>
  </si>
  <si>
    <t>DINDA KIRANA PELANGI</t>
  </si>
  <si>
    <t>Arista Group</t>
  </si>
  <si>
    <t xml:space="preserve">Elin Sumarni </t>
  </si>
  <si>
    <t>elin@arista-yamaha.co.id</t>
  </si>
  <si>
    <t>ENI WIJAYA</t>
  </si>
  <si>
    <t>FARAH JIHAN NOOR AISYAH</t>
  </si>
  <si>
    <t>PT Pinus Merah Abadi (Nabati Grup)</t>
  </si>
  <si>
    <t>Argara Dely</t>
  </si>
  <si>
    <t>argara_dely@pinusmerahabadi.co.id</t>
  </si>
  <si>
    <t>FERI ANDRIAN</t>
  </si>
  <si>
    <t>KAP Moh. Wildan &amp; Adi Darmawan</t>
  </si>
  <si>
    <t>Moh. Wildan</t>
  </si>
  <si>
    <t>kapmohwildan@gmail.com</t>
  </si>
  <si>
    <t>HADYDA ATMAFIDEA</t>
  </si>
  <si>
    <t xml:space="preserve">TMF Indonesia </t>
  </si>
  <si>
    <t>Daniel Fermi Situmorang, SE, Ak., CA, CPA, CPMA, ASA (Aust.)</t>
  </si>
  <si>
    <t>Daniel.Situmorang@tmf-group.com</t>
  </si>
  <si>
    <t>HANI RAHMASANIA</t>
  </si>
  <si>
    <t>PT MITRA PERIANGAN PERSADA</t>
  </si>
  <si>
    <t>KARNO</t>
  </si>
  <si>
    <t>karno@metrix-group.com</t>
  </si>
  <si>
    <t>HANIFA KHOIRUNNISAA HERYANTO</t>
  </si>
  <si>
    <t>Politeknik Negeri Bandung</t>
  </si>
  <si>
    <t>S2 - Keuangan dan Perbankan Syariah</t>
  </si>
  <si>
    <t>PUTRI HANI ASHARI</t>
  </si>
  <si>
    <t>BAKTI KOMINFO</t>
  </si>
  <si>
    <t>Kotot Tri Hartanto</t>
  </si>
  <si>
    <t>ppk1.bakti@gmail.com</t>
  </si>
  <si>
    <t>RISMA CHOIRUNNISA</t>
  </si>
  <si>
    <t>SELVI INDRI SUSANTI</t>
  </si>
  <si>
    <t>&gt;100</t>
  </si>
  <si>
    <t>&lt;30</t>
  </si>
  <si>
    <t>PT Vesperia Global Merdeka</t>
  </si>
  <si>
    <t>Leonardo Kevin Japri</t>
  </si>
  <si>
    <t>leonardokevinjapri@gmail.com</t>
  </si>
  <si>
    <t>SITI NUR RAHMALIA RIZKI PRATIWI</t>
  </si>
  <si>
    <t>&gt;20</t>
  </si>
  <si>
    <t>Yayasan pemuda peduli</t>
  </si>
  <si>
    <t>Said Alwy Muhammad Noor</t>
  </si>
  <si>
    <t>alwy.pemudapeduli@gmail.com</t>
  </si>
  <si>
    <t>SRI RAHAYU</t>
  </si>
  <si>
    <t>PT. Santosa Utama Lestari</t>
  </si>
  <si>
    <t>Irwan Wahid</t>
  </si>
  <si>
    <t>irwan.wahid@japfa.com</t>
  </si>
  <si>
    <t>Amartha Aprilyasanti Eka Putri Haryadi</t>
  </si>
  <si>
    <t>PT KLK Agriservindo</t>
  </si>
  <si>
    <t>Pak Andrew</t>
  </si>
  <si>
    <t>CITRA TREETANIA PUTRI RUKMANA</t>
  </si>
  <si>
    <t>SD GagasCeria</t>
  </si>
  <si>
    <t>Hani N</t>
  </si>
  <si>
    <t>DITA KHODIJAH</t>
  </si>
  <si>
    <t>PT GAJAH MITRA PARAGON</t>
  </si>
  <si>
    <t>CI NITA</t>
  </si>
  <si>
    <t>hrdgamion@gmail.com</t>
  </si>
  <si>
    <t>ERVINA INAYAH ZULNA</t>
  </si>
  <si>
    <t>Universitas Indonesia</t>
  </si>
  <si>
    <t>S1 - Ekstensi Akuntansi</t>
  </si>
  <si>
    <t>FANNY ALFIANY</t>
  </si>
  <si>
    <t>Fitria Amelia Kurniawan</t>
  </si>
  <si>
    <t>Kota Cimahi</t>
  </si>
  <si>
    <t>PT. DEWASUTRATEX</t>
  </si>
  <si>
    <t>Nurul Hasanah</t>
  </si>
  <si>
    <t>@nurulhasan2030</t>
  </si>
  <si>
    <t>FRYDA ISMAWATI NUR AZIZAH</t>
  </si>
  <si>
    <t>PT UTC Aerospace System Bandung Operation</t>
  </si>
  <si>
    <t>Nurul A. Hasibuan</t>
  </si>
  <si>
    <t>nurul.hasibuan@collins.com</t>
  </si>
  <si>
    <t>GHINA RAHMAFITRI</t>
  </si>
  <si>
    <t>usi komunika terintegrasi / Proxsis</t>
  </si>
  <si>
    <t>Rahmania Maulida</t>
  </si>
  <si>
    <t>Rahmania.maulida@proxsis.com</t>
  </si>
  <si>
    <t>GIAN FIZAR RAMDHANI</t>
  </si>
  <si>
    <t>Kota Administrasi Jakarta Utara</t>
  </si>
  <si>
    <t>PT. Serasi Autoraya</t>
  </si>
  <si>
    <t>Nadia Azarine</t>
  </si>
  <si>
    <t>HILMY RIZAL HIDAYAT</t>
  </si>
  <si>
    <t>Kabupaten Pangandaran</t>
  </si>
  <si>
    <t>SIMTEK</t>
  </si>
  <si>
    <t>Cinky</t>
  </si>
  <si>
    <t>cprianto009@gmail.com</t>
  </si>
  <si>
    <t>KHAIRINA TAMIMI PRANOTOPUTERI</t>
  </si>
  <si>
    <t>PT. Namsa Insan Mulia</t>
  </si>
  <si>
    <t>Adrian Ali Akbar</t>
  </si>
  <si>
    <t>a3aliakbar@yahoo.co.id</t>
  </si>
  <si>
    <t>Pekerjaan ini bisa saya lakukan sembari saya melanjutkan pendidikan sambil belajar sedikit demi sedikit</t>
  </si>
  <si>
    <t>LALU HASAN HABIBI</t>
  </si>
  <si>
    <t>Kota Mataram</t>
  </si>
  <si>
    <t>Reliv</t>
  </si>
  <si>
    <t>MUHAMMAD FADHIL AR'RAZI</t>
  </si>
  <si>
    <t>Kota Administrasi Jakarta Timur</t>
  </si>
  <si>
    <t>PT Bina Pertiwi</t>
  </si>
  <si>
    <t>Wafda Afifatus Syabibah Suud</t>
  </si>
  <si>
    <t>wafda.syabibah@binapertiwi.co.id</t>
  </si>
  <si>
    <t>MUHAMMAD HUSNUR ROFIQ</t>
  </si>
  <si>
    <t>Kota Cilegon</t>
  </si>
  <si>
    <t>PT NIPPON SHOKUBAI INDONESIA</t>
  </si>
  <si>
    <t>KHARISMAWAN NOTONUGROHO</t>
  </si>
  <si>
    <t>kharismawan@shokubai.co.id</t>
  </si>
  <si>
    <t>MUHAMMAD ZULFIKRI ARDIANSYAH</t>
  </si>
  <si>
    <t>1 perusahaan dan 1 institusi</t>
  </si>
  <si>
    <t>NISRINA NUR ROHMAH</t>
  </si>
  <si>
    <t>Sekolah Lare Alit</t>
  </si>
  <si>
    <t>Reni Supartini, S.Pd, M.Pd</t>
  </si>
  <si>
    <t>renisupartini25@gmail.com</t>
  </si>
  <si>
    <t>Novi Nurbaeti</t>
  </si>
  <si>
    <t>NURUL FEBRIYANTI HAZMI</t>
  </si>
  <si>
    <t>Bellico Millitary Gear</t>
  </si>
  <si>
    <t>Isny</t>
  </si>
  <si>
    <t>RAISYA PUTRI SEPTIANTI</t>
  </si>
  <si>
    <t>PT LAF PROJECT INDONESIA</t>
  </si>
  <si>
    <t>Yusuf Sahroni</t>
  </si>
  <si>
    <t>yusufsahroni@gmail.com</t>
  </si>
  <si>
    <t>RHIESMIA SUKMA</t>
  </si>
  <si>
    <t>PT Namsa Insan Mulia</t>
  </si>
  <si>
    <t>RITA OKTAVIYANI PUTRI</t>
  </si>
  <si>
    <t>RIZKYA NOVIANKA</t>
  </si>
  <si>
    <t>SITI SOPIAH</t>
  </si>
  <si>
    <t>RSUD BANDUNG KIWARI</t>
  </si>
  <si>
    <t>dr. TAAT TAGORE DIAH R, M.KKK.</t>
  </si>
  <si>
    <t>SUNDARI AINUN PUTRI KARMANA</t>
  </si>
  <si>
    <t>20 perusahaan</t>
  </si>
  <si>
    <t>Kabupaten Garut</t>
  </si>
  <si>
    <t>BTPN SYARIAH</t>
  </si>
  <si>
    <t>Irma Tresnawati</t>
  </si>
  <si>
    <t>Tresnawatiirma@gmail.com</t>
  </si>
  <si>
    <t>SYAFIKA FIRDAUSHA</t>
  </si>
  <si>
    <t>satu (1)</t>
  </si>
  <si>
    <t>empat (4)</t>
  </si>
  <si>
    <t>KJPP Iskandar dan Rekan</t>
  </si>
  <si>
    <t>Adhitya Anindito</t>
  </si>
  <si>
    <t>anindito.kjpp@gmail.com</t>
  </si>
  <si>
    <t>SYAIDAH AL ZAHRA NURMALIA</t>
  </si>
  <si>
    <t xml:space="preserve">Rumah Sakit Umum Daerah Bandung Kiwari </t>
  </si>
  <si>
    <t>Bu Heni</t>
  </si>
  <si>
    <t>ZAHRA ALFIN NADILA</t>
  </si>
  <si>
    <t>PT Richeese Kuliner Indonesia</t>
  </si>
  <si>
    <t>Cecillia Cindy</t>
  </si>
  <si>
    <t>cecilliacindy@yahoo.com</t>
  </si>
  <si>
    <t>ADINDA MAHARANI</t>
  </si>
  <si>
    <t>&gt;50</t>
  </si>
  <si>
    <t>PT Astra Daihatsu Motor</t>
  </si>
  <si>
    <t>Melisa Ovi</t>
  </si>
  <si>
    <t>melisa.ovi@daihatsu.astra.co.id</t>
  </si>
  <si>
    <t>AHMAD FARIZ ABDARROZZAQ</t>
  </si>
  <si>
    <t>PRAMITA LAB</t>
  </si>
  <si>
    <t>DINIE ASTUTI</t>
  </si>
  <si>
    <t>dinie@pramita.co.id</t>
  </si>
  <si>
    <t>ALFRIZA AKBAR IRAWAN</t>
  </si>
  <si>
    <t>ANISYA HILMIA</t>
  </si>
  <si>
    <t>kurang lebih 30 perusahaan/instansi/institusi</t>
  </si>
  <si>
    <t>kurang lebih 10 perusahaan/instansi/institusi</t>
  </si>
  <si>
    <t>2 perushaan/instansi/institusi</t>
  </si>
  <si>
    <t>Direktorat Keuangan Institut Teknologi Bandung</t>
  </si>
  <si>
    <t>Endah Tri Susilowati</t>
  </si>
  <si>
    <t>endah.tri@itb.ac.id</t>
  </si>
  <si>
    <t>ANNISA FITRIANI</t>
  </si>
  <si>
    <t>Tahfidz Land Group</t>
  </si>
  <si>
    <t>Novita Eka Anggraeni</t>
  </si>
  <si>
    <t>novitaeka533@gmail.com</t>
  </si>
  <si>
    <t>ANNISYA NURUL ASHILA</t>
  </si>
  <si>
    <t>Kampung Agro Maritim Indonesia</t>
  </si>
  <si>
    <t>M Irfan</t>
  </si>
  <si>
    <t>irfan.abuaiman@gmail.com</t>
  </si>
  <si>
    <t>CHEN QIU MEN</t>
  </si>
  <si>
    <t>DELIA ADNI PRIHASTI</t>
  </si>
  <si>
    <t>+/- 20</t>
  </si>
  <si>
    <t>Edo Satria Dinata</t>
  </si>
  <si>
    <t>edo.satria@daihatsu.astra.co.id</t>
  </si>
  <si>
    <t>DEVINA NURDIANA SUDRAJAT</t>
  </si>
  <si>
    <t>GURUH ARDANA PUTRA PERDANA</t>
  </si>
  <si>
    <t>PT. Astra Daihatsu Motor</t>
  </si>
  <si>
    <t>Erza Mahar Permana</t>
  </si>
  <si>
    <t>erza.mahar@daihatsu.astra.co.id</t>
  </si>
  <si>
    <t>INTISHAR GHINAWIJAYA KATIANDAGHO</t>
  </si>
  <si>
    <t>PT. Mahakarya Geo Survey</t>
  </si>
  <si>
    <t>Indra Ari Wibowo</t>
  </si>
  <si>
    <t>indra.wibowo@mahakarya.co.id</t>
  </si>
  <si>
    <t>KALINGGA AULIA NINGRUM</t>
  </si>
  <si>
    <t>Institut Teknologi Bandung</t>
  </si>
  <si>
    <t>KURNIAWAN SAPUTRA</t>
  </si>
  <si>
    <t>Yayuk Ratnawati</t>
  </si>
  <si>
    <t>yayukratna16@gmail.com</t>
  </si>
  <si>
    <t>LILIS HAMIDAH</t>
  </si>
  <si>
    <t>PT Anggana Kurnia Putra</t>
  </si>
  <si>
    <t>Kliwon</t>
  </si>
  <si>
    <t>agungkliwon16@gmail.com</t>
  </si>
  <si>
    <t>LUVITA PUTRI FEBRIANI HAKIM</t>
  </si>
  <si>
    <t>Bringin Gigantara</t>
  </si>
  <si>
    <t>Derall Morest</t>
  </si>
  <si>
    <t>bricashbandung@gmail.com</t>
  </si>
  <si>
    <t>MARWA ZAHRANI HAFIDZAH</t>
  </si>
  <si>
    <t>PT INDONEPTUNE NET MANUFACTURING</t>
  </si>
  <si>
    <t>MIRA AMALIA WULAN</t>
  </si>
  <si>
    <t>mira_amalia_wulan@yahoo.com</t>
  </si>
  <si>
    <t>NADIA RESTI OKTAVIANI</t>
  </si>
  <si>
    <t>Universitas Widyatama</t>
  </si>
  <si>
    <t>S1 Akuntansi</t>
  </si>
  <si>
    <t>NURUL HASANAH</t>
  </si>
  <si>
    <t>lebih dari 100</t>
  </si>
  <si>
    <t>lebih dari 20</t>
  </si>
  <si>
    <t>Inisiatif Zakat Indonesia</t>
  </si>
  <si>
    <t>Dian Mardiana</t>
  </si>
  <si>
    <t>dian.mardiana@izi.or.id</t>
  </si>
  <si>
    <t>RAJA JEFRY ERWIN YOSHUA S.</t>
  </si>
  <si>
    <t>Kabupaten Sumedang</t>
  </si>
  <si>
    <t>PT. ARISTA JAYA LESTARI - WULING RANCAEKEK</t>
  </si>
  <si>
    <t>ELIN SUMARNI</t>
  </si>
  <si>
    <t>RIZKI FATAH MAULANA</t>
  </si>
  <si>
    <t>Kurang Lebih 100 Perusahaan</t>
  </si>
  <si>
    <t>Kurang lebih 20 Perusahaan</t>
  </si>
  <si>
    <t>7 Perusahaan</t>
  </si>
  <si>
    <t>RSUD Bandung Kiwari</t>
  </si>
  <si>
    <t>Ibu Heni Hendriani</t>
  </si>
  <si>
    <t>RUDINI FAINA DEWI</t>
  </si>
  <si>
    <t>PT. Bringin Gigantara</t>
  </si>
  <si>
    <t>Bricashbandung@gmail.com</t>
  </si>
  <si>
    <t>SENDI MAULANA</t>
  </si>
  <si>
    <t>Astri Yulianingsih</t>
  </si>
  <si>
    <t>SITI ERYANA SUGIHARTO PUTRI</t>
  </si>
  <si>
    <t>PT TIRTA GRACIA SEMESTA MANDIRI</t>
  </si>
  <si>
    <t xml:space="preserve">ANDA JUANDA </t>
  </si>
  <si>
    <t>andajuanda.graha@gmail.com</t>
  </si>
  <si>
    <t>SRI WAHYUNI</t>
  </si>
  <si>
    <t>Inisiatif Zakat Indonesia (IZI) Cabang Jabar</t>
  </si>
  <si>
    <t>nurul.hasanah.jabar@izi.or.id</t>
  </si>
  <si>
    <t>THANIA PUTRI LIESTIANA</t>
  </si>
  <si>
    <t>Prama Widhi</t>
  </si>
  <si>
    <t>Prama.Widhi@daihatsu.astra.co.id</t>
  </si>
  <si>
    <t>WENNY ANGGRAINI</t>
  </si>
  <si>
    <t>PT MC PET FILM INDONESIA</t>
  </si>
  <si>
    <t>ILHAM MARDISANTOSO</t>
  </si>
  <si>
    <t>YUNI KUSUMAWATI</t>
  </si>
  <si>
    <t>ANDINA TRI DEWANTI</t>
  </si>
  <si>
    <t>Lebih dari 20</t>
  </si>
  <si>
    <t>ANISYA LUTHFIANI</t>
  </si>
  <si>
    <t>Tidak ada</t>
  </si>
  <si>
    <t>Hanya satu</t>
  </si>
  <si>
    <t>Kota Tasikmalaya</t>
  </si>
  <si>
    <t>PT Jaminan Kredit Indonesia</t>
  </si>
  <si>
    <t>Bpk Tb. Deni Hazwartharik</t>
  </si>
  <si>
    <t>hazwartharik19@gmail.com</t>
  </si>
  <si>
    <t>ANJES FARESH FAISAL</t>
  </si>
  <si>
    <t>Kabupaten Subang</t>
  </si>
  <si>
    <t>Federal International Finance Group</t>
  </si>
  <si>
    <t>Taryono</t>
  </si>
  <si>
    <t>movie9918@gmail.com</t>
  </si>
  <si>
    <t>GIARTI PERTIWI</t>
  </si>
  <si>
    <t>2-5 perusahaan</t>
  </si>
  <si>
    <t>6 perusahaan</t>
  </si>
  <si>
    <t>3 perusahaan</t>
  </si>
  <si>
    <t>MUHAMMAD FAKHRI</t>
  </si>
  <si>
    <t>banyak</t>
  </si>
  <si>
    <t>Kabupaten Bogor</t>
  </si>
  <si>
    <t>Mega Persada Group</t>
  </si>
  <si>
    <t>NANA MARLIYANA</t>
  </si>
  <si>
    <t>PT Artha Anugrah Energi</t>
  </si>
  <si>
    <t>Adrian</t>
  </si>
  <si>
    <t>RIRI HABIBAH ROMLI</t>
  </si>
  <si>
    <t>RIZKA AMANDA</t>
  </si>
  <si>
    <t>SALSABILA AULYA RAHMAH</t>
  </si>
  <si>
    <t>SHEILA VIP LEVINA WAHYU</t>
  </si>
  <si>
    <t>Lebih dari 15 perusahaan</t>
  </si>
  <si>
    <t>Bjb Sekuritas</t>
  </si>
  <si>
    <t>Nuryane Komalasari</t>
  </si>
  <si>
    <t>SITI NUR ANISYA</t>
  </si>
  <si>
    <t>TIKA SUNDARI</t>
  </si>
  <si>
    <t>PT Anugrah Bumi Pamijahan</t>
  </si>
  <si>
    <t>Jaja Fiza Sofyanda</t>
  </si>
  <si>
    <t>hrd.kunangkunang22@gmail.com</t>
  </si>
  <si>
    <t>ADNIA NURHAYATI</t>
  </si>
  <si>
    <t>AGENG GUMELAR</t>
  </si>
  <si>
    <t xml:space="preserve">6 (Enam) </t>
  </si>
  <si>
    <t xml:space="preserve">4 (empat) </t>
  </si>
  <si>
    <t xml:space="preserve">4 (Empat) </t>
  </si>
  <si>
    <t>PT. Kasen Indonesia</t>
  </si>
  <si>
    <t>AGLEZ AGNESY SOUVENIA RUMAPEA</t>
  </si>
  <si>
    <t>AJENG FADHILATUNNISA</t>
  </si>
  <si>
    <t>Kabupaten Bandung Barat</t>
  </si>
  <si>
    <t>Mutif Corp</t>
  </si>
  <si>
    <t>Weni Andriani</t>
  </si>
  <si>
    <t>ASTRIE MERISA RAMADANTI</t>
  </si>
  <si>
    <t>&gt; 50</t>
  </si>
  <si>
    <t>PT. Champ Resto Indonesia Tbk.</t>
  </si>
  <si>
    <t>Velly</t>
  </si>
  <si>
    <t>rullytha22@gmail.com</t>
  </si>
  <si>
    <t>AULIA AZZAHRA</t>
  </si>
  <si>
    <t>kurang lebih 10</t>
  </si>
  <si>
    <t>PT Geoservices</t>
  </si>
  <si>
    <t>Ir. Nurmansyah Munir</t>
  </si>
  <si>
    <t>CHANDRA ARTEDI</t>
  </si>
  <si>
    <t>CV. Four Vision Media</t>
  </si>
  <si>
    <t>Ihsan Firdaus</t>
  </si>
  <si>
    <t>4visionmedia.com</t>
  </si>
  <si>
    <t>FIRDA ALFAYUNI</t>
  </si>
  <si>
    <t>PT Balagi Rattan</t>
  </si>
  <si>
    <t>Wiwit Kristiana</t>
  </si>
  <si>
    <t>accounting@balagirattan.com</t>
  </si>
  <si>
    <t>IRFAN ALFIANSYAH</t>
  </si>
  <si>
    <t>&gt;5</t>
  </si>
  <si>
    <t>M. Nur Fachruzi Jaya</t>
  </si>
  <si>
    <t>ojan.ojie@gmail.com</t>
  </si>
  <si>
    <t>KENNIA DWITA RACHMANI</t>
  </si>
  <si>
    <t>PT Shopee Indonesia</t>
  </si>
  <si>
    <t>Nefie Septia Primanis</t>
  </si>
  <si>
    <t>nefie.primanis@shopee.com</t>
  </si>
  <si>
    <t>MARIANA MANALU</t>
  </si>
  <si>
    <t>MUHAMMAD RIFKY HANIF</t>
  </si>
  <si>
    <t>Integra Consulting</t>
  </si>
  <si>
    <t>Ingrid Kusuma Dewi</t>
  </si>
  <si>
    <t>MUTIA AGNIKA</t>
  </si>
  <si>
    <t>NITA AYU TRISNAWATI</t>
  </si>
  <si>
    <t>Kurang lebih ada 20</t>
  </si>
  <si>
    <t>PUTRI FEBRIANTY</t>
  </si>
  <si>
    <t>Lebih dari 10</t>
  </si>
  <si>
    <t>PT GRAHA 1001 JAYA</t>
  </si>
  <si>
    <t>Teni Yanti Salim</t>
  </si>
  <si>
    <t>Teni.yanti@central.co.id</t>
  </si>
  <si>
    <t>RANTI RADINDA</t>
  </si>
  <si>
    <t>Ongki</t>
  </si>
  <si>
    <t>integra.projects@gmail.com</t>
  </si>
  <si>
    <t>REFY AMALIA PUTRI</t>
  </si>
  <si>
    <t>21 perusahaan</t>
  </si>
  <si>
    <t>Kabupaten Tangerang</t>
  </si>
  <si>
    <t>PT. Teknologi Integrasi Armada</t>
  </si>
  <si>
    <t>Florencia Irene</t>
  </si>
  <si>
    <t>irene.eonnie1004@gmail.com</t>
  </si>
  <si>
    <t>RIMA NOVIANTI</t>
  </si>
  <si>
    <t>RIZKA SRI WANDARI</t>
  </si>
  <si>
    <t>ROSYTA SUDRAJAT SUTAN</t>
  </si>
  <si>
    <t>SUCIA RAMDANI</t>
  </si>
  <si>
    <t>PT. Geoservices</t>
  </si>
  <si>
    <t>Maharpradana</t>
  </si>
  <si>
    <t>YUNI MAUDINA</t>
  </si>
  <si>
    <t>PT GEOSERVICES</t>
  </si>
  <si>
    <t>Ancu Hernawati S</t>
  </si>
  <si>
    <t>aherawaty@geoservices.co.id</t>
  </si>
  <si>
    <t>NUR RAMADHAN</t>
  </si>
  <si>
    <t>PT KAO INDONESIA CHEMICALS</t>
  </si>
  <si>
    <t>IRFAN WIJOSENO</t>
  </si>
  <si>
    <t>irfan.wijoseno@kaochem.co.id</t>
  </si>
  <si>
    <t>PUTRI NURUL RAHMA AGUSTINA</t>
  </si>
  <si>
    <t>QUANDIZZA BATRISYIA EKWINIA</t>
  </si>
  <si>
    <t>PT Sarana Bani Medical</t>
  </si>
  <si>
    <t>Yani Maryani</t>
  </si>
  <si>
    <t>RIZKI SATYA GHARMANA</t>
  </si>
  <si>
    <t>BP2MI</t>
  </si>
  <si>
    <t>Dhani Indra Kusuma</t>
  </si>
  <si>
    <t>ROBINTANG YUNI ANDRIYANI</t>
  </si>
  <si>
    <t>SALSA DEWI NURFADILAH</t>
  </si>
  <si>
    <t>&lt;3</t>
  </si>
  <si>
    <t>PT MITSUBA INDONESIA</t>
  </si>
  <si>
    <t>Nurbayan</t>
  </si>
  <si>
    <t>Nurbayan@mina.mitsuba-gr.com</t>
  </si>
  <si>
    <t>SEPTHARA ADHITYO ROHMAN</t>
  </si>
  <si>
    <t>lebih dari 50</t>
  </si>
  <si>
    <t>kurang dari 20</t>
  </si>
  <si>
    <t>lebih dari 10</t>
  </si>
  <si>
    <t>Universitas Widyatama Bandung</t>
  </si>
  <si>
    <t>S1 - Manajemen</t>
  </si>
  <si>
    <t>SHEILA ANNISA S</t>
  </si>
  <si>
    <t>SINARI MAYDENA SAPUTRI</t>
  </si>
  <si>
    <t xml:space="preserve">&gt; 50 </t>
  </si>
  <si>
    <t xml:space="preserve">&lt; 10 </t>
  </si>
  <si>
    <t xml:space="preserve">Beasiswa Gereja </t>
  </si>
  <si>
    <t>Arhandhori</t>
  </si>
  <si>
    <t>MINA-Arhandhori-H@onemitsuba.com</t>
  </si>
  <si>
    <t>SYIFA NURMAITSA PUTRI SUNANDAR</t>
  </si>
  <si>
    <t>PT Soyaka Cerdas Kaya</t>
  </si>
  <si>
    <t>Denis Nurangga Bayu</t>
  </si>
  <si>
    <t>denis@soyakaai.com</t>
  </si>
  <si>
    <t>TIANA CHANDRA PURNAMA</t>
  </si>
  <si>
    <t>Lea Juliana Yosnata</t>
  </si>
  <si>
    <t>leajuliana@soyakaai.com</t>
  </si>
  <si>
    <t>Afina Lathifan Bathni</t>
  </si>
  <si>
    <t>Universitas Adhirajasa Reswara Sanjaya</t>
  </si>
  <si>
    <t>Catur Martian Fajar</t>
  </si>
  <si>
    <t>catur@ars.ac.id</t>
  </si>
  <si>
    <t>Fariz Rahman Sulaeman</t>
  </si>
  <si>
    <t>Alifah Farhan Arasy Salsabila</t>
  </si>
  <si>
    <t>Institusi Pendidikan</t>
  </si>
  <si>
    <t>Universitas Langlangbuana</t>
  </si>
  <si>
    <t>Yiyi Supendi, S.Kom., M.T. (Kaprodi Teknik Informatika)</t>
  </si>
  <si>
    <t>informatika.unla.116@gmail.com</t>
  </si>
  <si>
    <t>ANISSA DWI NURKHAYATI</t>
  </si>
  <si>
    <t>PT Agriaku Digital Indonesia</t>
  </si>
  <si>
    <t>Rifky</t>
  </si>
  <si>
    <t>rifky.primanti@agriaku.com</t>
  </si>
  <si>
    <t>DARA CHANDRA SUCI</t>
  </si>
  <si>
    <t>Finansialku.com</t>
  </si>
  <si>
    <t>Harris Darmawan</t>
  </si>
  <si>
    <t>harris@finansialku.com</t>
  </si>
  <si>
    <t>DIANA RISMA DEWI</t>
  </si>
  <si>
    <t>Pt multi sandang tamajaya</t>
  </si>
  <si>
    <t>Bpk Franky</t>
  </si>
  <si>
    <t>ERWAN HUGO SIHOTANG</t>
  </si>
  <si>
    <t>&gt;30</t>
  </si>
  <si>
    <t>PT Summit Oto Finance</t>
  </si>
  <si>
    <t>Rangga Wijaya</t>
  </si>
  <si>
    <t>Ranggawijaya902@gmail.com</t>
  </si>
  <si>
    <t>FEBRI MARDIANTI</t>
  </si>
  <si>
    <t>PT DIALOGUE GARMINDO UTAMA</t>
  </si>
  <si>
    <t>Rokhaeni Handayani</t>
  </si>
  <si>
    <t>Rokhaeni1910@gmail.com</t>
  </si>
  <si>
    <t>GILANG MAULANA ANWAR</t>
  </si>
  <si>
    <t>LEILANI ABIYU</t>
  </si>
  <si>
    <t>&gt;15</t>
  </si>
  <si>
    <t>PT Shopee International</t>
  </si>
  <si>
    <t>Novia Angela January</t>
  </si>
  <si>
    <t>novia.january@shopee.com</t>
  </si>
  <si>
    <t>MANDA MEILINDA</t>
  </si>
  <si>
    <t>Education</t>
  </si>
  <si>
    <t>IBEC</t>
  </si>
  <si>
    <t>Iva F</t>
  </si>
  <si>
    <t>iva@ibec.or.id</t>
  </si>
  <si>
    <t>MAULIDA WAHYU FADHILAH</t>
  </si>
  <si>
    <t>78 perusahaan</t>
  </si>
  <si>
    <t>PT Idaman Eramandiri</t>
  </si>
  <si>
    <t>Annisa Kurniati D.</t>
  </si>
  <si>
    <t>annisa.kurniati@iem.co.id</t>
  </si>
  <si>
    <t>MIA MAULINDA</t>
  </si>
  <si>
    <t>&lt;10</t>
  </si>
  <si>
    <t>Dialogue Group</t>
  </si>
  <si>
    <t>Linda Nurhayati Panjaitan</t>
  </si>
  <si>
    <t>spv.admsales@raj.dialoguegroup.net</t>
  </si>
  <si>
    <t>MOCHAMAD DWIKY YUDISTIRA</t>
  </si>
  <si>
    <t>Sempat Melakukan Magang dan Kerja Part time di Divisi SDM dan Keuangan di Kantor Bawaslu Kabupaten Bandung dalam kurun waktu 6 bulan terakhir</t>
  </si>
  <si>
    <t>MUHAMAD HABIBURROHMAN MUKHLISH ALI</t>
  </si>
  <si>
    <t>PT Inasa Sakha Kirana</t>
  </si>
  <si>
    <t>Budi Siswanto</t>
  </si>
  <si>
    <t>budisiswanto@tatabumi.com</t>
  </si>
  <si>
    <t>NANDINI NAURY RACHMAT</t>
  </si>
  <si>
    <t>Partipost</t>
  </si>
  <si>
    <t>Daity Octaviany Sucipto</t>
  </si>
  <si>
    <t>vinny@partipost.com</t>
  </si>
  <si>
    <t>NAUFAL EDWARIZKI WIJAYA</t>
  </si>
  <si>
    <t>PRATIWI</t>
  </si>
  <si>
    <t xml:space="preserve">Kurang lebih 50 </t>
  </si>
  <si>
    <t xml:space="preserve">PT Sangnila Interaktif Media dan Teknologi </t>
  </si>
  <si>
    <t>Pricilia Nurtanio</t>
  </si>
  <si>
    <t>pricilia.sangnila@gmail.com</t>
  </si>
  <si>
    <t>RAFI RAZZAQ PUTRA</t>
  </si>
  <si>
    <t>PT. Dialogue Garmindo Utama</t>
  </si>
  <si>
    <t>Hadi</t>
  </si>
  <si>
    <t>hadi.prawijoyongko@dialogue.co.id</t>
  </si>
  <si>
    <t>.</t>
  </si>
  <si>
    <t>RANTI ZAHARATUNNISA</t>
  </si>
  <si>
    <t>RARI ULIMA FITRI</t>
  </si>
  <si>
    <t>Kota Semarang</t>
  </si>
  <si>
    <t>PT. MitraComm Ekasarana</t>
  </si>
  <si>
    <t>Ahmad Ilman Nur Azis</t>
  </si>
  <si>
    <t>mcom-1303-id@traveloka.com</t>
  </si>
  <si>
    <t>--</t>
  </si>
  <si>
    <t>REMA NOVYANTRI</t>
  </si>
  <si>
    <t>PT. Beton Elemen Persada</t>
  </si>
  <si>
    <t>Moch Ruslin</t>
  </si>
  <si>
    <t>ruslin@leibel.co.id</t>
  </si>
  <si>
    <t>RIFA LUTHFIYAH ARDINI</t>
  </si>
  <si>
    <t>PT Koaci Sinergi Indonesia</t>
  </si>
  <si>
    <t>Norman Ibrahim S</t>
  </si>
  <si>
    <t>normanibrahims@koaci.id</t>
  </si>
  <si>
    <t>ROBII'AH ALMA'UUNAH</t>
  </si>
  <si>
    <t>PT Taka Global Utama</t>
  </si>
  <si>
    <t>Leni</t>
  </si>
  <si>
    <t>TRI AGUS RIYANTO</t>
  </si>
  <si>
    <t>Bank Tabungan Negara</t>
  </si>
  <si>
    <t>Nurul</t>
  </si>
  <si>
    <t>nurulanisa210696@gmail.com</t>
  </si>
  <si>
    <t>WAHID PURNAMA AKBAR</t>
  </si>
  <si>
    <t>WAHYU RAMADAN</t>
  </si>
  <si>
    <t>PT BISI INTERNATIONAL TBK</t>
  </si>
  <si>
    <t>Dodi Zaenudin</t>
  </si>
  <si>
    <t>dodizaenudin.dz@gmail.com</t>
  </si>
  <si>
    <t>YULIANI</t>
  </si>
  <si>
    <t>Denny Kurniawan</t>
  </si>
  <si>
    <t>denny.kurniawan@dms.dialoguegroup.net</t>
  </si>
  <si>
    <t>Saya memanfaatkan kesempatan untuk menerima penawaran kerja dalam masa pendidikan saya untuk memperoleh pengalaman dan value dalam diri saya karena mampu bekerja sambil melaksanakan kuliah</t>
  </si>
  <si>
    <t>YUSI YUNIAR</t>
  </si>
  <si>
    <t>Perusahaan Start Up</t>
  </si>
  <si>
    <t>KRN SHOP</t>
  </si>
  <si>
    <t>Yusep Rahadian.,S.Kom</t>
  </si>
  <si>
    <t>Yuseprahadian@gmail.com</t>
  </si>
  <si>
    <t>ZESSY RIZKIA DESTANY</t>
  </si>
  <si>
    <t>&gt;70</t>
  </si>
  <si>
    <t>&gt;40</t>
  </si>
  <si>
    <t>&gt;25</t>
  </si>
  <si>
    <t>ALAN MATHEW</t>
  </si>
  <si>
    <t>PT. Daliatex Kusuma</t>
  </si>
  <si>
    <t>A. Ramdan</t>
  </si>
  <si>
    <t>achmadramdans@gmail.com</t>
  </si>
  <si>
    <t>ALINDA DEVI SOFIA</t>
  </si>
  <si>
    <t>Dal_miso (online shop)</t>
  </si>
  <si>
    <t>AMIRAH USWATUN HASANAH</t>
  </si>
  <si>
    <t>kurang lebih 20 perusahaan</t>
  </si>
  <si>
    <t>lebih dari 5 perusahaan</t>
  </si>
  <si>
    <t>kurang lebih 5</t>
  </si>
  <si>
    <t>PSYCHO</t>
  </si>
  <si>
    <t>ANNISA FEBRIANTARI</t>
  </si>
  <si>
    <t>PT Indofood CBP Sukses Makmur</t>
  </si>
  <si>
    <t>Agus Winarno</t>
  </si>
  <si>
    <t>DESSI HARTINI</t>
  </si>
  <si>
    <t>20 kurang</t>
  </si>
  <si>
    <t>20 kurang lebih</t>
  </si>
  <si>
    <t>PT PLANET EXCELENCIA PHARMACY</t>
  </si>
  <si>
    <t>Andi</t>
  </si>
  <si>
    <t>DHICA DINANTI</t>
  </si>
  <si>
    <t>FATIMATU ZACHRA ADELIA PUTRIE</t>
  </si>
  <si>
    <t>FRISKA SILALAHI</t>
  </si>
  <si>
    <t>PT Sri Indah Labetama</t>
  </si>
  <si>
    <t>Lutfhi</t>
  </si>
  <si>
    <t>GINA ISMATUL ASNA</t>
  </si>
  <si>
    <t xml:space="preserve">PT IDAMAN ERAMANDIRI </t>
  </si>
  <si>
    <t>Ibu Wacih</t>
  </si>
  <si>
    <t>ILHAM NUR RAMADAN</t>
  </si>
  <si>
    <t>PT Frisian Flag Indonesia</t>
  </si>
  <si>
    <t>Rizki Ginanjar</t>
  </si>
  <si>
    <t>ginanjarrizki240@gmail.com</t>
  </si>
  <si>
    <t>INDAH AGUSTINA CHRISTHA BELLA</t>
  </si>
  <si>
    <t>LOLC VENTURA INDONESIA</t>
  </si>
  <si>
    <t>Rinaldy Arlan</t>
  </si>
  <si>
    <t>RinaldyA@lolcventura.co.id</t>
  </si>
  <si>
    <t>INEKE APRILLIA LESTARI</t>
  </si>
  <si>
    <t>kurang lebih 50</t>
  </si>
  <si>
    <t>IVO AGESTI DWIYANTI</t>
  </si>
  <si>
    <t>TURFA NAJMI SADIKIN</t>
  </si>
  <si>
    <t>AFIFAH HASNA AULIYA</t>
  </si>
  <si>
    <t>PT IDAMAN ERA MANDIRI</t>
  </si>
  <si>
    <t>Ipur Sumarni</t>
  </si>
  <si>
    <t>ipur.sumarni@iem.co.id</t>
  </si>
  <si>
    <t>AMELLIA KHAIRUNNISA</t>
  </si>
  <si>
    <t>Shox Rumahan</t>
  </si>
  <si>
    <t>Niko</t>
  </si>
  <si>
    <t>ANAK AGUNG AYU MEGA DWITYA</t>
  </si>
  <si>
    <t>ARDIRA IRIN PRIATNI</t>
  </si>
  <si>
    <t>26 Perusahaan</t>
  </si>
  <si>
    <t>10-13 Perusahaan</t>
  </si>
  <si>
    <t>8-10 Perusahaan</t>
  </si>
  <si>
    <t>PT BANK CENTRAL ASIA TBK</t>
  </si>
  <si>
    <t>Fitri Hardiyanti</t>
  </si>
  <si>
    <t>fitri_hardiyanti@bca.co.id</t>
  </si>
  <si>
    <t>FARIS ZIKRURRAHMAN</t>
  </si>
  <si>
    <t>Rumah Amal Salman</t>
  </si>
  <si>
    <t>Ena Fitriana &amp; Inten silvie anderien</t>
  </si>
  <si>
    <t>sdm@rumahamal.org</t>
  </si>
  <si>
    <t>FAZRIA AZ ZAHRA</t>
  </si>
  <si>
    <t xml:space="preserve">Puluhan </t>
  </si>
  <si>
    <t xml:space="preserve">Belasan </t>
  </si>
  <si>
    <t>Beberapa</t>
  </si>
  <si>
    <t>FRANSISCA NABILA PUTRI</t>
  </si>
  <si>
    <t>FRIDA YUNIA SUKARNI</t>
  </si>
  <si>
    <t>MUDYA SHEGI ISLAMIA</t>
  </si>
  <si>
    <t>PT Tricada Intronik</t>
  </si>
  <si>
    <t>Martha Isabella</t>
  </si>
  <si>
    <t>Hcm@tritronik.com</t>
  </si>
  <si>
    <t>NADIA PADILAH</t>
  </si>
  <si>
    <t>sekitar 150</t>
  </si>
  <si>
    <t>sekitar 50</t>
  </si>
  <si>
    <t>sekitar 20</t>
  </si>
  <si>
    <t>PT. Vivo Mobile Indonesia</t>
  </si>
  <si>
    <t>Lydia Putri</t>
  </si>
  <si>
    <t>NANDA ADISTI</t>
  </si>
  <si>
    <t>Kurang lebih 30-40 perusahaan</t>
  </si>
  <si>
    <t>Sekitar 10-15 perusahaan</t>
  </si>
  <si>
    <t>Kurang dari 10</t>
  </si>
  <si>
    <t xml:space="preserve">PT Telekomunikasi Selular Indonesia </t>
  </si>
  <si>
    <t>Ibu Triana Gustiani</t>
  </si>
  <si>
    <t>NENG DEBI HUSNUN SALMA</t>
  </si>
  <si>
    <t>PT. Mika Sinergi Global</t>
  </si>
  <si>
    <t>Timothy</t>
  </si>
  <si>
    <t>NURUL ARDILLAH</t>
  </si>
  <si>
    <t>PT Idaman Era Mandiri</t>
  </si>
  <si>
    <t>ipursumarni@gmail.com</t>
  </si>
  <si>
    <t>Putri Melania Nur Rahmawati</t>
  </si>
  <si>
    <t>Lebih dari 10 perusahaan</t>
  </si>
  <si>
    <t>PT MUSTIKA NOL SEMBILAN</t>
  </si>
  <si>
    <t>Mr. Woo Hyun</t>
  </si>
  <si>
    <t>RAISSA TRI FADHILA</t>
  </si>
  <si>
    <t>tidak ada</t>
  </si>
  <si>
    <t>PT Ega Tekelindo Prima</t>
  </si>
  <si>
    <t>Syafira Armelia</t>
  </si>
  <si>
    <t>RIFKI MUHAMMAD MUFTI</t>
  </si>
  <si>
    <t xml:space="preserve">Pak Arhandhori </t>
  </si>
  <si>
    <t>anwar-hasyim@mina.mitsuba-gr.com</t>
  </si>
  <si>
    <t>SOPHIAN NAWAWI</t>
  </si>
  <si>
    <t>Universitas Terbuka</t>
  </si>
  <si>
    <t>S1 - Ilmu Administrasi Bisnis</t>
  </si>
  <si>
    <t>VIVI KARINA AULIAH</t>
  </si>
  <si>
    <t>Apaajabyvivi</t>
  </si>
  <si>
    <t>vivikarinaauliah17@gmail.com</t>
  </si>
  <si>
    <t>YOHANA HELENA HUTAHAEAN</t>
  </si>
  <si>
    <t>PT GRACIA PHARMINDO</t>
  </si>
  <si>
    <t>YOVITA SARI</t>
  </si>
  <si>
    <t>Puluhan</t>
  </si>
  <si>
    <t>CV Syifani Assa Mandiri</t>
  </si>
  <si>
    <t>Yordan Indka</t>
  </si>
  <si>
    <t>yordanindka80@gmail.com</t>
  </si>
  <si>
    <t>ARI FAJAR RAMDANI</t>
  </si>
  <si>
    <t>Kabupaten Kutai Kartanegara</t>
  </si>
  <si>
    <t>PT PAMAPERSADA NUSANTARA</t>
  </si>
  <si>
    <t>Pak Ferry Hendrarto</t>
  </si>
  <si>
    <t>ARYA KHOERUL ANWAR</t>
  </si>
  <si>
    <t>Kota Bekasi</t>
  </si>
  <si>
    <t>PT. JST INDONESIA</t>
  </si>
  <si>
    <t>Galuh Wirumbodo</t>
  </si>
  <si>
    <t>DAHLIA GABRIELLA</t>
  </si>
  <si>
    <t>DEVA MUHAMMAD SACHIO</t>
  </si>
  <si>
    <t>MRO</t>
  </si>
  <si>
    <t>PT NTP</t>
  </si>
  <si>
    <t>Eko Hary Kusdiyono</t>
  </si>
  <si>
    <t>ekohari@umcntp.co.id</t>
  </si>
  <si>
    <t>DIMAS DWI RIZKY NUGRAHA</t>
  </si>
  <si>
    <t>Unjani</t>
  </si>
  <si>
    <t>S1 - Teknik Mesin</t>
  </si>
  <si>
    <t>FARHAN FACHRUL ROZI</t>
  </si>
  <si>
    <t>FEBRIAN SETIAJI</t>
  </si>
  <si>
    <t>kurang lebih 100</t>
  </si>
  <si>
    <t>PT JST Indonesia</t>
  </si>
  <si>
    <t>M. Agust</t>
  </si>
  <si>
    <t>HERDIN FADLILLAH</t>
  </si>
  <si>
    <t>PT. JST Indonesia</t>
  </si>
  <si>
    <t>Daryanto</t>
  </si>
  <si>
    <t>daryanto@gmail.com</t>
  </si>
  <si>
    <t>IQRA MIFTAHUDIN</t>
  </si>
  <si>
    <t>LIANI NURKARIMAH</t>
  </si>
  <si>
    <t>kurang dari 10</t>
  </si>
  <si>
    <t>sekitar 5</t>
  </si>
  <si>
    <t>PT DIRGANTARA INDONESIA</t>
  </si>
  <si>
    <t>Ferdian Ramadhan</t>
  </si>
  <si>
    <t>LUTFIA NOVITASARI</t>
  </si>
  <si>
    <t>MOCH. RIFAL FADIYA</t>
  </si>
  <si>
    <t>Cukup banyak</t>
  </si>
  <si>
    <t>Kurang lebih 10</t>
  </si>
  <si>
    <t>PT. Astra Honda Motor</t>
  </si>
  <si>
    <t>Lucky Bayu Andrianto</t>
  </si>
  <si>
    <t>Perlu izin dari atasan langsung</t>
  </si>
  <si>
    <t xml:space="preserve">Memiliki ketertarikan di dunia manufacturing </t>
  </si>
  <si>
    <t>RISKI AHMAD RIYADI</t>
  </si>
  <si>
    <t>SALMANISA KINANTI ARMADANI</t>
  </si>
  <si>
    <t>S1 Teknik Mesin (ekstensi)</t>
  </si>
  <si>
    <t>ADE SAPUTRA</t>
  </si>
  <si>
    <t>DIANA CITRA DEWI</t>
  </si>
  <si>
    <t>kurang lebih 15</t>
  </si>
  <si>
    <t xml:space="preserve">PT Andala Valvo Flokontrol </t>
  </si>
  <si>
    <t xml:space="preserve">Ekky Pradita </t>
  </si>
  <si>
    <t>ekky.pradita@andalavalvo.com</t>
  </si>
  <si>
    <t>HUMAIROH</t>
  </si>
  <si>
    <t>MUHAMMAD FIKRI RAMDHANI SYAHID</t>
  </si>
  <si>
    <t>MUHAMMAD ILHAM BAIHAKI</t>
  </si>
  <si>
    <t>MUHAMMAD RAMZY YAFI</t>
  </si>
  <si>
    <t>Varley Indonesia</t>
  </si>
  <si>
    <t>Doris Novendra</t>
  </si>
  <si>
    <t>MUHAMMAD RIDWAN FIRDAUS</t>
  </si>
  <si>
    <t>Star Energy Geothermal</t>
  </si>
  <si>
    <t>Dwi Budiman</t>
  </si>
  <si>
    <t>NURANI CITRA LESTARI</t>
  </si>
  <si>
    <t>20&gt;</t>
  </si>
  <si>
    <t>Star Energy Geothermal.ltd</t>
  </si>
  <si>
    <t>Taufik Nasrul Albi</t>
  </si>
  <si>
    <t>taufik.nasrulalbi@starenergy.co.id</t>
  </si>
  <si>
    <t>SHOFI NURSANIYA</t>
  </si>
  <si>
    <t>MI Layyina</t>
  </si>
  <si>
    <t>Susanti</t>
  </si>
  <si>
    <t>WILDAN MAULUDI</t>
  </si>
  <si>
    <t>Kabupaten Sukabumi</t>
  </si>
  <si>
    <t>PT Glostar Indonesia</t>
  </si>
  <si>
    <t>Miftahudin Agung</t>
  </si>
  <si>
    <t>Ujang Pudin</t>
  </si>
  <si>
    <t>Â± 100</t>
  </si>
  <si>
    <t>Â±20</t>
  </si>
  <si>
    <t>ALDI LUGINA</t>
  </si>
  <si>
    <t>PT. ZI-TECHASIA</t>
  </si>
  <si>
    <t>Agus Herdianto</t>
  </si>
  <si>
    <t>agus.herdianto@zi-argus.com</t>
  </si>
  <si>
    <t>BISMA FERRIAND</t>
  </si>
  <si>
    <t>lebih dari 5</t>
  </si>
  <si>
    <t>Kabupaten Serang</t>
  </si>
  <si>
    <t>PT IMCP</t>
  </si>
  <si>
    <t>Dede Sutisna</t>
  </si>
  <si>
    <t>info@imcp.co.id</t>
  </si>
  <si>
    <t>DANANG AJI PANGESTU</t>
  </si>
  <si>
    <t>Kota Bogor</t>
  </si>
  <si>
    <t>PT Goodyear Indonesia</t>
  </si>
  <si>
    <t>Pak Redhy</t>
  </si>
  <si>
    <t>redhy_satriyanto@goodyear.com</t>
  </si>
  <si>
    <t>DIMAS MULYA PUTRA</t>
  </si>
  <si>
    <t>PT. Honeywell Indonesia</t>
  </si>
  <si>
    <t>Yustiana Yosep</t>
  </si>
  <si>
    <t>yosep.yustiana@honeywell.com</t>
  </si>
  <si>
    <t>ELISA HARIYANTI</t>
  </si>
  <si>
    <t>PT Perintis Pelayanan Paripurna</t>
  </si>
  <si>
    <t>Tanti Andiriana</t>
  </si>
  <si>
    <t>FANNY FUJIAWAN</t>
  </si>
  <si>
    <t>tidak terhitung</t>
  </si>
  <si>
    <t>PT Ganeca Enviromental Services</t>
  </si>
  <si>
    <t>Muhammad Sonny Abfertiawan</t>
  </si>
  <si>
    <t>MSA@gesi.co.id</t>
  </si>
  <si>
    <t>HAURA FIKRIYAH HAKIMAH</t>
  </si>
  <si>
    <t>IRFAN MAULANA SHIDIK</t>
  </si>
  <si>
    <t>Kurang dari 5 perusahaan</t>
  </si>
  <si>
    <t>PT Ganeca Environmental Services</t>
  </si>
  <si>
    <t>Dr. Ir. Muhammad Sonny Abfertiawan</t>
  </si>
  <si>
    <t>msa@gesi.co.id</t>
  </si>
  <si>
    <t>IVAN YUDA PRASETYA</t>
  </si>
  <si>
    <t>PT Mitsubishi Electric Indonesia</t>
  </si>
  <si>
    <t>Yulfan Albani</t>
  </si>
  <si>
    <t>Yulfan.Albani@asia.meap.com</t>
  </si>
  <si>
    <t>MIFTAH HASAN FUADI</t>
  </si>
  <si>
    <t xml:space="preserve">PT Dankos Farma </t>
  </si>
  <si>
    <t>Ken afif andre</t>
  </si>
  <si>
    <t>Kenafifandre@gmail.com</t>
  </si>
  <si>
    <t>MOCHAMAD FAHRUL DWI PUTRA</t>
  </si>
  <si>
    <t>Dinas Perhubungan Kota Bandung</t>
  </si>
  <si>
    <t>Andri Fernando Sijabat,S.S.T (TD), MM</t>
  </si>
  <si>
    <t>MUHAMMAD NUR FAUZI</t>
  </si>
  <si>
    <t>20 lebih</t>
  </si>
  <si>
    <t>berkisar 7</t>
  </si>
  <si>
    <t>Lawencon</t>
  </si>
  <si>
    <t>Imam Farisi</t>
  </si>
  <si>
    <t>imam.farisi@lawencon.com</t>
  </si>
  <si>
    <t>PUTRA MAHARDIKA</t>
  </si>
  <si>
    <t>PT Sunstar Engineering Indonesia</t>
  </si>
  <si>
    <t>Marsudi</t>
  </si>
  <si>
    <t>marsudi.abuarafah@gmail.com</t>
  </si>
  <si>
    <t>RANGGA VEGA</t>
  </si>
  <si>
    <t>Kuat Suwarto</t>
  </si>
  <si>
    <t>kuat.suwarto@gmail.com</t>
  </si>
  <si>
    <t>REGI ADRIANA SAPUTRA</t>
  </si>
  <si>
    <t>Indonesia Multi Colour Printing</t>
  </si>
  <si>
    <t>Mukhayat Arif Basyarudin</t>
  </si>
  <si>
    <t>Ngga tau</t>
  </si>
  <si>
    <t>RICKY EVAN ANUGRAH FIRDAUS</t>
  </si>
  <si>
    <t>PT. Scada Prima Cipta</t>
  </si>
  <si>
    <t>Fuady Ramdhani</t>
  </si>
  <si>
    <t>fuad@scada.co.id</t>
  </si>
  <si>
    <t>RYAN DWI SETIAWAN</t>
  </si>
  <si>
    <t>Dankos Farma</t>
  </si>
  <si>
    <t>Ken Afif Andrie</t>
  </si>
  <si>
    <t>ken.andrie@dankosfarma.com</t>
  </si>
  <si>
    <t>WILDAN MUHAMMAD</t>
  </si>
  <si>
    <t>YUSUP MULKAN</t>
  </si>
  <si>
    <t>PT Goodyear Indonesia tbk</t>
  </si>
  <si>
    <t>Sarjimin</t>
  </si>
  <si>
    <t>Sarjimi.sarjimin@gmail.com</t>
  </si>
  <si>
    <t>AMEILIA WULANDARI</t>
  </si>
  <si>
    <t>START UP</t>
  </si>
  <si>
    <t>PT XIRKA</t>
  </si>
  <si>
    <t>BPK. YUSUF YUDHANTO</t>
  </si>
  <si>
    <t>yusuf.yudhanto@xooey.id</t>
  </si>
  <si>
    <t>ARIP SAMSUDIN</t>
  </si>
  <si>
    <t>Kabupaten Barito Selatan</t>
  </si>
  <si>
    <t>PT. PAMAPERSADA NUSANTARA</t>
  </si>
  <si>
    <t>Aulia Miraz Nurholis</t>
  </si>
  <si>
    <t>PT Murti indah Sentosa</t>
  </si>
  <si>
    <t>Timotius Hidayat</t>
  </si>
  <si>
    <t>tim29hdyt@murtiindahsentosa.com</t>
  </si>
  <si>
    <t>DELTA PRAYOGA NUGRAHA</t>
  </si>
  <si>
    <t>Kota Depok</t>
  </si>
  <si>
    <t xml:space="preserve">PT. MITRA BATAVIA SEMESTA </t>
  </si>
  <si>
    <t>Iqbal Muttaqin</t>
  </si>
  <si>
    <t>Iqbalmuttaqin@gmail.com</t>
  </si>
  <si>
    <t>GADING AMBANG MUKTI KHARISMA PUTRA</t>
  </si>
  <si>
    <t>Kabupaten Bojonegoro</t>
  </si>
  <si>
    <t>PT. Pilar Bahtera Energi</t>
  </si>
  <si>
    <t>H.D Siahaan</t>
  </si>
  <si>
    <t>GALUH GIRI SATRIAWAN</t>
  </si>
  <si>
    <t>PT INFRASTRUKTUR TELEKOMUNIKASI INDONESIA (TELKOMINFRA)</t>
  </si>
  <si>
    <t>Wahyu Lastiyanto</t>
  </si>
  <si>
    <t>wahyu@telkominfra.co.id</t>
  </si>
  <si>
    <t>IRSAL FAHREZI NURHUDA</t>
  </si>
  <si>
    <t>KHAIRUL RIJAL JANNATI</t>
  </si>
  <si>
    <t>MOCHAMAD RIZALDI</t>
  </si>
  <si>
    <t>Procter &amp; Gamble</t>
  </si>
  <si>
    <t>Edward Siahaan</t>
  </si>
  <si>
    <t>siahaan.e@pg.com</t>
  </si>
  <si>
    <t>MOCHAMAD RIZKY NUGRAHA</t>
  </si>
  <si>
    <t>UNJANI</t>
  </si>
  <si>
    <t>S1 - TEKNIK ELEKTRO</t>
  </si>
  <si>
    <t>MUHAMMAD IQBAL MAULANA</t>
  </si>
  <si>
    <t>PT GS Battery</t>
  </si>
  <si>
    <t>Ricky E Prasetyo</t>
  </si>
  <si>
    <t>ricky.prasetyo@gs.astra.co.id</t>
  </si>
  <si>
    <t>PINA PAULINA</t>
  </si>
  <si>
    <t>SALSABILLA NUR ANNISA</t>
  </si>
  <si>
    <t>YANDI KURNIAWAN</t>
  </si>
  <si>
    <t xml:space="preserve">PT Schlumberger </t>
  </si>
  <si>
    <t>Ramalinggam Budhaya Kumaren</t>
  </si>
  <si>
    <t>Rkumaren@slb.com</t>
  </si>
  <si>
    <t>AHMAD YUSRIL HAFIDHUDIN</t>
  </si>
  <si>
    <t>ALLI NUR MAGRIBI</t>
  </si>
  <si>
    <t>PT Xirka Dama Persada</t>
  </si>
  <si>
    <t>Prof. Trio Adiono</t>
  </si>
  <si>
    <t>tadiono@gmail.com</t>
  </si>
  <si>
    <t>DEVINA SAUMITA HASNI</t>
  </si>
  <si>
    <t>HILAL QUTHBIRROBBAANI</t>
  </si>
  <si>
    <t>Kabupaten Kutai Timur</t>
  </si>
  <si>
    <t xml:space="preserve">PT PAMAPERSADA NUSANTARA </t>
  </si>
  <si>
    <t>Masih beririsan, cuman kebanyakan hal yang baru, dan masih mungkin diimprove</t>
  </si>
  <si>
    <t>IBNU ALI BADAR</t>
  </si>
  <si>
    <t>PT. Xirka Darma Persada</t>
  </si>
  <si>
    <t>Sylvia W. Sumarlin</t>
  </si>
  <si>
    <t>INDAH MIA NINGSIH</t>
  </si>
  <si>
    <t>IRVAN KURNIAWAN</t>
  </si>
  <si>
    <t>Kabupaten Barito Utara</t>
  </si>
  <si>
    <t>PT PAMA PERSADA NUSANTARA</t>
  </si>
  <si>
    <t>Deny Sugianto</t>
  </si>
  <si>
    <t>deny.sugianto@pamapersada.com</t>
  </si>
  <si>
    <t>LISDA AYU YULIANA</t>
  </si>
  <si>
    <t>REZA KURNIAWAN</t>
  </si>
  <si>
    <t>Krakatau Nippon Steel Synergy</t>
  </si>
  <si>
    <t>Didik Haryadi</t>
  </si>
  <si>
    <t>RIO WISNU AJI</t>
  </si>
  <si>
    <t>Kota Salatiga</t>
  </si>
  <si>
    <t>Formulatrix</t>
  </si>
  <si>
    <t>Angga Buana Diasta</t>
  </si>
  <si>
    <t>angga.diasta@formulatrix.com</t>
  </si>
  <si>
    <t>SHERLI MYA SALEHAH</t>
  </si>
  <si>
    <t>30% nya</t>
  </si>
  <si>
    <t>PT TKG taekwang indonesia</t>
  </si>
  <si>
    <t>Kunkun kuntara</t>
  </si>
  <si>
    <t>Kunkun.kf@taekwang.com</t>
  </si>
  <si>
    <t>SINDY NOVARIA CICILYA SINAGA</t>
  </si>
  <si>
    <t>PT. Satunol Mikro Sistem</t>
  </si>
  <si>
    <t>Ojahan Hutajulu</t>
  </si>
  <si>
    <t>ojahan@satunol.com</t>
  </si>
  <si>
    <t>VICKY MUHAMMAD DZULFIKAR BASRAH</t>
  </si>
  <si>
    <t>WAHYU GESIT WASKITO JATI</t>
  </si>
  <si>
    <t>PT. SEASCAPE SURVEYS INDONESIA</t>
  </si>
  <si>
    <t>Dharu Sunarnyoto</t>
  </si>
  <si>
    <t>Dharu@seascapesurveys.com</t>
  </si>
  <si>
    <t>Delta Rahmat Fajar Delviansyah</t>
  </si>
  <si>
    <t>Unit4</t>
  </si>
  <si>
    <t>Zulmi Nurzaman</t>
  </si>
  <si>
    <t>zulmi.nurzaman@unit4.com</t>
  </si>
  <si>
    <t>Irsyad Farhan Ramadhan</t>
  </si>
  <si>
    <t>PT. NTT Data Indonesia</t>
  </si>
  <si>
    <t>Sony Harianto</t>
  </si>
  <si>
    <t>Muhamad Andi Zulfikar Day</t>
  </si>
  <si>
    <t>PT. Padepokan Tujuh Sembilan</t>
  </si>
  <si>
    <t>Arif Syaripudin</t>
  </si>
  <si>
    <t>79arifsyaripudin@gmail.com</t>
  </si>
  <si>
    <t>Muhammad Alwan Farid</t>
  </si>
  <si>
    <t>Sigit Raharjo</t>
  </si>
  <si>
    <t>Sigit.Raharjo@apac.nttdata.com</t>
  </si>
  <si>
    <t>Zahra Cesalia</t>
  </si>
  <si>
    <t>JIMI RUMBIAK</t>
  </si>
  <si>
    <t>MOHAMMAD RAFLI HILMI</t>
  </si>
  <si>
    <t>RIZKY AGUNG HADI FIRDAUS</t>
  </si>
  <si>
    <t>YUSRIL SYAH YUSUF</t>
  </si>
  <si>
    <t>Ganesha79</t>
  </si>
  <si>
    <t>Anastasia</t>
  </si>
  <si>
    <t>Anastasia.sherin@gmail.com</t>
  </si>
  <si>
    <t>AFIF RANA MUHAMMAD</t>
  </si>
  <si>
    <t>IDStar Cipta Teknologi</t>
  </si>
  <si>
    <t>Kamalludin</t>
  </si>
  <si>
    <t>kamalludin@idstar.co.id</t>
  </si>
  <si>
    <t>AHMAD AJI NAUFAL ALI</t>
  </si>
  <si>
    <t>Tokopedia</t>
  </si>
  <si>
    <t>Mulyadi Setiawan</t>
  </si>
  <si>
    <t>mulyadi.setiawan@tokopedia.com</t>
  </si>
  <si>
    <t>ALIFIA SYALSABILA</t>
  </si>
  <si>
    <t>PT. Meditrans Global</t>
  </si>
  <si>
    <t>Hariz A</t>
  </si>
  <si>
    <t>hrzadnn@gmail.com</t>
  </si>
  <si>
    <t>ANGGITA INTAN FANIA</t>
  </si>
  <si>
    <t>PT. Neural Technologies Indonesia</t>
  </si>
  <si>
    <t>Yuyus Hidayat</t>
  </si>
  <si>
    <t>yuyus.hidayat@gmail.com</t>
  </si>
  <si>
    <t>ANNAZAR DARUL ISMAWAN</t>
  </si>
  <si>
    <t>PT Harmoni Mitra Jayandra</t>
  </si>
  <si>
    <t>Harun Kurnia</t>
  </si>
  <si>
    <t>surat.untuk.harun@gmail.com</t>
  </si>
  <si>
    <t>ATIKA KHOIRUNNISA</t>
  </si>
  <si>
    <t>Kota Tangerang Selatan</t>
  </si>
  <si>
    <t>PT. Antikode Desain Eksperiensia</t>
  </si>
  <si>
    <t>Fajar Saptono</t>
  </si>
  <si>
    <t>fajar@antikode.com</t>
  </si>
  <si>
    <t>CAHYA RAMADHAN</t>
  </si>
  <si>
    <t>Harun Kurnia Al-Rasyid</t>
  </si>
  <si>
    <t>surat.buat.harun@gmail.com</t>
  </si>
  <si>
    <t>FADLY TRIANSYAH RAHMAN</t>
  </si>
  <si>
    <t>FARHAN RAHMAT ABDILLAH</t>
  </si>
  <si>
    <t>sesuai</t>
  </si>
  <si>
    <t>HAMZAH PRASETIO UTOMO</t>
  </si>
  <si>
    <t>Harmoni Mitra Jayandra</t>
  </si>
  <si>
    <t>Dedi Mulyana</t>
  </si>
  <si>
    <t>dedi.mulyana@gmail.com</t>
  </si>
  <si>
    <t>ILHAM GIBRAN ACHMAD MUDZAKIR</t>
  </si>
  <si>
    <t>PT SejutaCita Anak Muda Indonesia</t>
  </si>
  <si>
    <t>Muhammad Iqbal Abdul Ghoni</t>
  </si>
  <si>
    <t>me@arsfiqbal.com</t>
  </si>
  <si>
    <t>IMANDA SYAHRUL RAMADHAN</t>
  </si>
  <si>
    <t>PT RADIKA GANESHA BAHAGI (Rolling Glory Jam)</t>
  </si>
  <si>
    <t>Dominikus Damas Putranto</t>
  </si>
  <si>
    <t>damas@rollingglory.com</t>
  </si>
  <si>
    <t>MELINA PRATIWI NURLIANA</t>
  </si>
  <si>
    <t>PT. NTI</t>
  </si>
  <si>
    <t>Yuyus</t>
  </si>
  <si>
    <t>yuyus@nti.co.id</t>
  </si>
  <si>
    <t>MUHAMMAD AFIF MUZAKKI</t>
  </si>
  <si>
    <t>PT Daya Anugrah Mandiri</t>
  </si>
  <si>
    <t>Asep Jamaludin</t>
  </si>
  <si>
    <t>MUHAMMAD AZRA SABILA</t>
  </si>
  <si>
    <t>Lebih dari 30</t>
  </si>
  <si>
    <t>Lebih dari 15</t>
  </si>
  <si>
    <t>PT. Agate International</t>
  </si>
  <si>
    <t>Nicko Pratama</t>
  </si>
  <si>
    <t>unickverses@agate.id</t>
  </si>
  <si>
    <t>MUHAMMAD RANDI NOOR</t>
  </si>
  <si>
    <t>PT Len Industri (Persero)</t>
  </si>
  <si>
    <t>Heru Permana</t>
  </si>
  <si>
    <t>heru.permana.89@gmail.com</t>
  </si>
  <si>
    <t>MUHAMMAD REYHAN SOEHARTO</t>
  </si>
  <si>
    <t>NiceDay Indonesia</t>
  </si>
  <si>
    <t>MUHAMMAD SALMAN AL HAFIZH</t>
  </si>
  <si>
    <t>&gt; 20</t>
  </si>
  <si>
    <t>&gt; 15</t>
  </si>
  <si>
    <t>PT Antikode</t>
  </si>
  <si>
    <t>Laskar</t>
  </si>
  <si>
    <t>laskar@antikode.com</t>
  </si>
  <si>
    <t>MUMUH KUSTINO MUHARRAM</t>
  </si>
  <si>
    <t>PT  Berkah Manis Makmur</t>
  </si>
  <si>
    <t>Sofwan Sofyan</t>
  </si>
  <si>
    <t>sofwansofyan@rejosomanisindo.com</t>
  </si>
  <si>
    <t>REGAWA RAMA PRAYOGA</t>
  </si>
  <si>
    <t>RIZKI AFRIZAL SUPRIYANTO</t>
  </si>
  <si>
    <t>sruat.buat.harun@gmail.com</t>
  </si>
  <si>
    <t>SOPHIA GIANINA DAELI</t>
  </si>
  <si>
    <t xml:space="preserve">PT. Harmoni Mitra Jayandra </t>
  </si>
  <si>
    <t>Harun Kurnia Al Rasyied</t>
  </si>
  <si>
    <t>harun@garudainfinity.com</t>
  </si>
  <si>
    <t>TIARA LESTARI SUBARAN</t>
  </si>
  <si>
    <t>PT. Harmoni Mitra Jayandra</t>
  </si>
  <si>
    <t>dedi.mulyana@gmail</t>
  </si>
  <si>
    <t>ZIKRI ARIACHANDRA</t>
  </si>
  <si>
    <t>PT Inovasi Anak Indonesia</t>
  </si>
  <si>
    <t>Andreas Susilo</t>
  </si>
  <si>
    <t>andreas.susilo@parkee.app</t>
  </si>
  <si>
    <t>Tidak tahu</t>
  </si>
  <si>
    <t>ABDUL HADI NUR HAQ</t>
  </si>
  <si>
    <t>Â± 10</t>
  </si>
  <si>
    <t>Â± 7</t>
  </si>
  <si>
    <t>PT. Kirana Tama Teknologi (Emveep)</t>
  </si>
  <si>
    <t>Heribertus Hariyanto</t>
  </si>
  <si>
    <t>h.hariyanto@kiranatama.com</t>
  </si>
  <si>
    <t>ADHITYA FEBHIAKBAR</t>
  </si>
  <si>
    <t>Koinworks</t>
  </si>
  <si>
    <t>Henry Hanaly</t>
  </si>
  <si>
    <t>henry.hanaly@koinworks.com</t>
  </si>
  <si>
    <t>AJI MUHAMMAD ZAPAR</t>
  </si>
  <si>
    <t xml:space="preserve">satu </t>
  </si>
  <si>
    <t>satu</t>
  </si>
  <si>
    <t>Sejuta cita</t>
  </si>
  <si>
    <t>Iqbal Muhammad Abdul Ghoni</t>
  </si>
  <si>
    <t>me@arsfiqball.com</t>
  </si>
  <si>
    <t>ANDI FAUZY DEWANTARA</t>
  </si>
  <si>
    <t>Ruangguru</t>
  </si>
  <si>
    <t>Andreas Widijargo</t>
  </si>
  <si>
    <t>andreas.widijargo@ruangguru.com</t>
  </si>
  <si>
    <t>ARIS PURNOMO</t>
  </si>
  <si>
    <t>OCBC NISP</t>
  </si>
  <si>
    <t>Jodie Tanusanjaya</t>
  </si>
  <si>
    <t>jodie.tanusanjaya@ocbcnisp.com</t>
  </si>
  <si>
    <t>ELZA ESTERINA</t>
  </si>
  <si>
    <t>Kabayan Group</t>
  </si>
  <si>
    <t>Ria</t>
  </si>
  <si>
    <t>FAHMI WIDIANTO</t>
  </si>
  <si>
    <t>PT. Lingkar niaga solusindo (Icube by Sirclo)</t>
  </si>
  <si>
    <t>Trisna Risnandar</t>
  </si>
  <si>
    <t>trisna.risnandar@sirclo.com</t>
  </si>
  <si>
    <t>FEBRIYOGA BAGUS SATRIA</t>
  </si>
  <si>
    <t>Huawei</t>
  </si>
  <si>
    <t>Oky Dede Setiawan</t>
  </si>
  <si>
    <t>dede.setiawan.ext@huawei.com</t>
  </si>
  <si>
    <t>GINA MELINIA</t>
  </si>
  <si>
    <t>ILHAM TRIZA KURNIAWAN</t>
  </si>
  <si>
    <t>Universitas Dian Nuswantoro</t>
  </si>
  <si>
    <t>S1 - Teknik Informatika</t>
  </si>
  <si>
    <t>IMANIAR SALSABILA FATHINA</t>
  </si>
  <si>
    <t>PT. Samudra Aplikasi Indonesia</t>
  </si>
  <si>
    <t>Dedy Setyawan</t>
  </si>
  <si>
    <t>dedy@mysai.co.id</t>
  </si>
  <si>
    <t>IRVAN KADHAFI</t>
  </si>
  <si>
    <t>Kumparan</t>
  </si>
  <si>
    <t>Agung Hariadi Tedja</t>
  </si>
  <si>
    <t>LISTIANA HASANAH DEWI</t>
  </si>
  <si>
    <t>PT Telekomunikasi Indonesia, Tbk (Persero)</t>
  </si>
  <si>
    <t>Gatot Imam Sukoco</t>
  </si>
  <si>
    <t>730170@telkom.co.id</t>
  </si>
  <si>
    <t>LUTHFI ALRI</t>
  </si>
  <si>
    <t>CV. Garuda Infinity Kreasindo</t>
  </si>
  <si>
    <t>MUHAMMAD ALFARIZI</t>
  </si>
  <si>
    <t>8+</t>
  </si>
  <si>
    <t>5+</t>
  </si>
  <si>
    <t>Kerja Remote</t>
  </si>
  <si>
    <t>Mamaguru</t>
  </si>
  <si>
    <t>Alfona Kang</t>
  </si>
  <si>
    <t>alfona@mamaguru.co</t>
  </si>
  <si>
    <t>MUHAMMAD ILHAM SURYA</t>
  </si>
  <si>
    <t>PT LEN INDUSTRI</t>
  </si>
  <si>
    <t>Muhammad Rubiyanto</t>
  </si>
  <si>
    <t>rubiyanto.permana.k@len.co.id</t>
  </si>
  <si>
    <t>NURALLISHA RAHMANDA</t>
  </si>
  <si>
    <t>PT Bejana Investidata Globalindo</t>
  </si>
  <si>
    <t>Fadhilah M. F.</t>
  </si>
  <si>
    <t>fadhilah@bigio.id</t>
  </si>
  <si>
    <t>RAYHAN ZHARFAN AL GHIFARI</t>
  </si>
  <si>
    <t>UNIKOM</t>
  </si>
  <si>
    <t>S1 - Informatika</t>
  </si>
  <si>
    <t>Renol Putra Hanafi</t>
  </si>
  <si>
    <t>GDP Labs</t>
  </si>
  <si>
    <t>On Lee</t>
  </si>
  <si>
    <t>onlee@gdplabs.id</t>
  </si>
  <si>
    <t>REZKY WAHYUDA SITEPU</t>
  </si>
  <si>
    <t>Kazee</t>
  </si>
  <si>
    <t>Pujo Laksono</t>
  </si>
  <si>
    <t>kakakganteng@gmail.com</t>
  </si>
  <si>
    <t>RIFQI YUNER</t>
  </si>
  <si>
    <t>PT Len Industri Persero</t>
  </si>
  <si>
    <t>Adiyasa Nurfallah</t>
  </si>
  <si>
    <t>adiyasa.nurfalah@gmail.com</t>
  </si>
  <si>
    <t>ROFIQ SUHAYANA</t>
  </si>
  <si>
    <t>PT. Bejana Investidata Globalindo</t>
  </si>
  <si>
    <t>Alfin Bahtiyar</t>
  </si>
  <si>
    <t>Hello@bigio.id</t>
  </si>
  <si>
    <t>SALMA MELDIYANA</t>
  </si>
  <si>
    <t>CV Garuda Infinity Kreasindo</t>
  </si>
  <si>
    <t>Mira Utami</t>
  </si>
  <si>
    <t>mirasaraswati.jtk12@gmail.com</t>
  </si>
  <si>
    <t>WINDA AMELIA HIDAYAT</t>
  </si>
  <si>
    <t>Arif Khairuddin</t>
  </si>
  <si>
    <t>arif.khairuddin@bigio.id</t>
  </si>
  <si>
    <t>ADI WIDYANTO</t>
  </si>
  <si>
    <t>PT. Global Dinamika Informatika</t>
  </si>
  <si>
    <t>Sandy Kwary</t>
  </si>
  <si>
    <t>AKBAR NUR FAISHAL</t>
  </si>
  <si>
    <t>NTT</t>
  </si>
  <si>
    <t>Norma Afianti</t>
  </si>
  <si>
    <t>norma.afianti@global.ntt</t>
  </si>
  <si>
    <t>ALYA MAHARANI PUTRI JUHANA</t>
  </si>
  <si>
    <t>PT United Tractors Tbk</t>
  </si>
  <si>
    <t>Feby Zaini Octafani</t>
  </si>
  <si>
    <t>febyzo@unitedtractors.com</t>
  </si>
  <si>
    <t>ATTHORIQ GERHANA FIRDAUS</t>
  </si>
  <si>
    <t>ikan@garudainfinity.com</t>
  </si>
  <si>
    <t>BENING PROMISTYA ANANDITA QOLBU</t>
  </si>
  <si>
    <t>Qtasnim</t>
  </si>
  <si>
    <t>Janwar Iskandar</t>
  </si>
  <si>
    <t>DWIANA KAMILA A.S</t>
  </si>
  <si>
    <t>PT Digital Waqf Ventura</t>
  </si>
  <si>
    <t>Prawito Hudoro</t>
  </si>
  <si>
    <t>prawitohudoro@globalwakafcorpora.id</t>
  </si>
  <si>
    <t>FAHMI IDRIS</t>
  </si>
  <si>
    <t>PT Insan Agritama Teknologi</t>
  </si>
  <si>
    <t>Shiddiq Aziz</t>
  </si>
  <si>
    <t>shiddiqitt@gmail.com</t>
  </si>
  <si>
    <t>FUAD SHERI FIRDAUS</t>
  </si>
  <si>
    <t>PT. Oktagon</t>
  </si>
  <si>
    <t>Caroline Fortuna E. S</t>
  </si>
  <si>
    <t>carol.easterlita@gmail.com</t>
  </si>
  <si>
    <t>HANA KIRANA</t>
  </si>
  <si>
    <t>&gt; 5</t>
  </si>
  <si>
    <t xml:space="preserve">PT BIS DATA INDONESIA </t>
  </si>
  <si>
    <t>ICHWAN LATIF FAJARI</t>
  </si>
  <si>
    <t>Rizky Wahyu Setiawan</t>
  </si>
  <si>
    <t>rizky.wahyu@inovasi360.id</t>
  </si>
  <si>
    <t>IKHSAN SETIAWAN</t>
  </si>
  <si>
    <t>Garuda Infinity Kreasindo</t>
  </si>
  <si>
    <t>Harun kurnia</t>
  </si>
  <si>
    <t>IRFAN SISWARA</t>
  </si>
  <si>
    <t>PT Bee Solution Partners</t>
  </si>
  <si>
    <t>Andrian Setiawan</t>
  </si>
  <si>
    <t>Andrian.setiawan@beesolutionpartners</t>
  </si>
  <si>
    <t>Ivan Eka Putra</t>
  </si>
  <si>
    <t>Ritase</t>
  </si>
  <si>
    <t>Nabil</t>
  </si>
  <si>
    <t>nabil@ritase.com</t>
  </si>
  <si>
    <t>KHALID HASAN</t>
  </si>
  <si>
    <t>NiceDay Nederland</t>
  </si>
  <si>
    <t>KRESNA BAYU SANYOTO</t>
  </si>
  <si>
    <t>Widyatama</t>
  </si>
  <si>
    <t>M REZKY BAYUSETYA</t>
  </si>
  <si>
    <t>PT Len Industri</t>
  </si>
  <si>
    <t>Adiyasa Nurfalah</t>
  </si>
  <si>
    <t>MOCH. IRWAN SANDHYA NUGRAHA</t>
  </si>
  <si>
    <t>PT Kirana Tama Teknologi (Emveep)</t>
  </si>
  <si>
    <t>David Prasetya</t>
  </si>
  <si>
    <t>david@emveep.com</t>
  </si>
  <si>
    <t>MOHAMMAD IQBAL KRISNA PANGESTU</t>
  </si>
  <si>
    <t>Huawei Technology Indonesia</t>
  </si>
  <si>
    <t>Dede Okay Setiawan</t>
  </si>
  <si>
    <t>DedeOkayExt@huawei.com</t>
  </si>
  <si>
    <t>MUHAMMAD ZAKI DEVARA</t>
  </si>
  <si>
    <t>PT Traveloka Indonesia</t>
  </si>
  <si>
    <t>Fachri</t>
  </si>
  <si>
    <t>fachri@traveloka.com</t>
  </si>
  <si>
    <t>NADIA PUTRI DAMAYANTI</t>
  </si>
  <si>
    <t>PT Merah Cipta Media</t>
  </si>
  <si>
    <t>Fikry Apriyansyah</t>
  </si>
  <si>
    <t>fikry.apriyansyah@merahciptamedia.co.id</t>
  </si>
  <si>
    <t>NADIRA ARASYA NURUL SYAJA'AH</t>
  </si>
  <si>
    <t>PT. Traveloka Indonesia</t>
  </si>
  <si>
    <t>William Lazuardi</t>
  </si>
  <si>
    <t>william.lazuardi@traveloka.com</t>
  </si>
  <si>
    <t>RENDI KAMIL ABDILLAH</t>
  </si>
  <si>
    <t>PT Altaflix Techno Global</t>
  </si>
  <si>
    <t>Abdul Hamied</t>
  </si>
  <si>
    <t>abdul.hamied@altaflix.com</t>
  </si>
  <si>
    <t>Saya akan mulai mencari kerja lagi untuk minggu ini</t>
  </si>
  <si>
    <t>RHIO ADJIE FABIAN</t>
  </si>
  <si>
    <t>Xtremax</t>
  </si>
  <si>
    <t>Untung Ginardi</t>
  </si>
  <si>
    <t>RIZQA FAUZIYYAH NABILA</t>
  </si>
  <si>
    <t>PT. Bejana Investidata Globalindo (BIGIO)</t>
  </si>
  <si>
    <t>Fadhilah MF</t>
  </si>
  <si>
    <t>Ya, sedang mencari kesempatan lainnya</t>
  </si>
  <si>
    <t>SATRIA NATA BHASKARA</t>
  </si>
  <si>
    <t>PT Kirana Tama Teknologi</t>
  </si>
  <si>
    <t xml:space="preserve">David Prasetya </t>
  </si>
  <si>
    <t>AGISNI NURSALMA ATSILAH</t>
  </si>
  <si>
    <t>Â±10</t>
  </si>
  <si>
    <t xml:space="preserve">PT Kao Indonesia </t>
  </si>
  <si>
    <t>Wiwi Indriani Pandia</t>
  </si>
  <si>
    <t>AHYA SITI HASANAH</t>
  </si>
  <si>
    <t>Kabupaten Cianjur</t>
  </si>
  <si>
    <t>PT Trio Mitra Sejati</t>
  </si>
  <si>
    <t>Salim</t>
  </si>
  <si>
    <t>AKMAL HANIF ADHIMI</t>
  </si>
  <si>
    <t>P&amp;G</t>
  </si>
  <si>
    <t>ALFARIZ DWI PRADANA</t>
  </si>
  <si>
    <t>PT. Asahimas Chemical</t>
  </si>
  <si>
    <t>Adrian Adnan</t>
  </si>
  <si>
    <t>adrian.kustedja@agc.com</t>
  </si>
  <si>
    <t>ANITA AURA PRAMUDITA</t>
  </si>
  <si>
    <t>Kabupaten Kebumen</t>
  </si>
  <si>
    <t xml:space="preserve">Aura Florist </t>
  </si>
  <si>
    <t>Anita Aura Pramudita</t>
  </si>
  <si>
    <t>anitaaurapramudita6@gmail.com</t>
  </si>
  <si>
    <t>ANNISA NURLELI</t>
  </si>
  <si>
    <t>Sekitar 15-20</t>
  </si>
  <si>
    <t>PT Kao Indonesia Karawang Factory</t>
  </si>
  <si>
    <t>Monica Angel</t>
  </si>
  <si>
    <t>ARNIDA SUHARTINI JUANINGSIH</t>
  </si>
  <si>
    <t>AULIA RAHMA SAFARINA</t>
  </si>
  <si>
    <t>Makanan</t>
  </si>
  <si>
    <t>PT trio food</t>
  </si>
  <si>
    <t>AZIZ ALFIANSYAH</t>
  </si>
  <si>
    <t>PT P&amp;G Operations Indonesia</t>
  </si>
  <si>
    <t>Kevin William</t>
  </si>
  <si>
    <t>kevinwilliam1992@gmail.com</t>
  </si>
  <si>
    <t>CHOIZAR ALWI</t>
  </si>
  <si>
    <t>5 Perusahaan</t>
  </si>
  <si>
    <t>2 Perusahaan</t>
  </si>
  <si>
    <t>PT Asahimas Chemical</t>
  </si>
  <si>
    <t>FIFI YANI</t>
  </si>
  <si>
    <t>PT. Kao Indonesia</t>
  </si>
  <si>
    <t>Ridhya Amir</t>
  </si>
  <si>
    <t>HILDA FANIA AGUSTIN</t>
  </si>
  <si>
    <t>PT Perusahaan Industri Ceres</t>
  </si>
  <si>
    <t>Papat Patimah</t>
  </si>
  <si>
    <t>HOLIS MUHLIS</t>
  </si>
  <si>
    <t>Orang tua, PPA &amp; Perusahaan</t>
  </si>
  <si>
    <t>PT Vaksindo Satwa Nusantara</t>
  </si>
  <si>
    <t>Aviandhana Dazha H. P.</t>
  </si>
  <si>
    <t>aviandhana.poerwa@japfa.com</t>
  </si>
  <si>
    <t>Saya menyukai pekerjaan saya</t>
  </si>
  <si>
    <t>IKANG SOBAR MAULANA</t>
  </si>
  <si>
    <t>IRENANDA REGITHA</t>
  </si>
  <si>
    <t>&lt;5</t>
  </si>
  <si>
    <t>LULU SALSABILA</t>
  </si>
  <si>
    <t>&gt;200</t>
  </si>
  <si>
    <t>PT Sanbe Farma</t>
  </si>
  <si>
    <t>Mardhani Irwan</t>
  </si>
  <si>
    <t>dhanisanbeinfus@gmail.com</t>
  </si>
  <si>
    <t>MUHAMAD NAUFAL IFTIKAR FADHILAH</t>
  </si>
  <si>
    <t>Kurang lebih 30</t>
  </si>
  <si>
    <t>Kota Bau-Bau</t>
  </si>
  <si>
    <t>PT KARTIKA PRIMA ABADI</t>
  </si>
  <si>
    <t>Sudarman</t>
  </si>
  <si>
    <t>MUHAMMAD FAUZY RAMADHANA QOBUS</t>
  </si>
  <si>
    <t>6 instansi</t>
  </si>
  <si>
    <t>2 perusahaan</t>
  </si>
  <si>
    <t>PT. PADI HIJAU BUANA</t>
  </si>
  <si>
    <t>Ibu Marpuah</t>
  </si>
  <si>
    <t>marpuahphb@yahoo.com</t>
  </si>
  <si>
    <t>NABIL HIBAR GHIFARI</t>
  </si>
  <si>
    <t>PT.CERES</t>
  </si>
  <si>
    <t>Dyla Noermila</t>
  </si>
  <si>
    <t>dylanoermila07@gmail.com</t>
  </si>
  <si>
    <t>Mencari pengalaman</t>
  </si>
  <si>
    <t>PANJI MUSLIMIN</t>
  </si>
  <si>
    <t xml:space="preserve">lebih 10 </t>
  </si>
  <si>
    <t>Kurang dari 5</t>
  </si>
  <si>
    <t>PT Mayora Indah Tbk</t>
  </si>
  <si>
    <t>RAISA SITA AMALIA</t>
  </si>
  <si>
    <t>Universitas Jendral Achmad Yani (UNJANI)</t>
  </si>
  <si>
    <t>S1  - Teknik Kimia</t>
  </si>
  <si>
    <t>RANTI RAHMAWATI</t>
  </si>
  <si>
    <t>PT. SANBE FARMA</t>
  </si>
  <si>
    <t>Apt. Ihsan Rahmatillah</t>
  </si>
  <si>
    <t>SALMA SAPANA MEDIANA PUTRI</t>
  </si>
  <si>
    <t>PT Indowira</t>
  </si>
  <si>
    <t>Asep teten</t>
  </si>
  <si>
    <t>SHIFA NURUL JANNAH</t>
  </si>
  <si>
    <t>PT Kao</t>
  </si>
  <si>
    <t>SINDY RIZKIA SALSABILA</t>
  </si>
  <si>
    <t>SISMADINIA</t>
  </si>
  <si>
    <t>Kota Pangkal Pinang</t>
  </si>
  <si>
    <t>Badan Pusat Statistik</t>
  </si>
  <si>
    <t>M. Hasbi</t>
  </si>
  <si>
    <t>TASYA SHAFIRA WIDJAYA</t>
  </si>
  <si>
    <t>TEREZA AULIA OKTAVIANI</t>
  </si>
  <si>
    <t>PT KAO INDONESIA KARAWANG FACTORY</t>
  </si>
  <si>
    <t>Sampuspita Sari</t>
  </si>
  <si>
    <t>TIA NOVIANTI</t>
  </si>
  <si>
    <t>&gt;10 perusahaan</t>
  </si>
  <si>
    <t>Superintendent</t>
  </si>
  <si>
    <t>ADE YANTI NURFAIDAH</t>
  </si>
  <si>
    <t xml:space="preserve">ruang Raya Indonesia </t>
  </si>
  <si>
    <t>Maya Amelia</t>
  </si>
  <si>
    <t>AKMAL KHAIRULLAH ALLAM</t>
  </si>
  <si>
    <t>S1 - Teknik Kimia</t>
  </si>
  <si>
    <t>AMANDA GITA ANGGRAENI</t>
  </si>
  <si>
    <t>PT. Feng Tay</t>
  </si>
  <si>
    <t>Sindy M.</t>
  </si>
  <si>
    <t>Fokus saya masih kepada mempelajari proses produksi serta kebutuhannya, meskipun produksi nya kurang erat hubungannya dengan bidang saya</t>
  </si>
  <si>
    <t>ANASTASYA LISYE POLII</t>
  </si>
  <si>
    <t>Kota Bitung</t>
  </si>
  <si>
    <t>PT. Multi Nabati Sulawesi (WILMAR GROUP)</t>
  </si>
  <si>
    <t>ANISA NUR FADILAH</t>
  </si>
  <si>
    <t>Sekitar 150</t>
  </si>
  <si>
    <t>&lt; 20</t>
  </si>
  <si>
    <t>Sekitar 15</t>
  </si>
  <si>
    <t>PT Tirta Gracia Semesta Mandiri</t>
  </si>
  <si>
    <t>Anda Juanda</t>
  </si>
  <si>
    <t>AWALUM MELANITRIA</t>
  </si>
  <si>
    <t>Lebih dari 50 perusahaan</t>
  </si>
  <si>
    <t>Kurang dari 10 perusahaan</t>
  </si>
  <si>
    <t>C. YUDHA HIDAYATULLOH</t>
  </si>
  <si>
    <t>CHANDRA AZTARIS</t>
  </si>
  <si>
    <t>PT. Mustika Aksara Mandiri</t>
  </si>
  <si>
    <t>Dedi Haryadi</t>
  </si>
  <si>
    <t>DHEANA PUTRI LESTARI</t>
  </si>
  <si>
    <t>Revital Clinic</t>
  </si>
  <si>
    <t>Weike Silvyano</t>
  </si>
  <si>
    <t>DONI HERMAWAN</t>
  </si>
  <si>
    <t xml:space="preserve">PT Asahimas Chemical </t>
  </si>
  <si>
    <t>Agustinus Harnowo</t>
  </si>
  <si>
    <t>GERRY ZEFANYA MARTIN SARAGIH</t>
  </si>
  <si>
    <t xml:space="preserve">PT Pindo Deli </t>
  </si>
  <si>
    <t>I WAYAN ADHITAMA NUGRAHA</t>
  </si>
  <si>
    <t>Baramulti Group</t>
  </si>
  <si>
    <t>Tya Kusumah</t>
  </si>
  <si>
    <t>tya_k@baramultigroup.com</t>
  </si>
  <si>
    <t>IKKE PURWATI</t>
  </si>
  <si>
    <t>Kurang dari 20 perusahaan</t>
  </si>
  <si>
    <t>Sekitar 5-10 perusahaan</t>
  </si>
  <si>
    <t>Orang tua dn Beasiswa Alumni TK</t>
  </si>
  <si>
    <t>Kabupaten Majalengka</t>
  </si>
  <si>
    <t>PT. ICONPAINT KARYA INDONESIA SUBKON WIKA INDUSTRI &amp; KONSTRUKSI</t>
  </si>
  <si>
    <t>Husin</t>
  </si>
  <si>
    <t>ILMA ALIFIA</t>
  </si>
  <si>
    <t>Pt. Emsonic Indonesia</t>
  </si>
  <si>
    <t>JENNIFER</t>
  </si>
  <si>
    <t>Bintang toedjoe</t>
  </si>
  <si>
    <t>KANIA DEWI</t>
  </si>
  <si>
    <t>Kabupaten Purwakarta</t>
  </si>
  <si>
    <t>PT. Sinar Sukses Mandiri</t>
  </si>
  <si>
    <t>Ade Heriana</t>
  </si>
  <si>
    <t>adeheriana7@gmail.com</t>
  </si>
  <si>
    <t>MUHAMAD RUSDAN FADILA</t>
  </si>
  <si>
    <t>EPC</t>
  </si>
  <si>
    <t>PT. MASRIFA JAYA</t>
  </si>
  <si>
    <t>MUHAMMAD FADLY WIRYAWAN KAUTSAR</t>
  </si>
  <si>
    <t>PT ASAHIMAS CHEMICAL</t>
  </si>
  <si>
    <t>Aditya Putra P.</t>
  </si>
  <si>
    <t>aditya.putra@agc.com</t>
  </si>
  <si>
    <t>OKI PUTRA DARMAWAN</t>
  </si>
  <si>
    <t>PT. Krakatau Nippon Steel Synergy</t>
  </si>
  <si>
    <t>Leonardo Morio Sakurai</t>
  </si>
  <si>
    <t>RESTI NURUL HIDAYAH</t>
  </si>
  <si>
    <t>Emsonic Indonesia</t>
  </si>
  <si>
    <t>Pak Sahromi</t>
  </si>
  <si>
    <t>RIFKI ARDIANSYAH</t>
  </si>
  <si>
    <t>RIJAL MUYASAR FAHMI</t>
  </si>
  <si>
    <t>Coca Cola Europacific Partners Indonesia</t>
  </si>
  <si>
    <t>Sigit Utomo</t>
  </si>
  <si>
    <t>sigit.utomo@ccep.com</t>
  </si>
  <si>
    <t>RIZKIYA HASANAH</t>
  </si>
  <si>
    <t>PT Emsonic Indonesia</t>
  </si>
  <si>
    <t>sesuai dengan kemampuan dan pengalaman organisasi yang saya miliki</t>
  </si>
  <si>
    <t>SITIO. THEODORA E</t>
  </si>
  <si>
    <t>SOLEHUDDIN AL-AYUBI</t>
  </si>
  <si>
    <t>PT ASAHIMAS CHECIMAL</t>
  </si>
  <si>
    <t>ZEIN W.</t>
  </si>
  <si>
    <t>TRIYOGA MEIDITAMA PUTRA</t>
  </si>
  <si>
    <t>PT Pangansari Utama Food Resources</t>
  </si>
  <si>
    <t>VINDA SUCIATI RAHAYU</t>
  </si>
  <si>
    <t>PT Kao Indonesia</t>
  </si>
  <si>
    <t>AFIFAH FAUZIAH HUWAIDA</t>
  </si>
  <si>
    <t>&gt; 30</t>
  </si>
  <si>
    <t>Â± 5</t>
  </si>
  <si>
    <t>Idaman era mandiri</t>
  </si>
  <si>
    <t>Dewi kurniasari</t>
  </si>
  <si>
    <t>AIDA FITRI AINI</t>
  </si>
  <si>
    <t>PT Mahakarya Sampurna Hutama</t>
  </si>
  <si>
    <t>Ir. Rahmat Raya Putra Harahap</t>
  </si>
  <si>
    <t>rahmatharahap987@yahoo.com</t>
  </si>
  <si>
    <t>Sesuai Passion</t>
  </si>
  <si>
    <t>ANNISA NURLATIFAH</t>
  </si>
  <si>
    <t xml:space="preserve">Star Energy Geothermal </t>
  </si>
  <si>
    <t>Dwi Sapto Handoko</t>
  </si>
  <si>
    <t>handokd@starenergy.co.id</t>
  </si>
  <si>
    <t>DISHAFIRA NABELLA AOLINDAR</t>
  </si>
  <si>
    <t xml:space="preserve">PT Dipa Pharmalab Intersains </t>
  </si>
  <si>
    <t>ELTA MELAN FITRIYANI</t>
  </si>
  <si>
    <t>PT Dipa Pharmalab Intersains</t>
  </si>
  <si>
    <t>Henry Himawan</t>
  </si>
  <si>
    <t>+62 857 2948 0050</t>
  </si>
  <si>
    <t>HERVITA KHOIRUN NISA</t>
  </si>
  <si>
    <t>JIHAN AMILIA NURIANSYAH</t>
  </si>
  <si>
    <t xml:space="preserve">Kurang lebih 15 </t>
  </si>
  <si>
    <t>Kurang lebih 5</t>
  </si>
  <si>
    <t>Kota Tarakan</t>
  </si>
  <si>
    <t xml:space="preserve">PT Tri Mitra Makmur </t>
  </si>
  <si>
    <t xml:space="preserve">Pembimbing Magang pak Abbas </t>
  </si>
  <si>
    <t>Masih magang</t>
  </si>
  <si>
    <t>LUTHFIANA NURFAUZIAH</t>
  </si>
  <si>
    <t>PT. Perusahaan Industri Ceres</t>
  </si>
  <si>
    <t>Elsa Fadilah</t>
  </si>
  <si>
    <t>pcchoc.255@gmail.com</t>
  </si>
  <si>
    <t>PAQIH PURNAMA ALAM</t>
  </si>
  <si>
    <t>PT. South Pacific Viscose, Lenzing Group</t>
  </si>
  <si>
    <t>Mr. Mashuda</t>
  </si>
  <si>
    <t>PUTRI UTAMI DITA CAHYA</t>
  </si>
  <si>
    <t>PT Indowira Putra</t>
  </si>
  <si>
    <t>Reza Garmana</t>
  </si>
  <si>
    <t>reza.garmana@gmail.com</t>
  </si>
  <si>
    <t>RAHMI ALMALIKUS SA'ADAH</t>
  </si>
  <si>
    <t xml:space="preserve">PT. DIPA PHARMALAB INTERSAINS </t>
  </si>
  <si>
    <t>Henry</t>
  </si>
  <si>
    <t>RIPA MARDIANA</t>
  </si>
  <si>
    <t>Wenni WA, Maria SM</t>
  </si>
  <si>
    <t>RIRIN RISMAWATI</t>
  </si>
  <si>
    <t>PT. TIM</t>
  </si>
  <si>
    <t>Rizka Andhika Prisshinta</t>
  </si>
  <si>
    <t>shinta@tsuzuki.co.id</t>
  </si>
  <si>
    <t>RIVALDHY HAPOSAN SILALAHI</t>
  </si>
  <si>
    <t>PT Procter &amp; Gamble Operations Indonesia</t>
  </si>
  <si>
    <t>SALSABILA AURELIA WULANDANISA</t>
  </si>
  <si>
    <t>SARIPAH</t>
  </si>
  <si>
    <t xml:space="preserve">Lebih dari 10 </t>
  </si>
  <si>
    <t>PT dipa Pharmalab Intersains</t>
  </si>
  <si>
    <t>Pak Henry Himawan</t>
  </si>
  <si>
    <t>SHABRINA SABILA SHIDIQ</t>
  </si>
  <si>
    <t>WINA MAULIDA</t>
  </si>
  <si>
    <t>Lotte Contruction and Engineering Co. (Kine Project Co.)</t>
  </si>
  <si>
    <t>Jeon Munsoo</t>
  </si>
  <si>
    <t>munsoo.jeon@lotte.net</t>
  </si>
  <si>
    <t>Naurah Trixie Satrya</t>
  </si>
  <si>
    <t>Wirausaha</t>
  </si>
  <si>
    <t>Trixie Bakes</t>
  </si>
  <si>
    <t>Naurah Trixie</t>
  </si>
  <si>
    <t>naurahtrixies@gmail.com</t>
  </si>
  <si>
    <t>AHMAD MUHAMMAD</t>
  </si>
  <si>
    <t>PT Solusi Tirta Optima</t>
  </si>
  <si>
    <t>Intan Siti Hardianti</t>
  </si>
  <si>
    <t>intansh10@gmail.com</t>
  </si>
  <si>
    <t>AISYAH HAURAINA ANDIKARINI</t>
  </si>
  <si>
    <t>Rekso National Food</t>
  </si>
  <si>
    <t>Oti Malia</t>
  </si>
  <si>
    <t>Otimalia@gmail.com</t>
  </si>
  <si>
    <t>ANNISA</t>
  </si>
  <si>
    <t>PT Indoboiler</t>
  </si>
  <si>
    <t>Fanny Damishu</t>
  </si>
  <si>
    <t>AWAYNI HUSNA</t>
  </si>
  <si>
    <t>PT Avery Dennison</t>
  </si>
  <si>
    <t>Orry Dwi Prastiyo</t>
  </si>
  <si>
    <t>orrydwi.prastiyo@ap.averydennison.com</t>
  </si>
  <si>
    <t>Memang diterimanya di sini aja</t>
  </si>
  <si>
    <t>DEFINA RIZKITA NITIMIHARDJA</t>
  </si>
  <si>
    <t>PT Harapan Interaksi Swadaya</t>
  </si>
  <si>
    <t>Isroi</t>
  </si>
  <si>
    <t>Isroi@greenhope.co</t>
  </si>
  <si>
    <t>Membantu menanggulangi permasalahan sampah plastik</t>
  </si>
  <si>
    <t>DEVITA UTAMI MARDIANI</t>
  </si>
  <si>
    <t xml:space="preserve">lebih dari 50 </t>
  </si>
  <si>
    <t>PT Mitra Karawangjaya</t>
  </si>
  <si>
    <t>Nurdin Rosadi</t>
  </si>
  <si>
    <t>aldin.nurdin999@gmail.com</t>
  </si>
  <si>
    <t>DEWI LUTFI JULIANA</t>
  </si>
  <si>
    <t>Kabupaten Tuban</t>
  </si>
  <si>
    <t xml:space="preserve">PT. Pertamina </t>
  </si>
  <si>
    <t>Belum dapat, masih training</t>
  </si>
  <si>
    <t>DHIYA NADHIFAH SALSABILA</t>
  </si>
  <si>
    <t>PT. Heksatex Indah</t>
  </si>
  <si>
    <t>Selly Aprilianti</t>
  </si>
  <si>
    <t>sellyaprilianti@gmail.com</t>
  </si>
  <si>
    <t>GAMALIEL TANAKA</t>
  </si>
  <si>
    <t>HANIF</t>
  </si>
  <si>
    <t xml:space="preserve">At-tashdiq </t>
  </si>
  <si>
    <t>Dani Kusumah, M.Pd.</t>
  </si>
  <si>
    <t>Kitabindonesia@gmail.com</t>
  </si>
  <si>
    <t>Saya membuka lowongan pekerjaan</t>
  </si>
  <si>
    <t>HIKMAH BUDIARTI</t>
  </si>
  <si>
    <t>50-70</t>
  </si>
  <si>
    <t>ISMA NUR AZIZAH</t>
  </si>
  <si>
    <t>PT. TKG Taekwang</t>
  </si>
  <si>
    <t>Riyanto</t>
  </si>
  <si>
    <t>Riyanto@tkg.kr.id</t>
  </si>
  <si>
    <t>ISMI FAUZIAH AZHARI</t>
  </si>
  <si>
    <t>PT Paragon Technology and Innovation</t>
  </si>
  <si>
    <t>Citra Wira Laksana</t>
  </si>
  <si>
    <t>cwir.laksana@gmail.com</t>
  </si>
  <si>
    <t>MARIO KONSACHRISTIAN</t>
  </si>
  <si>
    <t>Padi Hijau Buana</t>
  </si>
  <si>
    <t>Marpuah</t>
  </si>
  <si>
    <t>MARISSA SILVI DWI LESTARI</t>
  </si>
  <si>
    <t>MUHAMMAD AZMAN HIZBURROHMAN</t>
  </si>
  <si>
    <t>MUHAMMAD FIKRI RAHMADILLAH</t>
  </si>
  <si>
    <t>PT. AYOE INDOTAMA TEXTILE</t>
  </si>
  <si>
    <t>Didin</t>
  </si>
  <si>
    <t>MUHAMMAD HELLDY RIVALDY</t>
  </si>
  <si>
    <t>10+</t>
  </si>
  <si>
    <t>PT TKG Taekwang Indonesia</t>
  </si>
  <si>
    <t>Pak Riyanto</t>
  </si>
  <si>
    <t>riyanto@taekwang.co.kr</t>
  </si>
  <si>
    <t>MUHAMMAD MISBAHUSSALAM</t>
  </si>
  <si>
    <t>5-10 Lamaran</t>
  </si>
  <si>
    <t>2-5 respons</t>
  </si>
  <si>
    <t>2-3 wawancara</t>
  </si>
  <si>
    <t>MUHAMMAD NAUFAL MAHDY</t>
  </si>
  <si>
    <t>NADYA AMELINDA ZAHAR</t>
  </si>
  <si>
    <t>lebih dari 150</t>
  </si>
  <si>
    <t>sekitar 7</t>
  </si>
  <si>
    <t>PT Bersama Zatta Jaya</t>
  </si>
  <si>
    <t>Nuraida</t>
  </si>
  <si>
    <t>nure.aida@elzatta.com</t>
  </si>
  <si>
    <t>NEILA ZAKIAH HANUN</t>
  </si>
  <si>
    <t>PT Hartadinata Abadi Tbk</t>
  </si>
  <si>
    <t>Sony Kang</t>
  </si>
  <si>
    <t>samuel.eunike@gmail.com</t>
  </si>
  <si>
    <t>NIRA AULIA HANIFAH</t>
  </si>
  <si>
    <t>&lt;50</t>
  </si>
  <si>
    <t>PT Mitrausaha Indonesia Grup</t>
  </si>
  <si>
    <t>OKTAVIAN DIDIK NUR HOLIQ</t>
  </si>
  <si>
    <t>PT Bina Karya Prima</t>
  </si>
  <si>
    <t>Sri Wulandari</t>
  </si>
  <si>
    <t>thiwulandari@gmail.com</t>
  </si>
  <si>
    <t>RAWIYAH KHAIRUNIDA' SHALIHAH</t>
  </si>
  <si>
    <t>S2 - Teknik Kimia</t>
  </si>
  <si>
    <t>RISYDA FUADAH</t>
  </si>
  <si>
    <t>PT Schlumberger Geography Nusantara</t>
  </si>
  <si>
    <t>Aghnia Mushni</t>
  </si>
  <si>
    <t>SYIFA RURI SANDYANTI</t>
  </si>
  <si>
    <t>ZACHRA FADHILA NASTITI</t>
  </si>
  <si>
    <t>Helmi Mufidz Maula</t>
  </si>
  <si>
    <t>AINI MUTIARA SYABANI</t>
  </si>
  <si>
    <t>EcoEdu.id</t>
  </si>
  <si>
    <t>Dr. Asep Sofyan, S.T, M.T.</t>
  </si>
  <si>
    <t>satriandiharatua@gmail.com</t>
  </si>
  <si>
    <t>ALYA SHAFIRA EFFENDI</t>
  </si>
  <si>
    <t>HAFIZH TARUNA SUBAGDJA</t>
  </si>
  <si>
    <t>Pt. Miura Indonesia</t>
  </si>
  <si>
    <t>Nandang</t>
  </si>
  <si>
    <t>Nandang@miurqz.com</t>
  </si>
  <si>
    <t>M. ARIEF RAFIANTO</t>
  </si>
  <si>
    <t>82 perusahaan</t>
  </si>
  <si>
    <t>7 perusahaan</t>
  </si>
  <si>
    <t>PT. Heavenly Nutrition Indonesia</t>
  </si>
  <si>
    <t>Rakhmat Widodo</t>
  </si>
  <si>
    <t>rakhmat.widodo@heavenlyblush.com</t>
  </si>
  <si>
    <t>Saya sudah membutuhkan pendapatan untuk biaya hidup</t>
  </si>
  <si>
    <t>MUHAMMAD FAUZAN NAWAWI</t>
  </si>
  <si>
    <t>MUHAMMAD IDHAM NUGROHO</t>
  </si>
  <si>
    <t>PT PGN SOLUTION</t>
  </si>
  <si>
    <t>DENNY EKO LISTIONO</t>
  </si>
  <si>
    <t>denny.listiono@pgn-solution.co.id</t>
  </si>
  <si>
    <t>NIGEL GERALD ABIYYU TRIWAHYONO</t>
  </si>
  <si>
    <t>E-Lead Electronics</t>
  </si>
  <si>
    <t>Thidawan (Thailand)</t>
  </si>
  <si>
    <t>Thidawan@e-lead.co.th</t>
  </si>
  <si>
    <t>RAFLI RAZIQI RAHMAN ALDIKA</t>
  </si>
  <si>
    <t>OFI Indonesia</t>
  </si>
  <si>
    <t>Iwan adinata</t>
  </si>
  <si>
    <t>AIZAR RIFKI</t>
  </si>
  <si>
    <t>PT. Takenaka Indonesia</t>
  </si>
  <si>
    <t>Dadan R</t>
  </si>
  <si>
    <t>AYU RAHMANI</t>
  </si>
  <si>
    <t>PT Hanastha Karya Mandiri</t>
  </si>
  <si>
    <t>Charles Manik</t>
  </si>
  <si>
    <t>CEP AJI KUSNIAJI</t>
  </si>
  <si>
    <t>Kabupaten Tasikmalaya</t>
  </si>
  <si>
    <t>Mekar Rahayu</t>
  </si>
  <si>
    <t>Iyus Kusnadi</t>
  </si>
  <si>
    <t>Cindy Mutiara Bella</t>
  </si>
  <si>
    <t>sekitar 10</t>
  </si>
  <si>
    <t>Kementerian Perhubungan Republik Indonesia</t>
  </si>
  <si>
    <t>Pak Yusuf</t>
  </si>
  <si>
    <t>DAFA RIZKIA MAULANA BERFIN</t>
  </si>
  <si>
    <t>Kota Samarinda</t>
  </si>
  <si>
    <t>Traktor Nusantara</t>
  </si>
  <si>
    <t>Bambang Edi</t>
  </si>
  <si>
    <t>bambang.edi@traknus.co.id</t>
  </si>
  <si>
    <t>DIAN PERMATASARI</t>
  </si>
  <si>
    <t>pt citra karsa dinamika</t>
  </si>
  <si>
    <t>desi ariani s</t>
  </si>
  <si>
    <t>ckd.badanusaha@gmail.com</t>
  </si>
  <si>
    <t>DICKY APRIYANTO</t>
  </si>
  <si>
    <t>PT Berdikari Pondasi Perkasa</t>
  </si>
  <si>
    <t>Rachmad Hutagalung</t>
  </si>
  <si>
    <t>rachmad.hutagalung@gmail.com</t>
  </si>
  <si>
    <t>DWI FAIZAL NUGRAHA</t>
  </si>
  <si>
    <t xml:space="preserve">PT SEACAD SERVICES </t>
  </si>
  <si>
    <t>Dimas Aditia Putra</t>
  </si>
  <si>
    <t>dimas@seacad.com</t>
  </si>
  <si>
    <t>FAUZAN ANNABA</t>
  </si>
  <si>
    <t>PT SEACAD SERVICES</t>
  </si>
  <si>
    <t>Bpk. Mahfut (Team Leader)</t>
  </si>
  <si>
    <t>FAVIAN SHEVA KHRISTIAWAN</t>
  </si>
  <si>
    <t>Universitas Jenderal Achmad Yani</t>
  </si>
  <si>
    <t>S1- Teknik Sipil</t>
  </si>
  <si>
    <t>FITRA MULYA SAPUTRA</t>
  </si>
  <si>
    <t>S1 - Teknik Sipil</t>
  </si>
  <si>
    <t>GINA YUNIAR</t>
  </si>
  <si>
    <t>PT. Hutama Karya</t>
  </si>
  <si>
    <t>Kurniawan Bogo Y.</t>
  </si>
  <si>
    <t>bogoyustanto03@gmail.com</t>
  </si>
  <si>
    <t>ITSNA ANISAH ELVIANI</t>
  </si>
  <si>
    <t>kurang lebih 50 perusahaan</t>
  </si>
  <si>
    <t>kurang lebih 3 perusahaan</t>
  </si>
  <si>
    <t>TAMKO Indonesia</t>
  </si>
  <si>
    <t>Bapak Aman Halim</t>
  </si>
  <si>
    <t>tamko_ind@yahoo.com</t>
  </si>
  <si>
    <t>KETHLIN ZANETA</t>
  </si>
  <si>
    <t>MAYA ROSMITA</t>
  </si>
  <si>
    <t>PT. Biyan Awal Mandiri</t>
  </si>
  <si>
    <t>Ali Rosidi</t>
  </si>
  <si>
    <t>alirosidi@hotmail.com</t>
  </si>
  <si>
    <t>MOCHAMAD AZMI GHIFARI</t>
  </si>
  <si>
    <t>CV. ULTIMA PERSADA</t>
  </si>
  <si>
    <t>ELANG SAMUDRA</t>
  </si>
  <si>
    <t>elangsamudra13@gmail.com</t>
  </si>
  <si>
    <t xml:space="preserve">Mencari pengalaman </t>
  </si>
  <si>
    <t>MUHAMMAD DAFFA ADITYA</t>
  </si>
  <si>
    <t>Singapore</t>
  </si>
  <si>
    <t>Meinhardt FaÃ§ade Technology (S) Pte Ltd</t>
  </si>
  <si>
    <t>Triadi Bagus Gumilar</t>
  </si>
  <si>
    <t>triadibagusgumilar@gmail.com</t>
  </si>
  <si>
    <t>NANDI LUTFI RAHMI</t>
  </si>
  <si>
    <t>Kota Surakarta</t>
  </si>
  <si>
    <t>PT. Waskita Karya</t>
  </si>
  <si>
    <t>Adham Esaba, SKM</t>
  </si>
  <si>
    <t>adhame013@gmail.com</t>
  </si>
  <si>
    <t>RD. HANIFAH ASYIFA NURACHMAH</t>
  </si>
  <si>
    <t>PT.KARYA AMANAH KONSTRUKSI</t>
  </si>
  <si>
    <t>Kunchoro</t>
  </si>
  <si>
    <t>hanifahasyifa@gmail.com</t>
  </si>
  <si>
    <t>RIZKI NUR MAULANA</t>
  </si>
  <si>
    <t>Kabupaten Grobogan</t>
  </si>
  <si>
    <t>PT. RAJAWALI GITA MANDIRI</t>
  </si>
  <si>
    <t>SUYONO</t>
  </si>
  <si>
    <t>Rajawal.gita.mandiri@gmail.com</t>
  </si>
  <si>
    <t>SASKIA SALSABILA AINUN</t>
  </si>
  <si>
    <t>PT. Tripatra Engineers And Constructors</t>
  </si>
  <si>
    <t>Afrian Rahmat A</t>
  </si>
  <si>
    <t>Saskia.Ainun@tripatra.com</t>
  </si>
  <si>
    <t>SHAFIRA EDINA ANDIANI</t>
  </si>
  <si>
    <t>CV. Arenstra</t>
  </si>
  <si>
    <t>Nana</t>
  </si>
  <si>
    <t>THOPAN DEPANZA</t>
  </si>
  <si>
    <t>PT. Seacad Services</t>
  </si>
  <si>
    <t>Agus Suryadi</t>
  </si>
  <si>
    <t>agus@seacad.com</t>
  </si>
  <si>
    <t>VIRDA IEZMA AL MAYDA</t>
  </si>
  <si>
    <t>S1 Paralel - Teknik Sipil</t>
  </si>
  <si>
    <t>ZAKI ABDUL ROJAK</t>
  </si>
  <si>
    <t>1 PERUSAHAAN</t>
  </si>
  <si>
    <t>PT. SEACAD SERVICE</t>
  </si>
  <si>
    <t>SUTRISNO</t>
  </si>
  <si>
    <t>SUTRISNO@SEACAD.COM</t>
  </si>
  <si>
    <t>ADITIYA GHIYAT MUSTAFA</t>
  </si>
  <si>
    <t>ALDI PERDANA MARPAUNG</t>
  </si>
  <si>
    <t>PT. Indojaya Sukses Makmur</t>
  </si>
  <si>
    <t>Pradono Siswantoro</t>
  </si>
  <si>
    <t>ANDRIANY MARETA</t>
  </si>
  <si>
    <t>PT. Sarana Jaya Nusasentosa</t>
  </si>
  <si>
    <t>Kusmawati</t>
  </si>
  <si>
    <t>waty01.yani@gmail.com</t>
  </si>
  <si>
    <t>ANNISA INDY VANIARTHA</t>
  </si>
  <si>
    <t>PT. Bumindo Abadi Mandiri</t>
  </si>
  <si>
    <t>Bayu Sandy Jatmiko</t>
  </si>
  <si>
    <t>ARFAN SYAHRUL NURMANSYAH</t>
  </si>
  <si>
    <t>Pemda kab bekasi</t>
  </si>
  <si>
    <t>AURA BES ASIATIKA</t>
  </si>
  <si>
    <t>AZQI FAZQIA</t>
  </si>
  <si>
    <t>WIKA BETON</t>
  </si>
  <si>
    <t>Pak Naufal</t>
  </si>
  <si>
    <t>Sesuai</t>
  </si>
  <si>
    <t>DINDA FIKA MAULIDAH ZAINS</t>
  </si>
  <si>
    <t>PT Muhasabah Land</t>
  </si>
  <si>
    <t>Bu Fitria Lucyansyah</t>
  </si>
  <si>
    <t>fitrialucyansyah@gmail.com</t>
  </si>
  <si>
    <t>DZULKIFLI RASYID</t>
  </si>
  <si>
    <t>PT. Trimitra Asri Tama</t>
  </si>
  <si>
    <t>GABRIELA VIRGINIA TAMBUNAN</t>
  </si>
  <si>
    <t>Kaikayu Kreasi Huni</t>
  </si>
  <si>
    <t>Ihwan Pratama</t>
  </si>
  <si>
    <t>ipratama48@gmail.com</t>
  </si>
  <si>
    <t>HAFIFAH HASNA</t>
  </si>
  <si>
    <t>Lebih dari 100 perusahaan</t>
  </si>
  <si>
    <t>Mungkin -/+ 80</t>
  </si>
  <si>
    <t>-/+ 10</t>
  </si>
  <si>
    <t>PT Jaya Jet Konstruksi</t>
  </si>
  <si>
    <t>Salsabila</t>
  </si>
  <si>
    <t>Jetkonstruksi@gmail.com</t>
  </si>
  <si>
    <t>INDRIYANI</t>
  </si>
  <si>
    <t>Windy Motor</t>
  </si>
  <si>
    <t>Warianto</t>
  </si>
  <si>
    <t>Windimotor01@gmail.com</t>
  </si>
  <si>
    <t>KARINA BELLA PUTERI NUGROHO</t>
  </si>
  <si>
    <t>PT Sinergi Utama Persada</t>
  </si>
  <si>
    <t>Nen Kardijanto</t>
  </si>
  <si>
    <t>LISYE NANDA AMALIA</t>
  </si>
  <si>
    <t>kurang lebih 60</t>
  </si>
  <si>
    <t>kurang lebih 20</t>
  </si>
  <si>
    <t>PT. Agun Contractor Inc</t>
  </si>
  <si>
    <t>Agun</t>
  </si>
  <si>
    <t>agunimanudin1990@gmail.com</t>
  </si>
  <si>
    <t>MELANIE PATRICIA</t>
  </si>
  <si>
    <t>PT Solusi Energy Nusantara</t>
  </si>
  <si>
    <t>Ghani Chandra T</t>
  </si>
  <si>
    <t>MUHAMMAD IRHAM MAULANA</t>
  </si>
  <si>
    <t>Maaf lupa ðŸ™ perhari sekitar 3-5 lamaran.</t>
  </si>
  <si>
    <t>PT. Seacad Service</t>
  </si>
  <si>
    <t>Pak. Bambang</t>
  </si>
  <si>
    <t>Bambang@seacad.com</t>
  </si>
  <si>
    <t>MUHAMMAD LATHIF FAUZI</t>
  </si>
  <si>
    <t>NABILA KHANSA</t>
  </si>
  <si>
    <t>PT. Indo Swissatama</t>
  </si>
  <si>
    <t>Feri Setiawan</t>
  </si>
  <si>
    <t>feri212.fs@gmail.com</t>
  </si>
  <si>
    <t>NUR AGUSTIN SRI RAHAYU</t>
  </si>
  <si>
    <t>PT Biyan Awal Mandiri</t>
  </si>
  <si>
    <t>Dede Wawan</t>
  </si>
  <si>
    <t>pt.biyanawalmandiri@yahoo.co.id</t>
  </si>
  <si>
    <t>NURUL PARIDA</t>
  </si>
  <si>
    <t>OVI KHOFIFAH FAJRIYAH</t>
  </si>
  <si>
    <t>PT. Cahaya Omega Karya Mandiri</t>
  </si>
  <si>
    <t>Thebora</t>
  </si>
  <si>
    <t>ptcahayaomegakaryamandiri@gmail.com</t>
  </si>
  <si>
    <t>REPINDO MARWA KEN SONIDIANTO</t>
  </si>
  <si>
    <t>NT Engineering</t>
  </si>
  <si>
    <t>Adam Yunia</t>
  </si>
  <si>
    <t>adam.yunia@gmail.com</t>
  </si>
  <si>
    <t>RIZAL MULYA FEBRIAN MASARIKU</t>
  </si>
  <si>
    <t>SALMA ASRY RAMADHINI</t>
  </si>
  <si>
    <t>PT Universal Eco Pasific</t>
  </si>
  <si>
    <t>Bobby Simon</t>
  </si>
  <si>
    <t>bobby@universaleco.id</t>
  </si>
  <si>
    <t>SUGIONO ANGGA PUTRA</t>
  </si>
  <si>
    <t>Kabupaten Indramayu</t>
  </si>
  <si>
    <t>PT. Pertamina EP Region 2 Zona 7</t>
  </si>
  <si>
    <t>Edi Junedi</t>
  </si>
  <si>
    <t>edi.junedi@pep.pertamina.com</t>
  </si>
  <si>
    <t>WAFIN AFIFAH TAGHSYA</t>
  </si>
  <si>
    <t>PT Jet Construction</t>
  </si>
  <si>
    <t>Pak Nendra</t>
  </si>
  <si>
    <t>jetkonstruksi@gmail.com</t>
  </si>
  <si>
    <t>WIDI CITRA LESTARI</t>
  </si>
  <si>
    <t>WINTER NAUFAL FINANDITO</t>
  </si>
  <si>
    <t>Kota Surabaya</t>
  </si>
  <si>
    <t>Pt. Solusi Energy Nusantara</t>
  </si>
  <si>
    <t>Yoga Hermawan</t>
  </si>
  <si>
    <t>AHMAD NURFADILAH</t>
  </si>
  <si>
    <t>Kabupaten Mojokerto</t>
  </si>
  <si>
    <t>BINA INDEX CONSULT</t>
  </si>
  <si>
    <t>Wiedjaja Wardhana</t>
  </si>
  <si>
    <t>JUNIAR HARDI PANGESTU</t>
  </si>
  <si>
    <t>30+</t>
  </si>
  <si>
    <t>PT. Layton Enterprise</t>
  </si>
  <si>
    <t>Wega Syam Dermawan</t>
  </si>
  <si>
    <t>wegasyamdermawan@layton.co.id</t>
  </si>
  <si>
    <t>AHMAD AFIF ANFASA</t>
  </si>
  <si>
    <t>POLITEKNIK NEGERI BANDUNG</t>
  </si>
  <si>
    <t>D-IV - TEKNIK PERANCANGAN JALAN DAN JEMBATAN</t>
  </si>
  <si>
    <t>ANNISA MARSA NOVIANTI</t>
  </si>
  <si>
    <t>ANNISA NUR'AINI AZZAHRA</t>
  </si>
  <si>
    <t>PT Mitra Kreasi Sinergi</t>
  </si>
  <si>
    <t>Muhammadi A M</t>
  </si>
  <si>
    <t>moehamadi@gmail.com</t>
  </si>
  <si>
    <t>ASY-SYIFA' SILMI AODINA</t>
  </si>
  <si>
    <t>PT Adhyaksa</t>
  </si>
  <si>
    <t>Bapak Dicky Iqbal</t>
  </si>
  <si>
    <t>dickyiqbal84@gmail.com</t>
  </si>
  <si>
    <t>BAGJA MULYANA</t>
  </si>
  <si>
    <t>INE CAROLINA</t>
  </si>
  <si>
    <t>PT Mikha Surya Kencana</t>
  </si>
  <si>
    <t>Rahmad Ramadani, Asep Diana Sahid, Anggis</t>
  </si>
  <si>
    <t>MUHAMAD BURHAM</t>
  </si>
  <si>
    <t>MUHAMAD PASHA</t>
  </si>
  <si>
    <t>PT Seacad Services</t>
  </si>
  <si>
    <t>Iman Hardiansyah</t>
  </si>
  <si>
    <t>MUHAMMAD IQMAL RIFANSYAH</t>
  </si>
  <si>
    <t>kurang dari 10 oerusahaab</t>
  </si>
  <si>
    <t>Tangguh Duta Merlin</t>
  </si>
  <si>
    <t>Vegha Seftianka</t>
  </si>
  <si>
    <t>v.seftianka@tdm.co.id</t>
  </si>
  <si>
    <t>MUHAMMAD YUDHA BESTARY</t>
  </si>
  <si>
    <t>PT ANEKA JARINGAN INDONESIA</t>
  </si>
  <si>
    <t>NYOTO RIONO</t>
  </si>
  <si>
    <t>treegeoptaneka@gmail.com</t>
  </si>
  <si>
    <t>NABILA PUTRI DEVAMA</t>
  </si>
  <si>
    <t>PT BARA TEKNIK MANDIRI</t>
  </si>
  <si>
    <t>PAK SABAR</t>
  </si>
  <si>
    <t>barateknikmandiri@gmail.com</t>
  </si>
  <si>
    <t>REYVI KHOERUNNISA</t>
  </si>
  <si>
    <t>LPK Azumy Gakuin Centre Japanese School Cianjur</t>
  </si>
  <si>
    <t>RIZKI RAMDHAN WIJAYA</t>
  </si>
  <si>
    <t>Pak Sutrisno</t>
  </si>
  <si>
    <t>Sutrisno@seacad.com</t>
  </si>
  <si>
    <t>SALSABILA AULIA MUHAJIRIN M</t>
  </si>
  <si>
    <t>Institut Teknologi Nasional Bandung</t>
  </si>
  <si>
    <t>S1 - Teknik Sipiil</t>
  </si>
  <si>
    <t>SHOFIA YASMIN MAISAN</t>
  </si>
  <si>
    <t>YUSPI HALWI AZIZ</t>
  </si>
  <si>
    <t>Program Rekrutmen Bersama Bumn 2022</t>
  </si>
  <si>
    <t>Kabupaten Lombok Timur</t>
  </si>
  <si>
    <t>PT ASDP INDONESIAN FERRY PERSERO</t>
  </si>
  <si>
    <t>Pak Sholahuddin</t>
  </si>
  <si>
    <t>Prospek pekerjaan sangat bagus dikarenakan dari rekrutmen bersama BUMN dibawah arahan kementrian BUMN langsung</t>
  </si>
  <si>
    <t>A.M. KHOIRUL FADILAH</t>
  </si>
  <si>
    <t>PT Mekar Agung Sejahtera</t>
  </si>
  <si>
    <t>Tonny MS</t>
  </si>
  <si>
    <t>21tonny12@gmail.com</t>
  </si>
  <si>
    <t>ADITYA RAHMADIANTO</t>
  </si>
  <si>
    <t>Hutama Karya</t>
  </si>
  <si>
    <t>ADITYA RAHMAT MAULANA</t>
  </si>
  <si>
    <t>PT. MEKAR AGUNG SEJAHTERA</t>
  </si>
  <si>
    <t>SENGKONO DHARMAWAN</t>
  </si>
  <si>
    <t>https://www.masgroup.co.id</t>
  </si>
  <si>
    <t>AFIFAH NAZHIF</t>
  </si>
  <si>
    <t>PT INDISI</t>
  </si>
  <si>
    <t>ALDILA DELFANI HAFIDZ</t>
  </si>
  <si>
    <t>PT. SELARAS MULTIARSI KONSULTAN</t>
  </si>
  <si>
    <t>PAK ARIE</t>
  </si>
  <si>
    <t>ALIFIA DHIA FAKHIRA</t>
  </si>
  <si>
    <t>PT Mekar Agung Sejahtera (MAS Group)</t>
  </si>
  <si>
    <t>Tonny Mathovani Soendjojo</t>
  </si>
  <si>
    <t>ANDINI CAHYANI</t>
  </si>
  <si>
    <t>ANTONI SURYA PUTRA</t>
  </si>
  <si>
    <t>PT Hutama Karya</t>
  </si>
  <si>
    <t>Pak Iwan</t>
  </si>
  <si>
    <t>CHRISTINE</t>
  </si>
  <si>
    <t>PT Pindo Deli Pulp and Paper Mills</t>
  </si>
  <si>
    <t>Danny Gunawan</t>
  </si>
  <si>
    <t>Danny_Gunawan@app.co.id</t>
  </si>
  <si>
    <t>DENIRA PUTRI RIZKIYA</t>
  </si>
  <si>
    <t>PT Virama Karya</t>
  </si>
  <si>
    <t>Diah Ika Rahmawati</t>
  </si>
  <si>
    <t>DESTIADI PINDONTA SURBAKTI</t>
  </si>
  <si>
    <t>PT. PP</t>
  </si>
  <si>
    <t>Derry P. Munsil</t>
  </si>
  <si>
    <t>DINDA PUSPITA</t>
  </si>
  <si>
    <t>kurang lebih 45</t>
  </si>
  <si>
    <t>kurang lebih 7</t>
  </si>
  <si>
    <t>PT Astakona Megahtama (PT Agung Podomoro Land, Tbk)</t>
  </si>
  <si>
    <t>Retno Wulan</t>
  </si>
  <si>
    <t>DIO REKA KRISNAWANTO</t>
  </si>
  <si>
    <t xml:space="preserve">PT. Total solusi Konstruksi </t>
  </si>
  <si>
    <t>Yoga</t>
  </si>
  <si>
    <t>FAISAL</t>
  </si>
  <si>
    <t>PT NUSA RAYA CIPTA</t>
  </si>
  <si>
    <t>Pak Esti Nugrohadi</t>
  </si>
  <si>
    <t>estinugrohadi@gmail.com</t>
  </si>
  <si>
    <t>FARHAN FAUZAN AKBAR</t>
  </si>
  <si>
    <t>Institut Teknologi Sepuluh Nopember</t>
  </si>
  <si>
    <t>D4 - Teknik Infrastruktur Sipil</t>
  </si>
  <si>
    <t>LISNA LISNAWATI</t>
  </si>
  <si>
    <t>Hameeda Design</t>
  </si>
  <si>
    <t>Iim Hamida</t>
  </si>
  <si>
    <t>MAURIN SALSABILA SAHIB</t>
  </si>
  <si>
    <t>10-j30</t>
  </si>
  <si>
    <t>PT Kobexindo Equipment</t>
  </si>
  <si>
    <t>Joko Lelono</t>
  </si>
  <si>
    <t>jokolelono@kobexindo.com</t>
  </si>
  <si>
    <t>MUHAMAD DAVID HARREL CHAIDIR</t>
  </si>
  <si>
    <t>PT. Graha Permata Sentosa</t>
  </si>
  <si>
    <t>Pak Aminullah</t>
  </si>
  <si>
    <t>MUTI MUTAQOKHOIRUNNISA</t>
  </si>
  <si>
    <t>PT. Kahatex</t>
  </si>
  <si>
    <t>NURINA PRATIWI WIJAYA</t>
  </si>
  <si>
    <t>PT. BOBOBOX MITRA INDONESIA</t>
  </si>
  <si>
    <t>Budi</t>
  </si>
  <si>
    <t>Budhi.yuono@bobobox.co.id</t>
  </si>
  <si>
    <t>RD. NURUL FITRIANI AZHARI</t>
  </si>
  <si>
    <t xml:space="preserve">PT Rohtek Amanah Global </t>
  </si>
  <si>
    <t>Khusniyah</t>
  </si>
  <si>
    <t>khusniyah801@gmail.com</t>
  </si>
  <si>
    <t>REGGIANA FAUZAN ADHIEM</t>
  </si>
  <si>
    <t>Belum</t>
  </si>
  <si>
    <t>Kota Serang</t>
  </si>
  <si>
    <t>RIKI ABDUL ROZAK</t>
  </si>
  <si>
    <t>&gt;60</t>
  </si>
  <si>
    <t>Sekitar 30</t>
  </si>
  <si>
    <t>YOGI FATURAHMAN</t>
  </si>
  <si>
    <t>GHINA THIFAL RAMADHANI EKA PUTRI</t>
  </si>
  <si>
    <t>Dedi Kusnadi</t>
  </si>
  <si>
    <t xml:space="preserve">dekusna@starenergy.co.id </t>
  </si>
  <si>
    <t>IMAM NUGROHO</t>
  </si>
  <si>
    <t>KARIN</t>
  </si>
  <si>
    <t>MUHAMMAD RAFIQ AL MA'SUM PRAYITNO</t>
  </si>
  <si>
    <t>THANIA MEISYAH</t>
  </si>
  <si>
    <t>Lebih dari 30 pekerjaan</t>
  </si>
  <si>
    <t>TRIYANA YUNIAR</t>
  </si>
  <si>
    <t>YUSNITA SRI HANDAYANI</t>
  </si>
  <si>
    <t>PT.  Mitra Indo Teknik</t>
  </si>
  <si>
    <t>Denny</t>
  </si>
  <si>
    <t>AFIFAH KHANSA</t>
  </si>
  <si>
    <t>rekrutmen bersama BUMN</t>
  </si>
  <si>
    <t>PT. Bank Negara Indonesia</t>
  </si>
  <si>
    <t>AL FAYED IBNU EDDY</t>
  </si>
  <si>
    <t>PT South Pacific Viscose</t>
  </si>
  <si>
    <t>Budi Fernando</t>
  </si>
  <si>
    <t>BIMA RAMADIANSYAH PUTERA</t>
  </si>
  <si>
    <t>PT. Tekno Buana Globalindo</t>
  </si>
  <si>
    <t>Tri</t>
  </si>
  <si>
    <t>FADEL GANI SETIAWAN</t>
  </si>
  <si>
    <t xml:space="preserve">PT ISS Indonesia </t>
  </si>
  <si>
    <t>Pak Reza</t>
  </si>
  <si>
    <t>nanti saya tanyakan</t>
  </si>
  <si>
    <t>FAHMI INDRAWAN</t>
  </si>
  <si>
    <t>PT Darya Varia Laboratoria Tbk</t>
  </si>
  <si>
    <t>Ardiansyah</t>
  </si>
  <si>
    <t>HARRY SETIADI</t>
  </si>
  <si>
    <t>KHAIRUL AMRI</t>
  </si>
  <si>
    <t>KRISNA</t>
  </si>
  <si>
    <t>PT Nutrifood Indonesia</t>
  </si>
  <si>
    <t>Denny Yando</t>
  </si>
  <si>
    <t>RIZQI FITRIA RAHMAH</t>
  </si>
  <si>
    <t>50+</t>
  </si>
  <si>
    <t>CV Asanka WIjaya (TONE)</t>
  </si>
  <si>
    <t>Yunika</t>
  </si>
  <si>
    <t>yunikaasanka@gmail.com</t>
  </si>
  <si>
    <t>ADI SUPRIYADI</t>
  </si>
  <si>
    <t xml:space="preserve">PT Impack Pratama industri Tbk </t>
  </si>
  <si>
    <t>Sudarmoko</t>
  </si>
  <si>
    <t>AGUNG SUDRAJAT</t>
  </si>
  <si>
    <t>9 perusahaan</t>
  </si>
  <si>
    <t>PT Haleyora Powerindo</t>
  </si>
  <si>
    <t>Didik Wahyudin</t>
  </si>
  <si>
    <t>didik.wahyudin@iconpln.co.id</t>
  </si>
  <si>
    <t>ALAM SIDIQ MUHARAM</t>
  </si>
  <si>
    <t>DADI MULYADI</t>
  </si>
  <si>
    <t>PT mutiara excatet</t>
  </si>
  <si>
    <t>Sukardi,SH</t>
  </si>
  <si>
    <t>Sukardi@gmail.com</t>
  </si>
  <si>
    <t>ELSI BERLIANI PUTRI</t>
  </si>
  <si>
    <t>Kabupaten Sukoharjo</t>
  </si>
  <si>
    <t>Usaha sendiri</t>
  </si>
  <si>
    <t xml:space="preserve">Saya sendiri </t>
  </si>
  <si>
    <t>Elsiberliani20@gmail.com</t>
  </si>
  <si>
    <t>Sudah usaha sendiri</t>
  </si>
  <si>
    <t>ERIK SEPTIAN MICHAEL</t>
  </si>
  <si>
    <t>PT SPARTA GUNA SENTOSA</t>
  </si>
  <si>
    <t>IKHWANUDDIN</t>
  </si>
  <si>
    <t>Ikhwanuddin@sparta.com</t>
  </si>
  <si>
    <t>FAKHRI AIMAN IBRAHIM</t>
  </si>
  <si>
    <t>Icon+</t>
  </si>
  <si>
    <t>Pak Didik Wahyudi</t>
  </si>
  <si>
    <t>didik.wahyudi@iconpln.co.id</t>
  </si>
  <si>
    <t>FERRY NOVYANSA</t>
  </si>
  <si>
    <t>40+</t>
  </si>
  <si>
    <t>25+</t>
  </si>
  <si>
    <t>15+</t>
  </si>
  <si>
    <t>INDRA MUHAMAD FAIZAL</t>
  </si>
  <si>
    <t>Sekitar 50</t>
  </si>
  <si>
    <t>Sekitar 10</t>
  </si>
  <si>
    <t>Pt. Abc Kogen Dairy</t>
  </si>
  <si>
    <t>Pak Rudi Suwandi</t>
  </si>
  <si>
    <t>ISTI FAUZIAH</t>
  </si>
  <si>
    <t>Daun Biru Engineering</t>
  </si>
  <si>
    <t>Rina Meilina</t>
  </si>
  <si>
    <t>MOCHAMMAD NAWAWI ULUMUDIN</t>
  </si>
  <si>
    <t>william.k@pg.com</t>
  </si>
  <si>
    <t>MUHAMMAD FADHLILLAH RAISUL AKBAR</t>
  </si>
  <si>
    <t>UNIVERSITAS MERCUBUANA</t>
  </si>
  <si>
    <t>MUTHIA MAHARANI</t>
  </si>
  <si>
    <t>NATANAEL SIHOMBING</t>
  </si>
  <si>
    <t xml:space="preserve">PT. Indofood Sukses Makmur Tbk. </t>
  </si>
  <si>
    <t>Hardi</t>
  </si>
  <si>
    <t>RAKHA GIFFARI FADLAN</t>
  </si>
  <si>
    <t>RENALDI PUTRA SUBEKTI</t>
  </si>
  <si>
    <t>dekusna@starenergy.co.id</t>
  </si>
  <si>
    <t>TRIPAN ARIUS JODI LUMBAN GAOL</t>
  </si>
  <si>
    <t>WULAN NURSYIFA RUMBAMAN</t>
  </si>
  <si>
    <t>AGHNIA NUR ZAHRAH</t>
  </si>
  <si>
    <t xml:space="preserve">PT. Graha Sarana Duta </t>
  </si>
  <si>
    <t>Mastono</t>
  </si>
  <si>
    <t>mastono.gsd@gmail.com</t>
  </si>
  <si>
    <t>AHMAD GHANI TAUFIK</t>
  </si>
  <si>
    <t>PT Indofood CBP Sukses Makmur Tbk</t>
  </si>
  <si>
    <t>Pak Pandu Wicaksana</t>
  </si>
  <si>
    <t>ANDHIKA DZIA ULHAQ</t>
  </si>
  <si>
    <t>PT. Tiara Vibrasindo Pratama</t>
  </si>
  <si>
    <t>Wahyu</t>
  </si>
  <si>
    <t>wahyu@tiaravib.com</t>
  </si>
  <si>
    <t>ANNISA NUR BADRIAH</t>
  </si>
  <si>
    <t>PT Chinli Internasional Footwear</t>
  </si>
  <si>
    <t>Mr Chang I Chang</t>
  </si>
  <si>
    <t>Ary Aulia</t>
  </si>
  <si>
    <t>Kabupaten Jayapura</t>
  </si>
  <si>
    <t>PT.Freeport Indonesia</t>
  </si>
  <si>
    <t>Viryawan</t>
  </si>
  <si>
    <t>Arya Winara</t>
  </si>
  <si>
    <t>ENDAN BUDI PERMANA</t>
  </si>
  <si>
    <t>Dwi budiman</t>
  </si>
  <si>
    <t>FADLAN AL RIZQI</t>
  </si>
  <si>
    <t>Deltasindo Raya Sejahtera</t>
  </si>
  <si>
    <t>Pak Ir. David Iman Sutjahja</t>
  </si>
  <si>
    <t>david.deltasindorayasejahtera@gmail.com</t>
  </si>
  <si>
    <t>FATMI SUCIATI RAHAYU</t>
  </si>
  <si>
    <t>PT. Cakra Raya Teknologi</t>
  </si>
  <si>
    <t>M. Husni Thamrin</t>
  </si>
  <si>
    <t>cakrapanel@gmail.com</t>
  </si>
  <si>
    <t>HELMI FAISAL KAMIL</t>
  </si>
  <si>
    <t>ICHA MARSYA RAMADHANI. S</t>
  </si>
  <si>
    <t>PT LinkNet</t>
  </si>
  <si>
    <t>Ibu Ira Anggraini</t>
  </si>
  <si>
    <t>ira.anggraini@linknet.co.id</t>
  </si>
  <si>
    <t>IMAM FAIZAL</t>
  </si>
  <si>
    <t>Anak Perusahaan BUMN</t>
  </si>
  <si>
    <t>PT. Haleyora Powerindo</t>
  </si>
  <si>
    <t>JAENAL MUKTAMAL</t>
  </si>
  <si>
    <t>PT Tata Jabar Sejahtera</t>
  </si>
  <si>
    <t>Azis Nurrohman</t>
  </si>
  <si>
    <t>MAHMUDIN</t>
  </si>
  <si>
    <t>PT. Indofood Sukses Makmur</t>
  </si>
  <si>
    <t>Andry Ervana</t>
  </si>
  <si>
    <t>andry.ervana@icbp.indofood.co.id</t>
  </si>
  <si>
    <t>MEIRA ALECIA</t>
  </si>
  <si>
    <t>SBSZ Jena</t>
  </si>
  <si>
    <t>Ausbildung</t>
  </si>
  <si>
    <t>MELYA FAUZIA</t>
  </si>
  <si>
    <t>PT. Indonesia Koito</t>
  </si>
  <si>
    <t>Ria Ratna Ningsih</t>
  </si>
  <si>
    <t>ria.r@ikoito.co.id</t>
  </si>
  <si>
    <t>MUHAMAD IBNU ARROBI</t>
  </si>
  <si>
    <t>PT Haleyora Powerind</t>
  </si>
  <si>
    <t>Arif Wicaksono</t>
  </si>
  <si>
    <t>info@hapindo.co.id</t>
  </si>
  <si>
    <t>MUHAMMAD FAHRI HIDAYAT</t>
  </si>
  <si>
    <t xml:space="preserve">Telkom Property </t>
  </si>
  <si>
    <t xml:space="preserve">Duwit Rudianto </t>
  </si>
  <si>
    <t>MUHAMMAD FIANSA DWI ANANTO</t>
  </si>
  <si>
    <t>PT Procter and Gamble Operations Indonesia</t>
  </si>
  <si>
    <t>Tubagus Kurniawan, Haidar Ali</t>
  </si>
  <si>
    <t>kurniawan.t@pg.com ; ali.h.11@pg.com</t>
  </si>
  <si>
    <t>MUHAMMAD IQBAL FAUZI</t>
  </si>
  <si>
    <t>sudah sesuai dengan latar pendidikan</t>
  </si>
  <si>
    <t>NAUFAL FARRAS</t>
  </si>
  <si>
    <t>PT Indoakto (Indomilk)</t>
  </si>
  <si>
    <t>palupi</t>
  </si>
  <si>
    <t>NISRINA NURUL FADLILAH</t>
  </si>
  <si>
    <t>PT. Link net</t>
  </si>
  <si>
    <t>Subakti</t>
  </si>
  <si>
    <t>subakti@linknet.co.id</t>
  </si>
  <si>
    <t>NURMUHAEMIN</t>
  </si>
  <si>
    <t>Achmad Choiri</t>
  </si>
  <si>
    <t>choiri@imcp.co.id</t>
  </si>
  <si>
    <t>NURUL RIZKI FAUJIAH</t>
  </si>
  <si>
    <t>PT. Iradat Aman Globalindo</t>
  </si>
  <si>
    <t>Bpk. Hadi</t>
  </si>
  <si>
    <t>hadi@iradat.ac.id</t>
  </si>
  <si>
    <t>PANJI IMAN MULYAWAN</t>
  </si>
  <si>
    <t>RANTI AULIA PUTRI RAMDANI</t>
  </si>
  <si>
    <t>Universitas Mercu Buana</t>
  </si>
  <si>
    <t>S1 - Teknik Elektro</t>
  </si>
  <si>
    <t>RIFKI INSANI TAUFIK</t>
  </si>
  <si>
    <t>Didik wahyudin</t>
  </si>
  <si>
    <t>SOPHIA LATIFAH AULIA</t>
  </si>
  <si>
    <t>PT Muncul Energi Jayakarta</t>
  </si>
  <si>
    <t>Firman Ramdhani</t>
  </si>
  <si>
    <t>info@mejayakarta.com</t>
  </si>
  <si>
    <t>TIRTA LUQMANA</t>
  </si>
  <si>
    <t>Haleyora Power Indo</t>
  </si>
  <si>
    <t>WIRADENT MORAMA</t>
  </si>
  <si>
    <t>ZIDAN FAUZI PANGESTU</t>
  </si>
  <si>
    <t>Kawan Lama Group</t>
  </si>
  <si>
    <t>Bramantyo</t>
  </si>
  <si>
    <t>bramantyo@kawanlama.com</t>
  </si>
  <si>
    <t>BASKORO CAHYO NUGROHO</t>
  </si>
  <si>
    <t>ASTRA HONDA MOTOR</t>
  </si>
  <si>
    <t>HENRY BUDIMAN</t>
  </si>
  <si>
    <t>..</t>
  </si>
  <si>
    <t>BINTANG SUYONO JUNIOR</t>
  </si>
  <si>
    <t>Azka Fadhila</t>
  </si>
  <si>
    <t>CLAUDIO BUKTI SAMUEL</t>
  </si>
  <si>
    <t>4 perusahaan</t>
  </si>
  <si>
    <t>Agus Riyanto</t>
  </si>
  <si>
    <t>DWIYAN RAMDAN RIDIYANTO</t>
  </si>
  <si>
    <t>IOT Integrasi Otomasi</t>
  </si>
  <si>
    <t>Yosa Deo Roessy</t>
  </si>
  <si>
    <t>yosadeoroessy@gmail.com</t>
  </si>
  <si>
    <t>Dapat menambah ilmu dan pengalaman yg banyak</t>
  </si>
  <si>
    <t>EZRA MAHADIKA</t>
  </si>
  <si>
    <t>M ZAKI AL FARUQ</t>
  </si>
  <si>
    <t>PT bangun artha hutama</t>
  </si>
  <si>
    <t>wawan hermawan</t>
  </si>
  <si>
    <t>MUHAMMAD GALIH PRAKOSA</t>
  </si>
  <si>
    <t>RAFLIE FADHILAH MUHAMMAD</t>
  </si>
  <si>
    <t>PT KILANG PERTAMINA INTERNASIONAL</t>
  </si>
  <si>
    <t>Awan Rifanto</t>
  </si>
  <si>
    <t>awan.rifanto@pertamina.com</t>
  </si>
  <si>
    <t>RIZKI RAMADHAN</t>
  </si>
  <si>
    <t>PT. INDONESIA MULTI COLOR PRINTING</t>
  </si>
  <si>
    <t>SONY AKBAR PRAMUDIYA</t>
  </si>
  <si>
    <t>ZAKI NADHIFA</t>
  </si>
  <si>
    <t>Kabupaten Kutai Barat</t>
  </si>
  <si>
    <t>Sugiyanto V</t>
  </si>
  <si>
    <t>FADLY AHMAD FAUZY</t>
  </si>
  <si>
    <t>IMCP</t>
  </si>
  <si>
    <t>fauzyfadly7@gmail.com</t>
  </si>
  <si>
    <t>Tanggung Jawab</t>
  </si>
  <si>
    <t>HILMAN SOFYAN</t>
  </si>
  <si>
    <t>RAIHAN HAIDAR RIF'AT</t>
  </si>
  <si>
    <t>PT Indonesia Multi Colour Printing (IMCP)</t>
  </si>
  <si>
    <t>Mukhayat Arief</t>
  </si>
  <si>
    <t>REZA IHSAN RAHMATILLAH</t>
  </si>
  <si>
    <t>PT INDONESIA KOITO</t>
  </si>
  <si>
    <t>Dadi</t>
  </si>
  <si>
    <t>ROZAQY NURFADHILA AKBAR</t>
  </si>
  <si>
    <t>AHMAD HILMI</t>
  </si>
  <si>
    <t>PT. TKG Taekwang Indonesia</t>
  </si>
  <si>
    <t>Andreas</t>
  </si>
  <si>
    <t>andreas@taekwang.com</t>
  </si>
  <si>
    <t>ALDE FERDIAN</t>
  </si>
  <si>
    <t>PT.TRUBA JAGA CITA</t>
  </si>
  <si>
    <t>Pak Pandu</t>
  </si>
  <si>
    <t>pandutriawan@gmail.com</t>
  </si>
  <si>
    <t>Mencari pengalaman kerja</t>
  </si>
  <si>
    <t>ANNISA NURUL SHOLIHAH</t>
  </si>
  <si>
    <t>ARIF EKO SAPUTRA</t>
  </si>
  <si>
    <t>ingin membuat usaha sendiri</t>
  </si>
  <si>
    <t>BILQIS FAUZIYAH DURRAHMAT</t>
  </si>
  <si>
    <t>PT CHC MULTI MANUFAKTUR</t>
  </si>
  <si>
    <t>MEGO SELLY REGARMINTO</t>
  </si>
  <si>
    <t>megosellyregarminto@gmail.com</t>
  </si>
  <si>
    <t>BIMO FAJRIE ALWAARITSI</t>
  </si>
  <si>
    <t>PT. Yokogawa Indonesia</t>
  </si>
  <si>
    <t>Sava Danugraha</t>
  </si>
  <si>
    <t>Sava.Danugraha@yokogawa.com</t>
  </si>
  <si>
    <t>DETI TRIANA SARI</t>
  </si>
  <si>
    <t>PT CHC Multimanufaktur</t>
  </si>
  <si>
    <t>Mego Selly Regarminto</t>
  </si>
  <si>
    <t>DIFA RAMADHAN</t>
  </si>
  <si>
    <t>Adib Arif</t>
  </si>
  <si>
    <t>DZEINI RIZKI RAMADHAN</t>
  </si>
  <si>
    <t>Kabupaten Pasuruan</t>
  </si>
  <si>
    <t>PT Indra Eramulti Logam Industri</t>
  </si>
  <si>
    <t>Agung Mujiyono</t>
  </si>
  <si>
    <t>agung@imligroup.com</t>
  </si>
  <si>
    <t>ERGA SEPTIANSYAH</t>
  </si>
  <si>
    <t>DINAS PERHUBUNGAN KOTA BANDUNG</t>
  </si>
  <si>
    <t>ANDRY FERNANDO SIJABAT</t>
  </si>
  <si>
    <t>dishub@bandung.go.id</t>
  </si>
  <si>
    <t>FAJRIATI AMALIA PUTRI</t>
  </si>
  <si>
    <t>Kurang lebih 20</t>
  </si>
  <si>
    <t>Kurang lebih 15</t>
  </si>
  <si>
    <t>FIKRI AMALUDDIN SUDRAJAT</t>
  </si>
  <si>
    <t>Elfigar</t>
  </si>
  <si>
    <t>FRYMA ZHAFRAN RAIHAN</t>
  </si>
  <si>
    <t>Aryo Ahadianto, A.Md, CPMO</t>
  </si>
  <si>
    <t>aryo.goindonesia@gmail.com</t>
  </si>
  <si>
    <t>Pekerjaan saya saat ini memungkinkan saya untuk melanjutkan pendidikan ke jenjang lebih tinggi</t>
  </si>
  <si>
    <t>IKHLAS DIKO</t>
  </si>
  <si>
    <t>Lebih dari 100</t>
  </si>
  <si>
    <t>PT. Sapta Warna Cemerlang</t>
  </si>
  <si>
    <t>Dadan Kurniawan</t>
  </si>
  <si>
    <t>dadan.kurniawan@saptawarna.co.id</t>
  </si>
  <si>
    <t>ILHAM SUHERMAN</t>
  </si>
  <si>
    <t>LUTHFI ADITYA SUYITNO</t>
  </si>
  <si>
    <t>PT Dharma Electrindo Mfg</t>
  </si>
  <si>
    <t>Radianto Bayu</t>
  </si>
  <si>
    <t>radianto.bayu@dem.dharmap.com</t>
  </si>
  <si>
    <t>MOCH. DEKCY AKMAL DJULFIKAR</t>
  </si>
  <si>
    <t>Banyak</t>
  </si>
  <si>
    <t>PT Dachin Etech Global</t>
  </si>
  <si>
    <t>Indra Gunawan Sinaga</t>
  </si>
  <si>
    <t>MOHAMAD FAJAR HAFIDH</t>
  </si>
  <si>
    <t>10 perusahaan</t>
  </si>
  <si>
    <t>5 perusahaan</t>
  </si>
  <si>
    <t>MUHAMMAD AFIF</t>
  </si>
  <si>
    <t>MUHAMMAD CHANDRA DWI MANTIKA</t>
  </si>
  <si>
    <t>7 tempat wawancara</t>
  </si>
  <si>
    <t>MUHAMMAD HAFIZ AZIZ</t>
  </si>
  <si>
    <t>PT Sinde Budi Sentosa</t>
  </si>
  <si>
    <t xml:space="preserve">Yuli Rojali </t>
  </si>
  <si>
    <t>MUHAMMAD ILHAM FADHLUROHMAN</t>
  </si>
  <si>
    <t>PT Scada Prima Cipta</t>
  </si>
  <si>
    <t>fuady.ramdhani@scada.co.id</t>
  </si>
  <si>
    <t>MULKI FAUZI AMRULLOH</t>
  </si>
  <si>
    <t xml:space="preserve">sampoerna kayoe </t>
  </si>
  <si>
    <t xml:space="preserve">Wisnu wicaksono </t>
  </si>
  <si>
    <t>laurentius.wisnu@sampoernakayoe.com</t>
  </si>
  <si>
    <t>PAULUS</t>
  </si>
  <si>
    <t>Indotech Asia</t>
  </si>
  <si>
    <t>Binsar Nababan</t>
  </si>
  <si>
    <t>RIZA AMALIA</t>
  </si>
  <si>
    <t>RIZKI ALGIFARI</t>
  </si>
  <si>
    <t>Kota Sukabumi</t>
  </si>
  <si>
    <t>SPS</t>
  </si>
  <si>
    <t>Rizki Algifari</t>
  </si>
  <si>
    <t>algifarizki@gmail.com</t>
  </si>
  <si>
    <t>TANARA BISMA</t>
  </si>
  <si>
    <t>Honda Precision Part Manufacturing</t>
  </si>
  <si>
    <t>Andi Mapparola</t>
  </si>
  <si>
    <t>amapparola@hppm.co.id</t>
  </si>
  <si>
    <t>VARIAN ANDIKA WIJAYAKUSUMA</t>
  </si>
  <si>
    <t>Sekitar 20 perusahaan</t>
  </si>
  <si>
    <t>15 perusahaan</t>
  </si>
  <si>
    <t>12 perusahaan</t>
  </si>
  <si>
    <t xml:space="preserve">PT Scada Prima Cipta </t>
  </si>
  <si>
    <t>WIKAMDANI</t>
  </si>
  <si>
    <t>PT Truba Jaga Cita</t>
  </si>
  <si>
    <t>dhanar Danu</t>
  </si>
  <si>
    <t>ZAMZAM TAUFIK FIRDAUS</t>
  </si>
  <si>
    <t>PT. IMCP</t>
  </si>
  <si>
    <t>ROHMAT JIMANTORO</t>
  </si>
  <si>
    <t>FAISAL UMAR ZAKI</t>
  </si>
  <si>
    <t>Beasiswa Pemerinnah Kabupaten Bandung Barat</t>
  </si>
  <si>
    <t>ADHIPRAMANA DAFFA NOVIANSYAH</t>
  </si>
  <si>
    <t>PT Sinar Karya Utama</t>
  </si>
  <si>
    <t>Ir. Arsonik</t>
  </si>
  <si>
    <t>ar_sonikkatan@yahoo.com</t>
  </si>
  <si>
    <t>AFIF MIFTAKH HAFIDZUDIN</t>
  </si>
  <si>
    <t>PT. Sayap Mas Utama</t>
  </si>
  <si>
    <t>Rafel Yuli Witanto</t>
  </si>
  <si>
    <t>rafelyuli.witanto@wingscorp.com</t>
  </si>
  <si>
    <t>AGUNG RACHMAT PAMUNGKAS</t>
  </si>
  <si>
    <t>PT. Daikin manufacturing Indonesia</t>
  </si>
  <si>
    <t>M. Chaerudin</t>
  </si>
  <si>
    <t>chaerudin@daikinmfg.co.id</t>
  </si>
  <si>
    <t>ALYA PENTA AGHARID</t>
  </si>
  <si>
    <t xml:space="preserve">National Chin-Yi University of Technology </t>
  </si>
  <si>
    <t>S2 - Teknik Refrigerasi, Tata Udara dan Energi</t>
  </si>
  <si>
    <t>Saya melanjutkan mendidikan dan melakukan riset di lab universitas saat ini.</t>
  </si>
  <si>
    <t>ANISA RESNA ROSALINA</t>
  </si>
  <si>
    <t>PT. SECM TECH INDONESIA</t>
  </si>
  <si>
    <t>Rashid</t>
  </si>
  <si>
    <t>rashid@secm.co.id</t>
  </si>
  <si>
    <t>ANNISA DWI AUGUSTIANA</t>
  </si>
  <si>
    <t>PT. Mitra Lestari Bumi Abadi</t>
  </si>
  <si>
    <t>Bapak Prayogo</t>
  </si>
  <si>
    <t>estimator.milba@gmail.com</t>
  </si>
  <si>
    <t>ARIEF MUHAMAD NOVAL</t>
  </si>
  <si>
    <t>Kabupaten Kendal</t>
  </si>
  <si>
    <t>PT. Acter Technology Indonesia</t>
  </si>
  <si>
    <t>Mr.Nick</t>
  </si>
  <si>
    <t>Belajar mendapatkan ilmu baru</t>
  </si>
  <si>
    <t>BRYANTA JEHIAN PRAKASA</t>
  </si>
  <si>
    <t>PT GREE ELECTRICAL</t>
  </si>
  <si>
    <t>Pak Rohmat</t>
  </si>
  <si>
    <t>rohmat.ramadhan.gree.id@gmail.com</t>
  </si>
  <si>
    <t>DENIS ILHAM RAMADHAN</t>
  </si>
  <si>
    <t>DIMAS ALIF FADHIL</t>
  </si>
  <si>
    <t>Berdagang</t>
  </si>
  <si>
    <t>TQS</t>
  </si>
  <si>
    <t>Meneruskan usaha keluarga</t>
  </si>
  <si>
    <t>FAJAR FATHUROHMAN</t>
  </si>
  <si>
    <t>PT. Berca Carrier Indonesia</t>
  </si>
  <si>
    <t>Hersyam Budiman</t>
  </si>
  <si>
    <t>hersyam.budiman@carrier.co.id</t>
  </si>
  <si>
    <t>FARADILA AZAHRA NURHERYANI</t>
  </si>
  <si>
    <t>40-50</t>
  </si>
  <si>
    <t>PT Rentash Mandiri Sejahtera</t>
  </si>
  <si>
    <t>Deddy Riyadi</t>
  </si>
  <si>
    <t>deddy@mesco.id</t>
  </si>
  <si>
    <t>FARIYANI ASRININGSIH</t>
  </si>
  <si>
    <t>PT Jaya Teknik Indonesia</t>
  </si>
  <si>
    <t>Bapak Angga Ramdhony</t>
  </si>
  <si>
    <t>angga.ramdhony@jayateknik.com</t>
  </si>
  <si>
    <t>HAFIZ TSAH RAIHAN</t>
  </si>
  <si>
    <t>Nick Tseng</t>
  </si>
  <si>
    <t>nick_tseng@acter.com.tw</t>
  </si>
  <si>
    <t>KAMIL MUHAMMAD GUNAPRAWIRA</t>
  </si>
  <si>
    <t>Lebuh dari 10</t>
  </si>
  <si>
    <t>Hampir semua merespon</t>
  </si>
  <si>
    <t>5 interview</t>
  </si>
  <si>
    <t>Mayekawa</t>
  </si>
  <si>
    <t>Cahyo</t>
  </si>
  <si>
    <t>Cahyo@mayekawa.co.id</t>
  </si>
  <si>
    <t>MOHAMMAD FASYA NUR HARISH</t>
  </si>
  <si>
    <t>PT. ABBA TEKNIK INDONESIA</t>
  </si>
  <si>
    <t>Mesak Natan</t>
  </si>
  <si>
    <t>mesak.natan@abbatekindo.com</t>
  </si>
  <si>
    <t>MUHAMAD RIDWAN MAULANA</t>
  </si>
  <si>
    <t xml:space="preserve">PT Qualis Indonesia </t>
  </si>
  <si>
    <t xml:space="preserve">Mufty </t>
  </si>
  <si>
    <t>mufty717@gmail.com</t>
  </si>
  <si>
    <t>MUHAMMAD ALI FIKRI</t>
  </si>
  <si>
    <t>PT Acter Technology Indonesia</t>
  </si>
  <si>
    <t>Liu Wenbin</t>
  </si>
  <si>
    <t>MUHAMMAD IQBAL</t>
  </si>
  <si>
    <t>MUHAMMAD NAUFAL RAMZ</t>
  </si>
  <si>
    <t>National Chin Yi university</t>
  </si>
  <si>
    <t>S2 - REFRIGERATION, AIR CONDITIONING &amp; ENERGY ENGINEERING</t>
  </si>
  <si>
    <t>MUHAMMAD REVINSA RAFLIAN ZAINSYAH</t>
  </si>
  <si>
    <t>MUHAMMAD SHAHENZA HANIFAN</t>
  </si>
  <si>
    <t>PT Sarana Utama Adimandiri</t>
  </si>
  <si>
    <t>Pak Dony SH</t>
  </si>
  <si>
    <t>dony@sua.co.id</t>
  </si>
  <si>
    <t>MUHAMMAD VIALLI MAHARDIKHA</t>
  </si>
  <si>
    <t>PT. Jaya Bumi parahyangan</t>
  </si>
  <si>
    <t>Muhammad Naufal Auliarachman</t>
  </si>
  <si>
    <t>pt.jayabumiparahyangan@gmail.com</t>
  </si>
  <si>
    <t>NENI EMRIDA PANJAITAN</t>
  </si>
  <si>
    <t>NINING FITRIA</t>
  </si>
  <si>
    <t xml:space="preserve">PT.kharisma industri teknik </t>
  </si>
  <si>
    <t>A.Syaifudin Zuhri</t>
  </si>
  <si>
    <t>RAMI ANDIKA GUMELAR</t>
  </si>
  <si>
    <t>PT. Catur Mitra Teknologi</t>
  </si>
  <si>
    <t>Andriansyah</t>
  </si>
  <si>
    <t>andri@caturmt.com</t>
  </si>
  <si>
    <t>SALMAN ROZAK ZAELANI</t>
  </si>
  <si>
    <t>VIDI ANDRIAN UKASAH</t>
  </si>
  <si>
    <t>YASMINE NURUL AFIFAH</t>
  </si>
  <si>
    <t>PT. Daikin Airconditioning Indonesia</t>
  </si>
  <si>
    <t>Ryan Rachmawan</t>
  </si>
  <si>
    <t>Ryan.Rachmawan@daikin.co.id</t>
  </si>
  <si>
    <t>YASYFI FAIKAR JUNDIL HAQ</t>
  </si>
  <si>
    <t>AFINI DWI KHAIRANI</t>
  </si>
  <si>
    <t>PT. Multi Artha Sehati</t>
  </si>
  <si>
    <t>Viyandcha Chaerul</t>
  </si>
  <si>
    <t>Viyandcha.chaerul@gmail.com</t>
  </si>
  <si>
    <t>ARDAN MUHAMMAD ATTHORIQ</t>
  </si>
  <si>
    <t>Universitas Trisakti</t>
  </si>
  <si>
    <t>ARI DWIATMOJO</t>
  </si>
  <si>
    <t>National Chin-Yi University of Technology Taiwan</t>
  </si>
  <si>
    <t>S1 - Refrigeration, Air Conditioning and Energy Engineering</t>
  </si>
  <si>
    <t>BENING HARTI LESTARI</t>
  </si>
  <si>
    <t>Dony Syamsul Hadi</t>
  </si>
  <si>
    <t>BERKAT RIVALDO S. MUNTE</t>
  </si>
  <si>
    <t>Berca Carrier Indonesia</t>
  </si>
  <si>
    <t>Danang</t>
  </si>
  <si>
    <t>DEA SRI RAHAYU</t>
  </si>
  <si>
    <t>Kurang lebih 50</t>
  </si>
  <si>
    <t xml:space="preserve">Orangtua dan sederet bantuan dana dari Allah. </t>
  </si>
  <si>
    <t>FARASH ARYA PRATAMA</t>
  </si>
  <si>
    <t>National Chin yi university of technology and energy</t>
  </si>
  <si>
    <t xml:space="preserve">Bachelor-refrigeration, air conditiong </t>
  </si>
  <si>
    <t>HAIKAL GHIFARI AL FIKRI</t>
  </si>
  <si>
    <t>PT. Sanbe Farma</t>
  </si>
  <si>
    <t>Vidy ardi ramdan</t>
  </si>
  <si>
    <t>HANAFY FAJAR SAPUTRA</t>
  </si>
  <si>
    <t>PT Multi Artha Sehati</t>
  </si>
  <si>
    <t>Deri Suhaeji</t>
  </si>
  <si>
    <t>derisuhaeji16@gmail.com</t>
  </si>
  <si>
    <t>ILHAM MUHAMMAD KAHFI</t>
  </si>
  <si>
    <t>PT Sayap Mas Utama</t>
  </si>
  <si>
    <t>Taufik hidayat</t>
  </si>
  <si>
    <t>INGE AYU DWIYANTI</t>
  </si>
  <si>
    <t>MUHAMAD FAJAR SIDIQ</t>
  </si>
  <si>
    <t>COMPASS BANDUNG</t>
  </si>
  <si>
    <t>MUHAMAD SONI HILMAN</t>
  </si>
  <si>
    <t>Ekstensi S1 -Teknik Refrigerasi Tata Udara dan Energi</t>
  </si>
  <si>
    <t>MUHAMMAD ARSY SALSABIL PRIMA</t>
  </si>
  <si>
    <t>National Chin Yi University of Technology</t>
  </si>
  <si>
    <t>S1 - Refrigeration, Air Conditioning, and Energy Engineering</t>
  </si>
  <si>
    <t>MUHAMMAD FIKRI</t>
  </si>
  <si>
    <t>MUHAMMAD RASYID ALI</t>
  </si>
  <si>
    <t xml:space="preserve">Bachelor - Refrigeration, Air Conditioning and Engineering </t>
  </si>
  <si>
    <t>MUTY MAUDI ALFIANI</t>
  </si>
  <si>
    <t>PT Daikin Airconditioning Indonesia</t>
  </si>
  <si>
    <t>Meli Nuraeni</t>
  </si>
  <si>
    <t>Meli.Nuraeni@daikin.co.id</t>
  </si>
  <si>
    <t>NIDA'UL FARIHAH</t>
  </si>
  <si>
    <t>RD MOCH RASSYA ILYASHA FAJAR</t>
  </si>
  <si>
    <t>Kabupaten Tanah Laut</t>
  </si>
  <si>
    <t>PT Tata Udara Nusantara</t>
  </si>
  <si>
    <t>Yuzar</t>
  </si>
  <si>
    <t>Yuzar@pttun.com</t>
  </si>
  <si>
    <t>RIZKY PRATAMA</t>
  </si>
  <si>
    <t>Rekrutmen FHCI BUMN</t>
  </si>
  <si>
    <t>Owner</t>
  </si>
  <si>
    <t>Rizky Pratama</t>
  </si>
  <si>
    <t>rizkyp802@gmail.com</t>
  </si>
  <si>
    <t>SALMA AULIA KURNIAPUTRI</t>
  </si>
  <si>
    <t xml:space="preserve">NATIONAL CHIN-YI UNIVERSITY of TECHNOLOGY </t>
  </si>
  <si>
    <t xml:space="preserve">Refrigeration Air Conditioning and energy Engineering </t>
  </si>
  <si>
    <t>SALMA DZAKIYAH AZ-ZAHRO</t>
  </si>
  <si>
    <t>PT Karya Intertek Kencana</t>
  </si>
  <si>
    <t>Asep Setia Kristanto</t>
  </si>
  <si>
    <t>asep_krist@yahoo.co.id</t>
  </si>
  <si>
    <t>SALWA LAURA ARNETA</t>
  </si>
  <si>
    <t>Daniel Christian</t>
  </si>
  <si>
    <t>daniel.christian@jayateknik.com</t>
  </si>
  <si>
    <t>SEPTYANSAH</t>
  </si>
  <si>
    <t>Velasto</t>
  </si>
  <si>
    <t>Irwindi</t>
  </si>
  <si>
    <t>irwinditasman@velasto.com</t>
  </si>
  <si>
    <t>SHAFILLA NIKEN SEKAR ARUM</t>
  </si>
  <si>
    <t>Viyandcha C.</t>
  </si>
  <si>
    <t>viyandcha.chaerul@gmail.com</t>
  </si>
  <si>
    <t>SYIFA AULIA HIDAYAT</t>
  </si>
  <si>
    <t xml:space="preserve">BBWS Citarum </t>
  </si>
  <si>
    <t xml:space="preserve">Leni Sukma </t>
  </si>
  <si>
    <t>ADINDA YUANITA JASMINE</t>
  </si>
  <si>
    <t>PT. JTEKT Indonesia</t>
  </si>
  <si>
    <t>Alli</t>
  </si>
  <si>
    <t>alli@gmail.com</t>
  </si>
  <si>
    <t>ANNISA DWI ZAHRA SUDARSONO</t>
  </si>
  <si>
    <t>Dreame</t>
  </si>
  <si>
    <t>AZURA ALFISYAHR</t>
  </si>
  <si>
    <t>Lebih dari 50</t>
  </si>
  <si>
    <t>Kurang dari 20</t>
  </si>
  <si>
    <t>Wildmann Indonesia</t>
  </si>
  <si>
    <t>Raka Bayuwana</t>
  </si>
  <si>
    <t>Rakabayuwana@gmail.com</t>
  </si>
  <si>
    <t>DHYTA AULIA NURHANIFFAH</t>
  </si>
  <si>
    <t>PT. Adi Karya Mas</t>
  </si>
  <si>
    <t>Hardiyanto</t>
  </si>
  <si>
    <t>hardiyanto679@gmail.com</t>
  </si>
  <si>
    <t>EVIRA RIZKA FUJIAWATI</t>
  </si>
  <si>
    <t>PT Berca Carrier Indonesia</t>
  </si>
  <si>
    <t>Pramu</t>
  </si>
  <si>
    <t>Pramu.baskoro@carrier.co.id</t>
  </si>
  <si>
    <t>FARHAN AR RASYID</t>
  </si>
  <si>
    <t>PT. Sarana Utama Adimandiri</t>
  </si>
  <si>
    <t>Bapak Donny</t>
  </si>
  <si>
    <t>FAUZI AZ-ZUMAR</t>
  </si>
  <si>
    <t>PT. Nusa Coolindo Utama</t>
  </si>
  <si>
    <t>Ivan Radiansyah</t>
  </si>
  <si>
    <t>ncoolindo_utama@yahoo.co.id</t>
  </si>
  <si>
    <t>FIRA FEBRIANA GHAISANI HAKIM</t>
  </si>
  <si>
    <t>HANIF AMNA</t>
  </si>
  <si>
    <t>Cepi pahlupi</t>
  </si>
  <si>
    <t>IQBAL RAMADHAN</t>
  </si>
  <si>
    <t>PT Daikin Airconditioning</t>
  </si>
  <si>
    <t>Stefanus</t>
  </si>
  <si>
    <t>stefanus@daikin.co.id</t>
  </si>
  <si>
    <t>IRMAYANTI NUR SABILLAH</t>
  </si>
  <si>
    <t>PT Valarbi</t>
  </si>
  <si>
    <t>Andry Sepbrianto</t>
  </si>
  <si>
    <t>andry@valarbi.com</t>
  </si>
  <si>
    <t>M. FATHAN SUGIH BAGJA</t>
  </si>
  <si>
    <t xml:space="preserve">PT SANBE FARMA </t>
  </si>
  <si>
    <t>Rizki Ma'ani</t>
  </si>
  <si>
    <t>Rizkimaani@gmail.com</t>
  </si>
  <si>
    <t>MILA NURLAELA</t>
  </si>
  <si>
    <t>PT GLOBAL COOL</t>
  </si>
  <si>
    <t>Michael Murni</t>
  </si>
  <si>
    <t>michael.murni@industre.id</t>
  </si>
  <si>
    <t>MUHAMMAD RAFI NUR ROHMAN</t>
  </si>
  <si>
    <t xml:space="preserve">National Chin-yi University of Technology </t>
  </si>
  <si>
    <t xml:space="preserve">S1 Refrigeration Air Conditioning and Energy Engineering </t>
  </si>
  <si>
    <t>PUSPA NIRMALA</t>
  </si>
  <si>
    <t>Vidy Ardi</t>
  </si>
  <si>
    <t>RAFA NAUFAL ZAFRAN</t>
  </si>
  <si>
    <t>Pak Dony Syamsul Hadi</t>
  </si>
  <si>
    <t>RAHMAYANTI</t>
  </si>
  <si>
    <t>PT. Eskimo Wieraperdana</t>
  </si>
  <si>
    <t>Yohanes Edgarth</t>
  </si>
  <si>
    <t>yohanes@eskimo.co.id</t>
  </si>
  <si>
    <t>RENA FITRIANA</t>
  </si>
  <si>
    <t>Yohanes Bryan Edgarth</t>
  </si>
  <si>
    <t>RIFQI</t>
  </si>
  <si>
    <t>RIFQI ABDULLAH</t>
  </si>
  <si>
    <t xml:space="preserve">PT. Multibrata Anugerah Utama </t>
  </si>
  <si>
    <t>Pak Dwi Jaya</t>
  </si>
  <si>
    <t>dwi_jaya@gmail.com</t>
  </si>
  <si>
    <t>RONY WIDIANTORO</t>
  </si>
  <si>
    <t>Heikal</t>
  </si>
  <si>
    <t>Ghifarih246@gmail.com</t>
  </si>
  <si>
    <t>RYAN FERDIANSYAH</t>
  </si>
  <si>
    <t>SETIGMA TIYARA PUTWA</t>
  </si>
  <si>
    <t>PT PHC Indonesia</t>
  </si>
  <si>
    <t>Mukti Prabowo</t>
  </si>
  <si>
    <t>mukti.prabowo@phchd.com</t>
  </si>
  <si>
    <t>SOFI ANINDITA BASKORO</t>
  </si>
  <si>
    <t>Deutsches Rotes Kurz</t>
  </si>
  <si>
    <t>Elke Wassner</t>
  </si>
  <si>
    <t>TEGAR MAULANA UTAMA</t>
  </si>
  <si>
    <t>PT. Indo Utama Services</t>
  </si>
  <si>
    <t>Taufik Eko Rusdianto</t>
  </si>
  <si>
    <t>taufik@indoutama.com</t>
  </si>
  <si>
    <t>TRESNANDA DENIZ DANISWARI</t>
  </si>
  <si>
    <t>PT. ESKIMO WIERAPERDANA</t>
  </si>
  <si>
    <t>WINDA AGUSTINA</t>
  </si>
  <si>
    <t>ACHMAD ZAHRI</t>
  </si>
  <si>
    <t>ADNAN RAKHMADI RAMADHAN</t>
  </si>
  <si>
    <t>PT. Katalis Jaya Indonesia</t>
  </si>
  <si>
    <t>Bimokumoro</t>
  </si>
  <si>
    <t>bimo@katalis.co</t>
  </si>
  <si>
    <t>ARIEF VICY DIPAYANA</t>
  </si>
  <si>
    <t>Kabupaten Kudus</t>
  </si>
  <si>
    <t>PT. Hartono Istana Teknologi</t>
  </si>
  <si>
    <t>Rully Septiadi</t>
  </si>
  <si>
    <t>rully.septiadi@polytron.co.id</t>
  </si>
  <si>
    <t>ARIF NURRIZKI</t>
  </si>
  <si>
    <t>Kabupaten Bintan</t>
  </si>
  <si>
    <t>PT. ESCO BINTAN INDONESIA</t>
  </si>
  <si>
    <t>Madz Dulatre</t>
  </si>
  <si>
    <t>madz.dulatre@escolifesciences.com</t>
  </si>
  <si>
    <t>BAKHRUL ILMI</t>
  </si>
  <si>
    <t>DICKY MAHENDRA</t>
  </si>
  <si>
    <t>DIMAS FARHAN SISWANTOMO</t>
  </si>
  <si>
    <t>PT CT ADVANCE TECHNOLOGY</t>
  </si>
  <si>
    <t>YEN YEN HERYADI</t>
  </si>
  <si>
    <t>yenyen.heryadi@ctadvance.co.id</t>
  </si>
  <si>
    <t>FALAH DERMAWAN</t>
  </si>
  <si>
    <t>FAUZAN HAMIDIPRADJA</t>
  </si>
  <si>
    <t>PT. SANGGAR SARANA BAJA</t>
  </si>
  <si>
    <t>LINA HERLINA</t>
  </si>
  <si>
    <t>LINA.HERLINA@PTSSB.CO.ID</t>
  </si>
  <si>
    <t>IYAN SHOFWANUL KHOLIK</t>
  </si>
  <si>
    <t>M. TAOFIQ NURHIBATULLAH</t>
  </si>
  <si>
    <t>CT Advance Technology</t>
  </si>
  <si>
    <t>Yen Yen Heryadi</t>
  </si>
  <si>
    <t>MUHAMMAD FAIQ NURMAJID</t>
  </si>
  <si>
    <t>Kabupaten Kapuas</t>
  </si>
  <si>
    <t>PT Pamapersada Nusantara</t>
  </si>
  <si>
    <t>Ainur Rachmad</t>
  </si>
  <si>
    <t>Ainurrachmad@gmail.com</t>
  </si>
  <si>
    <t>RAHADIANSYAH WIRATAMA</t>
  </si>
  <si>
    <t>RAYHAN FADHLAN UTAMA</t>
  </si>
  <si>
    <t>PT. Gerlink Utama Mandiri</t>
  </si>
  <si>
    <t>Fauzi Fikri H.</t>
  </si>
  <si>
    <t>fauzifikri1108@gmail.com</t>
  </si>
  <si>
    <t>RAZAQ FAHLEVI</t>
  </si>
  <si>
    <t>PT. Adhimix Precast Indonesia</t>
  </si>
  <si>
    <t>Basrizal Defriadi</t>
  </si>
  <si>
    <t>basrizaldefriadi@gmail.com</t>
  </si>
  <si>
    <t>SYAFIQ ADE PRIYATAMA</t>
  </si>
  <si>
    <t>PT CT Advance Technology</t>
  </si>
  <si>
    <t>Nawawi Yusron</t>
  </si>
  <si>
    <t>nawawi@ctadvance.co.id</t>
  </si>
  <si>
    <t>YUDA MAULUDDIN</t>
  </si>
  <si>
    <t>PT Hartono Istana Teknologi (POLYTRON)</t>
  </si>
  <si>
    <t>Ruly Septiadi</t>
  </si>
  <si>
    <t>ALDY MAULANA</t>
  </si>
  <si>
    <t>ALLYA KHARISMA NADA</t>
  </si>
  <si>
    <t>PT. TAKENAKA INDONESIA</t>
  </si>
  <si>
    <t>Jimmy Januariska Lubis</t>
  </si>
  <si>
    <t>jimmy@takenaka.co.id</t>
  </si>
  <si>
    <t>AMARA FALSA CRANADYTHA</t>
  </si>
  <si>
    <t>Yossi Ardiansyah</t>
  </si>
  <si>
    <t>yossi@takenaka.co.id</t>
  </si>
  <si>
    <t>ANANDA EGA MAHARANI</t>
  </si>
  <si>
    <t>PT LAPI ITB</t>
  </si>
  <si>
    <t>Fijar Firmansyah</t>
  </si>
  <si>
    <t>Fijarfirmansyah@gmail.com</t>
  </si>
  <si>
    <t>AURINA SETYANDRI</t>
  </si>
  <si>
    <t>PT. Rose Cosmetics International</t>
  </si>
  <si>
    <t>Tiffany Danielle</t>
  </si>
  <si>
    <t>tiffany@roseallday.co</t>
  </si>
  <si>
    <t>Sejak awal saya sudah berkecimpung di pekerjaan ini</t>
  </si>
  <si>
    <t>AZHARI RAZAK RAMADHANA</t>
  </si>
  <si>
    <t>PT. Adhy Duta Prima</t>
  </si>
  <si>
    <t>M. Daud Nasution</t>
  </si>
  <si>
    <t>Adepe@gmail.com</t>
  </si>
  <si>
    <t>FADHILAH AULIA RAHMAN</t>
  </si>
  <si>
    <t>PT. Belaputera Intiland</t>
  </si>
  <si>
    <t>Arri Karmana</t>
  </si>
  <si>
    <t>arri@kotabaruparahyangan.com</t>
  </si>
  <si>
    <t>FARADITA FIRNA ANANDA</t>
  </si>
  <si>
    <t>Kementerian Kesehatan</t>
  </si>
  <si>
    <t>Marten Avero</t>
  </si>
  <si>
    <t>bintang200801@gmail.com</t>
  </si>
  <si>
    <t>FARHAN WAHYUDITIA</t>
  </si>
  <si>
    <t>Kabupaten Manggarai Barat</t>
  </si>
  <si>
    <t>Mitra Konstruksi</t>
  </si>
  <si>
    <t>Rizki Setiawan</t>
  </si>
  <si>
    <t>Rizkisetiawan1225@yahoo.com</t>
  </si>
  <si>
    <t>ILHAM FERYANTO</t>
  </si>
  <si>
    <t>Kabupaten Probolinggo</t>
  </si>
  <si>
    <t>Konsultan Individu</t>
  </si>
  <si>
    <t>ilhamferyanto@gmail.com</t>
  </si>
  <si>
    <t>MOCHAMMAD HAFIZH SEPTIAN</t>
  </si>
  <si>
    <t>15 lamaran</t>
  </si>
  <si>
    <t>9 lamaran</t>
  </si>
  <si>
    <t>5 lamaran</t>
  </si>
  <si>
    <t>PT. PP (Persero) Tbk</t>
  </si>
  <si>
    <t>Deris Bagus Sugiono</t>
  </si>
  <si>
    <t>Derisbagus.s@gmail.com</t>
  </si>
  <si>
    <t>MUHAMMAD JUANG</t>
  </si>
  <si>
    <t>PT. PEMBANGUNAN PERUMAHAN PERSERO TBK</t>
  </si>
  <si>
    <t>FAHMI AKMAL H.</t>
  </si>
  <si>
    <t>fahmi.akmal@ptpp.co.id</t>
  </si>
  <si>
    <t>MUHAMMAD YUNAN AVIONDA</t>
  </si>
  <si>
    <t>Kabupaten Gresik</t>
  </si>
  <si>
    <t>PT WIJAYA KARYA</t>
  </si>
  <si>
    <t>ADI ARDIYANTO</t>
  </si>
  <si>
    <t>adi.ardiyanto@wikamail.co.id</t>
  </si>
  <si>
    <t>NAUFAL ZAHIR ALFATH</t>
  </si>
  <si>
    <t>Streda Bangun Karya</t>
  </si>
  <si>
    <t>Bagus Budi Jatmiko</t>
  </si>
  <si>
    <t>bagusbudijatmiko@gmail.com</t>
  </si>
  <si>
    <t>RESTU MUHAMMAD FARHAN</t>
  </si>
  <si>
    <t>PT. Geo Mandiri Adhi Pratama</t>
  </si>
  <si>
    <t>Rivai Sargawi</t>
  </si>
  <si>
    <t>Rivai_bm@yahoo.com</t>
  </si>
  <si>
    <t>SAEPUL FARIZ</t>
  </si>
  <si>
    <t>Dadan Ramadhan</t>
  </si>
  <si>
    <t>dadan@takenaka.co.id</t>
  </si>
  <si>
    <t>SARAH NABILAH WINATA</t>
  </si>
  <si>
    <t>PT Jasamarga Tollroad Maintenance</t>
  </si>
  <si>
    <t>Ahmad Fikri</t>
  </si>
  <si>
    <t>ahmad.fikri@jasamarga.co.id</t>
  </si>
  <si>
    <t>VIATA NINGRUM</t>
  </si>
  <si>
    <t>PT Cakra Raya Teknologi</t>
  </si>
  <si>
    <t>M Husni Thamrin</t>
  </si>
  <si>
    <t>ZAHRA YANFA DHIYA'ULHAQ</t>
  </si>
  <si>
    <t>PT CATUR ELANG PERKASA</t>
  </si>
  <si>
    <t>MULYONO</t>
  </si>
  <si>
    <t>mulyono@caturelang.co.id</t>
  </si>
  <si>
    <t>ZUYAN AFYA</t>
  </si>
  <si>
    <t>20-30</t>
  </si>
  <si>
    <t>PT. Solusi Infra Jaya</t>
  </si>
  <si>
    <t>Lilik Dharmanto</t>
  </si>
  <si>
    <t>sinfrajaya.pt@gmail.com</t>
  </si>
  <si>
    <t>ALDRIN RAHMAT PRATAMA</t>
  </si>
  <si>
    <t>PT. CIRIA JASA MANDIRI</t>
  </si>
  <si>
    <t>Aryo Bimo</t>
  </si>
  <si>
    <t>Aryobimoeduard@gmail.com</t>
  </si>
  <si>
    <t>ALIFA AYATUR RAHMAN</t>
  </si>
  <si>
    <t>CV. Nur Alpan</t>
  </si>
  <si>
    <t>Yunengsih</t>
  </si>
  <si>
    <t>nuralpan@gmail.com</t>
  </si>
  <si>
    <t>AULIA HILMI PUJOWIDOWATI</t>
  </si>
  <si>
    <t>Meinhard Technology</t>
  </si>
  <si>
    <t>Timoty Subroto</t>
  </si>
  <si>
    <t>timothy.s@mfacade.com</t>
  </si>
  <si>
    <t>AULIA MAGHFIRA PUTRI</t>
  </si>
  <si>
    <t>ALCON INDONESIA</t>
  </si>
  <si>
    <t>LISNA</t>
  </si>
  <si>
    <t>CANTIKA DEWI PUTRI</t>
  </si>
  <si>
    <t xml:space="preserve">SD Negeri Cibabat 5 </t>
  </si>
  <si>
    <t>Teti Rismayati, S. Ag</t>
  </si>
  <si>
    <t>teti.rismayati1964@gmail.com</t>
  </si>
  <si>
    <t>DEVID YUSUP DALTHON THOBA BILIHER</t>
  </si>
  <si>
    <t>30-50</t>
  </si>
  <si>
    <t xml:space="preserve">BUJKA Ferbeck International S. A. </t>
  </si>
  <si>
    <t>Edo Hartanto</t>
  </si>
  <si>
    <t>edo.hartanto@ferbeckinternational.com</t>
  </si>
  <si>
    <t>DIANA ARISTAWATI</t>
  </si>
  <si>
    <t>DINAH OCTOVIANY</t>
  </si>
  <si>
    <t>KYUTIPAYO</t>
  </si>
  <si>
    <t>DINAH</t>
  </si>
  <si>
    <t>dinahocto@gmail.com</t>
  </si>
  <si>
    <t>HAYKAL ZAKY MUZHAFFAR</t>
  </si>
  <si>
    <t>Kabupaten Kotawaringin Timur</t>
  </si>
  <si>
    <t>PT. Borneo Energi Biomas</t>
  </si>
  <si>
    <t>Nanang Rasidin</t>
  </si>
  <si>
    <t>nanangatmpku@gmail.com</t>
  </si>
  <si>
    <t>ILHAM RABBANI</t>
  </si>
  <si>
    <t>CV. TRITUNGGAL SEJAHTERA</t>
  </si>
  <si>
    <t>Fery Pamungkas</t>
  </si>
  <si>
    <t>ferypamungkascw@gmail.com</t>
  </si>
  <si>
    <t>JANUAR DWIKI RAMDHANI</t>
  </si>
  <si>
    <t>LUTFI KEMAL AZIZ ZAKIYYANA</t>
  </si>
  <si>
    <t>MEGA SLAMET</t>
  </si>
  <si>
    <t>MITHA ARYA NIDYAWATI</t>
  </si>
  <si>
    <t>PT. Wisma Karya Abadi</t>
  </si>
  <si>
    <t>Habib</t>
  </si>
  <si>
    <t>Habiburachman@gmail.com</t>
  </si>
  <si>
    <t>MUTIA GINA SAVIRA</t>
  </si>
  <si>
    <t>S2 - Rekayasa Infrastruktur</t>
  </si>
  <si>
    <t>NUR AFIFAH FERNAWATI</t>
  </si>
  <si>
    <t>Geocipta Bangun Optima</t>
  </si>
  <si>
    <t>Amel</t>
  </si>
  <si>
    <t>melatinovianty@gmail.com</t>
  </si>
  <si>
    <t>OSCAR REINALDI RAMDHANI</t>
  </si>
  <si>
    <t>Kabupaten Sidoarjo</t>
  </si>
  <si>
    <t>PT. Wijaya Karya (Persero)</t>
  </si>
  <si>
    <t>Rafid</t>
  </si>
  <si>
    <t>Enoibbs@gmail.com</t>
  </si>
  <si>
    <t>RESI NISA NURHADID</t>
  </si>
  <si>
    <t>PT. Tritech Consult Indonesia</t>
  </si>
  <si>
    <t>Wirfan Effendie</t>
  </si>
  <si>
    <t>RIKSA MAULANA KOSWARA</t>
  </si>
  <si>
    <t>SAFIRA LOKINASTI SALSABILA</t>
  </si>
  <si>
    <t>YUSUF PERMANA</t>
  </si>
  <si>
    <t>SHAFIRA DEA PRASANTI</t>
  </si>
  <si>
    <t>Kota Pontianak</t>
  </si>
  <si>
    <t xml:space="preserve">PT PARAGON TECHNOLOGY AND INNOVATION </t>
  </si>
  <si>
    <t>Kingkin Permadi</t>
  </si>
  <si>
    <t>TYAS SUKMA</t>
  </si>
  <si>
    <t>Tawaran dari Pustekkon Polban</t>
  </si>
  <si>
    <t>PT. SATRIA YUDHA BAGASKARA</t>
  </si>
  <si>
    <t>Bagus Setyo Laksono</t>
  </si>
  <si>
    <t>satriayudhabagaskara2@gmail.com</t>
  </si>
  <si>
    <t>WIDDY HIJRIYANTHI HAKIM</t>
  </si>
  <si>
    <t>PT GALUNGGUNG JAYA ABADI</t>
  </si>
  <si>
    <t>SANDI ARIFIANTARA</t>
  </si>
  <si>
    <t>ptgalunggungjayaabadi@gmail.com</t>
  </si>
  <si>
    <t>ALLEGRA MAZMUR</t>
  </si>
  <si>
    <t>Telkom Indonesia</t>
  </si>
  <si>
    <t>ANANDA DANA PRATAMA</t>
  </si>
  <si>
    <t>PT Barrans Global Mandiri</t>
  </si>
  <si>
    <t>Adi</t>
  </si>
  <si>
    <t>ASEP MAULANA</t>
  </si>
  <si>
    <t>NTT INDONESIA</t>
  </si>
  <si>
    <t>Tommy Wijaya</t>
  </si>
  <si>
    <t>tommy.wijaya@global.ntt</t>
  </si>
  <si>
    <t>AZIS TIO NUGROHO</t>
  </si>
  <si>
    <t>Gramedia</t>
  </si>
  <si>
    <t>Mike Rony hariman</t>
  </si>
  <si>
    <t>mike@gramedia.id</t>
  </si>
  <si>
    <t>EKA PRATIWI</t>
  </si>
  <si>
    <t>Packet Systems Indonesia</t>
  </si>
  <si>
    <t>Christina Prahastuti</t>
  </si>
  <si>
    <t>FADHILAH HASANAH</t>
  </si>
  <si>
    <t>FANY NABILAH</t>
  </si>
  <si>
    <t>PT Mitra Integrasi Informatika</t>
  </si>
  <si>
    <t>Naufal Aji Wibowo</t>
  </si>
  <si>
    <t>FATHIR MUHAMMAD FASHA</t>
  </si>
  <si>
    <t>Raihmimpi.id</t>
  </si>
  <si>
    <t>Fajar Nugraha</t>
  </si>
  <si>
    <t>fajar.nugraha@raihmimpi.id</t>
  </si>
  <si>
    <t>GEMUTRO GUSTI HAPSORO</t>
  </si>
  <si>
    <t>PT. Datacomm Diangraha</t>
  </si>
  <si>
    <t>Bapak Eka Budi Santosa</t>
  </si>
  <si>
    <t>eka.santosa@datacomm.co.id</t>
  </si>
  <si>
    <t>INDRA YOGA SARA</t>
  </si>
  <si>
    <t>Bank Rakyat Indonesia under vendor Sharing Vision</t>
  </si>
  <si>
    <t>Kenny David</t>
  </si>
  <si>
    <t>JERICHO P. TARIGAN</t>
  </si>
  <si>
    <t>Kyndryl Indonesia</t>
  </si>
  <si>
    <t>Bartolomeus Raditya</t>
  </si>
  <si>
    <t>bartolomeus.raditya2@kyndryl.com</t>
  </si>
  <si>
    <t>M. ANANTIO DWIKA ARIE</t>
  </si>
  <si>
    <t>15 lebih</t>
  </si>
  <si>
    <t>rahasia</t>
  </si>
  <si>
    <t>MARCHELLIA</t>
  </si>
  <si>
    <t>Bank BCA</t>
  </si>
  <si>
    <t>Bapak Doliyanto</t>
  </si>
  <si>
    <t>Alexander_doliyanto@bca.co.id</t>
  </si>
  <si>
    <t>MAYER</t>
  </si>
  <si>
    <t>multipolar</t>
  </si>
  <si>
    <t>om yeri</t>
  </si>
  <si>
    <t>Butuh uang</t>
  </si>
  <si>
    <t>MUHAMAD RIZKY</t>
  </si>
  <si>
    <t>Samrony Eka Fauzi</t>
  </si>
  <si>
    <t>MUHAMMAD ARFI TAFTANZANI</t>
  </si>
  <si>
    <t>PT. NTT</t>
  </si>
  <si>
    <t>Pak Indra</t>
  </si>
  <si>
    <t>indra.gunawan@globalntt.com</t>
  </si>
  <si>
    <t>MUHAMMAD NURKHOLIS WILDAN</t>
  </si>
  <si>
    <t>PT. Packet Systems Indonesia</t>
  </si>
  <si>
    <t>Ali Syech Ali Muhammad</t>
  </si>
  <si>
    <t>MUHAMMAD RAUSYI FIKRI</t>
  </si>
  <si>
    <t>Riset Ai, Multipolar Technology</t>
  </si>
  <si>
    <t>mayer</t>
  </si>
  <si>
    <t>mayer@multipolar.com</t>
  </si>
  <si>
    <t>NAUFAL ADRIEL FAUZI</t>
  </si>
  <si>
    <t>Bootcamp</t>
  </si>
  <si>
    <t>ILCS</t>
  </si>
  <si>
    <t>Kamaldila</t>
  </si>
  <si>
    <t>NISA NUR RIZKA FITRIYANI</t>
  </si>
  <si>
    <t>PT Packet System Indonesia</t>
  </si>
  <si>
    <t>Antony Fernando</t>
  </si>
  <si>
    <t>NISRINA ATHAYA AMANI</t>
  </si>
  <si>
    <t>NUR AULIA</t>
  </si>
  <si>
    <t>Handy Surya</t>
  </si>
  <si>
    <t>NURJANIJAN MADHATILLAH</t>
  </si>
  <si>
    <t>PT. NTT Technology</t>
  </si>
  <si>
    <t>Ilan Muhkam</t>
  </si>
  <si>
    <t>ROSDIANA NURSITA HERLAMBANG</t>
  </si>
  <si>
    <t>SOPHIA AGUSTINA SUZANTHI</t>
  </si>
  <si>
    <t>100++</t>
  </si>
  <si>
    <t>PT. Sisindokom Lintasbuana</t>
  </si>
  <si>
    <t>Purwo Hidayat</t>
  </si>
  <si>
    <t>purwo.hidayat@sisindokom.com</t>
  </si>
  <si>
    <t>sudah sesuai dengan pendidikan</t>
  </si>
  <si>
    <t>TIARA SEPTIANY PERSADA</t>
  </si>
  <si>
    <t>PT Central Data Technology</t>
  </si>
  <si>
    <t>Farizal Andrian</t>
  </si>
  <si>
    <t>farizal.andrian@centraldatatech.com</t>
  </si>
  <si>
    <t>WELDY GURUH WARDHANA</t>
  </si>
  <si>
    <t>PT. Mastersystem Infotama</t>
  </si>
  <si>
    <t>Raymond Raphael</t>
  </si>
  <si>
    <t xml:space="preserve">Raymond.Raphael@mastersystem.co.id </t>
  </si>
  <si>
    <t>YULIANA NUR RAHMAWATI</t>
  </si>
  <si>
    <t>PT. Astra International, Tbk.</t>
  </si>
  <si>
    <t>Izzuddin Karim</t>
  </si>
  <si>
    <t>izzuddin.karim@ai.astra.co.id</t>
  </si>
  <si>
    <t>YUNAN PUSPANING MASNA</t>
  </si>
  <si>
    <t>Shopee (Online Shop)</t>
  </si>
  <si>
    <t>Saya sendiri</t>
  </si>
  <si>
    <t>yunanpuspa@gmail.com</t>
  </si>
  <si>
    <t>ACHMADI JIRAN TAHTTADU</t>
  </si>
  <si>
    <t>National Chin-Yi University of Technology</t>
  </si>
  <si>
    <t>S1 - Refrigeration and Energy</t>
  </si>
  <si>
    <t>ADINDA ISMALIAN</t>
  </si>
  <si>
    <t>&gt;300</t>
  </si>
  <si>
    <t>Selamet Catur Irayulian</t>
  </si>
  <si>
    <t>ADIRA SALSABILA</t>
  </si>
  <si>
    <t>100+</t>
  </si>
  <si>
    <t>20+</t>
  </si>
  <si>
    <t>PT Huawei Services</t>
  </si>
  <si>
    <t>Andry Pamungkas</t>
  </si>
  <si>
    <t>andry.pamungkas.ext@huawei.com</t>
  </si>
  <si>
    <t>ADITYA TRISNA NUGRAHA</t>
  </si>
  <si>
    <t>Sinarmas Land</t>
  </si>
  <si>
    <t>Darmono</t>
  </si>
  <si>
    <t>Darmono@sinarmasland.com</t>
  </si>
  <si>
    <t>AGRIL CHAIRUN NISA</t>
  </si>
  <si>
    <t>Telkom university</t>
  </si>
  <si>
    <t>S1-Teknik telekomunikasi</t>
  </si>
  <si>
    <t>ALIEF DEVARA NABIL</t>
  </si>
  <si>
    <t>BitHealth</t>
  </si>
  <si>
    <t>Alwidyarly Zulfi</t>
  </si>
  <si>
    <t>alwidyarly@bithealth.co.id</t>
  </si>
  <si>
    <t>AULYA RACHMA MAULIDA</t>
  </si>
  <si>
    <t>Kabupaten Kuningan</t>
  </si>
  <si>
    <t>Sanqua Group (Plant PT Grahamas Inti Tirta)</t>
  </si>
  <si>
    <t>Bapak Rianto</t>
  </si>
  <si>
    <t>DESVIA HELIANDY UTAMI</t>
  </si>
  <si>
    <t>Universitas Bina Nusantara</t>
  </si>
  <si>
    <t>Sistem Informasi</t>
  </si>
  <si>
    <t>DINDA MUSTIKA</t>
  </si>
  <si>
    <t>PT NTT Technology</t>
  </si>
  <si>
    <t>Bapak Ketut Wiguna</t>
  </si>
  <si>
    <t>ENJEL AL BIRR RAHAYU</t>
  </si>
  <si>
    <t>Bank Kb Bukopin Syariah</t>
  </si>
  <si>
    <t>Pak Sukarno</t>
  </si>
  <si>
    <t>FAJAR MAULANA YUSUF</t>
  </si>
  <si>
    <t>Datacomm</t>
  </si>
  <si>
    <t>Syauqi</t>
  </si>
  <si>
    <t>nur.syauqi@datacomm.co.id</t>
  </si>
  <si>
    <t>FATMAWATI PUTRI ROHMAN</t>
  </si>
  <si>
    <t>Lebih dari 5</t>
  </si>
  <si>
    <t>PT. Telkom Indonesia</t>
  </si>
  <si>
    <t>Irma Yuningsih</t>
  </si>
  <si>
    <t>FINDI NUR WITRIANI</t>
  </si>
  <si>
    <t>Anteraja</t>
  </si>
  <si>
    <t>Septian Saputra</t>
  </si>
  <si>
    <t xml:space="preserve">	septiansaputra1609@gmail.com</t>
  </si>
  <si>
    <t>FIRMAN AKBAR MAULANA</t>
  </si>
  <si>
    <t>PT Indonesia Global Solusindo</t>
  </si>
  <si>
    <t>Ruben Mikhael Hutabarat</t>
  </si>
  <si>
    <t>GEBI NATALIA SILALAHI</t>
  </si>
  <si>
    <t>GHOCHA BALADEWA</t>
  </si>
  <si>
    <t>Bina Artha Ventura</t>
  </si>
  <si>
    <t>Radyarto Siregar</t>
  </si>
  <si>
    <t>di Pekerjaan Ini 30 % Terpakai dari pendidikan dan 70 % terpakai dari Skill yang saya miliki karena saya belajar secara Autodidak</t>
  </si>
  <si>
    <t>IDHAMARTYA WULANI</t>
  </si>
  <si>
    <t>Dinas Komunikasi dan Informatika</t>
  </si>
  <si>
    <t>Muhamad Furqon</t>
  </si>
  <si>
    <t>kaminfo@subang.go.id</t>
  </si>
  <si>
    <t>MOCHAMAD SONDA NUR PASHA</t>
  </si>
  <si>
    <t>Dtc</t>
  </si>
  <si>
    <t>Stev</t>
  </si>
  <si>
    <t>None@gmail.com</t>
  </si>
  <si>
    <t>MUHAMAD RIZKI</t>
  </si>
  <si>
    <t>Anak Usaha BUMN</t>
  </si>
  <si>
    <t>PT. SINERGI INFORMATIKA SEMEN INDONESIA</t>
  </si>
  <si>
    <t>Musmulyadi</t>
  </si>
  <si>
    <t>musmulyadi@sisi.id</t>
  </si>
  <si>
    <t>MUHAMMAD APRIAN FAUZI</t>
  </si>
  <si>
    <t>Askarasoft</t>
  </si>
  <si>
    <t>Michael Chandra</t>
  </si>
  <si>
    <t>michael@askarasoft.com</t>
  </si>
  <si>
    <t>NABELA TORESA ANGGRAINI</t>
  </si>
  <si>
    <t>BCA</t>
  </si>
  <si>
    <t>NURJAMILAH HAQIMAH</t>
  </si>
  <si>
    <t>Mitra Integrasi Informatika</t>
  </si>
  <si>
    <t>Pradana Fajrin Riyanda</t>
  </si>
  <si>
    <t>pradana.riyanda@ms.mii.co.id</t>
  </si>
  <si>
    <t>NURUL AULIA HIDAYAT</t>
  </si>
  <si>
    <t>Heppikids</t>
  </si>
  <si>
    <t>Faisal</t>
  </si>
  <si>
    <t>faisalnurhakim65@yahoo.com</t>
  </si>
  <si>
    <t>PRIYANKA ALLEEKA AMARISSA</t>
  </si>
  <si>
    <t>PT. Smartfren Telecom, Tbk</t>
  </si>
  <si>
    <t>Prayoga Sujono</t>
  </si>
  <si>
    <t>Prayoga.sujono@smartfren.com</t>
  </si>
  <si>
    <t>PUTRI NURIZA</t>
  </si>
  <si>
    <t>RAISYA AULIYA SALSABILA</t>
  </si>
  <si>
    <t>Mitra Integrasi Informatika, PT.</t>
  </si>
  <si>
    <t>Bapak Neil</t>
  </si>
  <si>
    <t>SITI KURNIATI</t>
  </si>
  <si>
    <t>Digiserve By Telkom Indonesia</t>
  </si>
  <si>
    <t>Andri Hanafi</t>
  </si>
  <si>
    <t>andri.hanafi@digiserve.co.id</t>
  </si>
  <si>
    <t>SYIFA NURUL AFNI</t>
  </si>
  <si>
    <t>PT Finexus Jakarta</t>
  </si>
  <si>
    <t>Cahyadi Hermanto</t>
  </si>
  <si>
    <t>cahyadi.hermanto@finexusgroup.com</t>
  </si>
  <si>
    <t>TRIANI KAMILA A.S</t>
  </si>
  <si>
    <t>Telekomunikasi</t>
  </si>
  <si>
    <t>PT XL AXIATA</t>
  </si>
  <si>
    <t>Sangaji</t>
  </si>
  <si>
    <t>ADAM MURI PAMUNGKAS</t>
  </si>
  <si>
    <t>PT Oracle Indonesia</t>
  </si>
  <si>
    <t>Abdul Azeez</t>
  </si>
  <si>
    <t>abdul.azeez.m.i@oracle.com</t>
  </si>
  <si>
    <t>AHMAD HIDAYATULLAH SHOLIHIN</t>
  </si>
  <si>
    <t>PT Radinka Anugera</t>
  </si>
  <si>
    <t>Muhammad Alfarabi</t>
  </si>
  <si>
    <t>muhammadalfarabi@radinka.co.id</t>
  </si>
  <si>
    <t>AMY NADIA HIDAYAH</t>
  </si>
  <si>
    <t>Hanya beberapa</t>
  </si>
  <si>
    <t xml:space="preserve">PT Nursahaja Properti </t>
  </si>
  <si>
    <t>Nanang susilo</t>
  </si>
  <si>
    <t>Nursahajaproperti@gmail.com</t>
  </si>
  <si>
    <t>ANGGIE RARA DEWI PUTRI</t>
  </si>
  <si>
    <t>PT. Tali Cahaya Buana</t>
  </si>
  <si>
    <t>Pevi Karamina Putri</t>
  </si>
  <si>
    <t>BAGUS AMAR SOLIHIN</t>
  </si>
  <si>
    <t>DIMAS ARYA ADITYA</t>
  </si>
  <si>
    <t>TOWER BERSAMA GROUP</t>
  </si>
  <si>
    <t>Junjun Suhartajadi</t>
  </si>
  <si>
    <t>ERYKA NOVIANTI HARTONO</t>
  </si>
  <si>
    <t>Lebih dari 40</t>
  </si>
  <si>
    <t>PT. KAHATEX</t>
  </si>
  <si>
    <t>Arief</t>
  </si>
  <si>
    <t>Tidak tau</t>
  </si>
  <si>
    <t>FADHIL AULIA RAHMAN</t>
  </si>
  <si>
    <t>PT. HALEYORA POWERINDO</t>
  </si>
  <si>
    <t xml:space="preserve">Pak Rizal (HRD) </t>
  </si>
  <si>
    <t>Info@hapindo.co.id</t>
  </si>
  <si>
    <t>IKLIMA AMANAH YASHINTA</t>
  </si>
  <si>
    <t>Kota Cirebon</t>
  </si>
  <si>
    <t>PT EQUITYWORLD FUTURES</t>
  </si>
  <si>
    <t>Ranti Wulandari</t>
  </si>
  <si>
    <t>Rantiwulandari@gmaill.con</t>
  </si>
  <si>
    <t>ILYAS NOVANSYAH</t>
  </si>
  <si>
    <t>IOT Kreasi Indonesia</t>
  </si>
  <si>
    <t>Irwan</t>
  </si>
  <si>
    <t>iwan@weiots.io</t>
  </si>
  <si>
    <t>LUTHFIANA ADAM MALDINI</t>
  </si>
  <si>
    <t>Adi Wiranata Darmawan</t>
  </si>
  <si>
    <t>karena sering WFH :)</t>
  </si>
  <si>
    <t>MARISA PUTRI SUPRIADI</t>
  </si>
  <si>
    <t>Telkom University</t>
  </si>
  <si>
    <t>S1 - Teknik Telekomunikasi</t>
  </si>
  <si>
    <t>MUCHAMAD ILHAM FAKHRI</t>
  </si>
  <si>
    <t xml:space="preserve">PT. STEEL CENTER INDONESIA </t>
  </si>
  <si>
    <t xml:space="preserve">Owaki </t>
  </si>
  <si>
    <t>MUHAMAD ARMAN MAULANA</t>
  </si>
  <si>
    <t>PT Gunung Jati Group</t>
  </si>
  <si>
    <t>H Ade Ruhimat</t>
  </si>
  <si>
    <t>Tidak ada email</t>
  </si>
  <si>
    <t>MUHAMMAD HILMAN MAULANA</t>
  </si>
  <si>
    <t>PT. Falah Inovasi Teknologi</t>
  </si>
  <si>
    <t>Novi Yana</t>
  </si>
  <si>
    <t>NADIANA PUTRI WAHYUNI</t>
  </si>
  <si>
    <t>PT Core Mediatech</t>
  </si>
  <si>
    <t>Aldi Alhadni</t>
  </si>
  <si>
    <t>PARTOMUAN GEARRY ANDREAS JOSUA</t>
  </si>
  <si>
    <t>NTT Indonesia Solutions</t>
  </si>
  <si>
    <t>PUPUT NURFAIDAH TAUFIK</t>
  </si>
  <si>
    <t>S1-Teknik Telekomunikasi</t>
  </si>
  <si>
    <t>RASENDRIYA RIZQ NOOR ADLI</t>
  </si>
  <si>
    <t xml:space="preserve">TKG Taekwang </t>
  </si>
  <si>
    <t>Indri</t>
  </si>
  <si>
    <t>REGINA NUR SHABRINA</t>
  </si>
  <si>
    <t>Medion</t>
  </si>
  <si>
    <t>Awaludin Hakim</t>
  </si>
  <si>
    <t>awaludin.hakim@medionindonesia.com</t>
  </si>
  <si>
    <t>REYHAN RACHMAN</t>
  </si>
  <si>
    <t>PT. Metrocom Global Solusi</t>
  </si>
  <si>
    <t>M. Kautsar</t>
  </si>
  <si>
    <t>REYNALDI PRAYOGA</t>
  </si>
  <si>
    <t>Datacomm Diangraha</t>
  </si>
  <si>
    <t>Stevanus</t>
  </si>
  <si>
    <t>RYANA DWI APRILIA</t>
  </si>
  <si>
    <t>PT Core Mediatech (D-NET)</t>
  </si>
  <si>
    <t>Aldi</t>
  </si>
  <si>
    <t>SITI KHOLIFAH</t>
  </si>
  <si>
    <t>PT Gelar Jaya Sentosa</t>
  </si>
  <si>
    <t>Sumiyono</t>
  </si>
  <si>
    <t>smiyono@gmail.com</t>
  </si>
  <si>
    <t>SYEVIERA MINAWATI ALFANDI</t>
  </si>
  <si>
    <t>VINA FITRIANA</t>
  </si>
  <si>
    <t>CV samudra medika lab</t>
  </si>
  <si>
    <t xml:space="preserve">ari </t>
  </si>
  <si>
    <t>Arirosandi73263@gmail.com</t>
  </si>
  <si>
    <t>ZULFAN MUHAMMAD FADJAR SENTANA</t>
  </si>
  <si>
    <t>Catur Irayulian</t>
  </si>
  <si>
    <t>catur.irayulian@datacomm.co.id</t>
  </si>
  <si>
    <t>M Fachrul Amarullah Alda</t>
  </si>
  <si>
    <t>Rizqi Nurtaqwa Ilahi</t>
  </si>
  <si>
    <t>Kelompok Usah Bersama Putra Cahaya Samudera Mandiri</t>
  </si>
  <si>
    <t>Rizqi3226@gmail.com</t>
  </si>
  <si>
    <t>ABDULLAH NOOR SALIM</t>
  </si>
  <si>
    <t>Kabupaten Halmahera Selatan</t>
  </si>
  <si>
    <t>PT. Halmahera Persada Lygend</t>
  </si>
  <si>
    <t>Ruqun</t>
  </si>
  <si>
    <t>CINTYA DWI AGUSTINA</t>
  </si>
  <si>
    <t>Adrianus</t>
  </si>
  <si>
    <t>DEKA PAKSI MANGGALA</t>
  </si>
  <si>
    <t>PT. Taka Hydrocore Indonesia</t>
  </si>
  <si>
    <t>Rifandiya Akmal</t>
  </si>
  <si>
    <t>rifandiya@thi.co.id</t>
  </si>
  <si>
    <t>EDWIN JENI ARWANSA</t>
  </si>
  <si>
    <t>Kepuh Kencana Arum</t>
  </si>
  <si>
    <t>Sari</t>
  </si>
  <si>
    <t>FAHMI IDRUS AL JUFRI</t>
  </si>
  <si>
    <t>The Wife And The Husband Corp</t>
  </si>
  <si>
    <t>Mohamad Jusman Maulana</t>
  </si>
  <si>
    <t>GERDY ALFI BABYS</t>
  </si>
  <si>
    <t xml:space="preserve">PT Gihon Telekomunikasi Indonesia Tbk </t>
  </si>
  <si>
    <t>Felix Ariodamar</t>
  </si>
  <si>
    <t>felix@k2sinergi.com</t>
  </si>
  <si>
    <t>HENRI HERLAMBANG</t>
  </si>
  <si>
    <t>PT. Tirta Fresindo Jaya</t>
  </si>
  <si>
    <t>Guntur</t>
  </si>
  <si>
    <t>guntur.nanda@mayora.co.id</t>
  </si>
  <si>
    <t>MELATI RIZKY AZHARI ILYAS</t>
  </si>
  <si>
    <t>Ultimo Solution</t>
  </si>
  <si>
    <t>David Sanjaya</t>
  </si>
  <si>
    <t>hrd1@kpaindonesia.com</t>
  </si>
  <si>
    <t>MUHAMMAD IHSAN NURIYA</t>
  </si>
  <si>
    <t>Kurang lebih 40</t>
  </si>
  <si>
    <t>Sekitar 6</t>
  </si>
  <si>
    <t>Saitama ( Jepang )</t>
  </si>
  <si>
    <t>Shouei Kougyo</t>
  </si>
  <si>
    <t>Funabashi kazuaki</t>
  </si>
  <si>
    <t>MUHAMMAD LUTHFI</t>
  </si>
  <si>
    <t>RAGIL ADITTYA</t>
  </si>
  <si>
    <t>&gt; 10</t>
  </si>
  <si>
    <t>PT. Seamec Indonesia Engineering</t>
  </si>
  <si>
    <t>Liliek Pramudiantoro</t>
  </si>
  <si>
    <t>liliek@seamec.co.id</t>
  </si>
  <si>
    <t>RICKY ROFI</t>
  </si>
  <si>
    <t>Kabupaten Tapin</t>
  </si>
  <si>
    <t>PT Hasnur Riung Sinergi</t>
  </si>
  <si>
    <t>Fauzi</t>
  </si>
  <si>
    <t>SALSABILA AZHAARI</t>
  </si>
  <si>
    <t>SANDY TAUFIK</t>
  </si>
  <si>
    <t>MUHAMMAD AKBAR FAHRUR ROZI</t>
  </si>
  <si>
    <t>AGNES FIDELA AGREFINA HUTAHAEAN</t>
  </si>
  <si>
    <t>PT Bank Central Asia Tbk</t>
  </si>
  <si>
    <t>Jayanti Zainal</t>
  </si>
  <si>
    <t>AGUSTIN HUKMA SHABIYYA</t>
  </si>
  <si>
    <t>ANNISA AULYA SUDJANA</t>
  </si>
  <si>
    <t>PT. MUTTER BERHASIL BERUNTUNG</t>
  </si>
  <si>
    <t>Daud Chrisrian</t>
  </si>
  <si>
    <t>daud.christian@mutterlife.com</t>
  </si>
  <si>
    <t>APRILIANI AMBARI</t>
  </si>
  <si>
    <t>Coming bake</t>
  </si>
  <si>
    <t>AYLIN YUMNA ARIEF</t>
  </si>
  <si>
    <t>AYU ANANDA</t>
  </si>
  <si>
    <t>DAFFA NOOR SALMANDIKA</t>
  </si>
  <si>
    <t>PT. Siluet Nyoman Nuarta</t>
  </si>
  <si>
    <t>Dolly Isnawan</t>
  </si>
  <si>
    <t>DILLA NUR AZIZAH</t>
  </si>
  <si>
    <t>DZULFA PUTRI LUTHFIYA</t>
  </si>
  <si>
    <t>PT Knitto Tekstil Indonesia</t>
  </si>
  <si>
    <t>Ghina Ratna</t>
  </si>
  <si>
    <t>ghinaratnaa@gmail.com</t>
  </si>
  <si>
    <t>FAHLEVI MUHAMMAD RIDWAN</t>
  </si>
  <si>
    <t>belum mendapatkan pekerjaan</t>
  </si>
  <si>
    <t>FAUZIAH FARHAH ZAMILAH</t>
  </si>
  <si>
    <t>&lt;20</t>
  </si>
  <si>
    <t>&lt;15</t>
  </si>
  <si>
    <t>HERLAMBANG ADI PANJALU</t>
  </si>
  <si>
    <t>INDIRA KHAIRUNNISA</t>
  </si>
  <si>
    <t>JANUAR CAHYA RACHMAWAN</t>
  </si>
  <si>
    <t>NuArt Sculpture Park</t>
  </si>
  <si>
    <t>Agus Sudrajat</t>
  </si>
  <si>
    <t>salesmarketing@nuartsculpturepark.com</t>
  </si>
  <si>
    <t>LIZA NURHALIZA</t>
  </si>
  <si>
    <t>MELISSA SHASYA BONITA</t>
  </si>
  <si>
    <t>20% / 100%</t>
  </si>
  <si>
    <t>PT Mulya Kencana Metalindo</t>
  </si>
  <si>
    <t>Pak Edward Suteja</t>
  </si>
  <si>
    <t>RASYA HAUNA DWI PUTRI</t>
  </si>
  <si>
    <t>favehotel Braga</t>
  </si>
  <si>
    <t>Ulrike Mardiana</t>
  </si>
  <si>
    <t>RIDWAN SAPUTRA RAHAYU</t>
  </si>
  <si>
    <t>Perusahaan Dagang</t>
  </si>
  <si>
    <t>Shiro Corner</t>
  </si>
  <si>
    <t>Erina Andriani</t>
  </si>
  <si>
    <t>shirooocorner@gmail.com</t>
  </si>
  <si>
    <t>RISTHA KHAIRUNNISA SAFITRI</t>
  </si>
  <si>
    <t>ROSALINA YULIANTI</t>
  </si>
  <si>
    <t>PRIMKOPAL LANAL BANDUNG</t>
  </si>
  <si>
    <t>TARMIN SETIAWAN</t>
  </si>
  <si>
    <t>RUBY PURNAMA ABDY</t>
  </si>
  <si>
    <t>Yamaha Arista</t>
  </si>
  <si>
    <t>Ahmad</t>
  </si>
  <si>
    <t>ahmad.abdul@gmail.com</t>
  </si>
  <si>
    <t>SHAFA RAUDHA GHASSANY</t>
  </si>
  <si>
    <t>lebih dari 15</t>
  </si>
  <si>
    <t>Malilkids</t>
  </si>
  <si>
    <t>Heny Roosiana Hendrik</t>
  </si>
  <si>
    <t>hrdmalilkids@gmail.com</t>
  </si>
  <si>
    <t>Pekerjaan ini sesuai dengan minat dan passion saya</t>
  </si>
  <si>
    <t>SHERIN NISRINA SHANDY</t>
  </si>
  <si>
    <t>SHERINATASHA FIRMANSYAHRANI</t>
  </si>
  <si>
    <t>PT FAMINDO KUNCI SUKSES (Kuncicoin)</t>
  </si>
  <si>
    <t>Kennedy Shu</t>
  </si>
  <si>
    <t>zkennedyshu@sekolahkriptoindonesia.com</t>
  </si>
  <si>
    <t>SHIVA IKHSANI SUHENDY</t>
  </si>
  <si>
    <t>Perisai Utama PT</t>
  </si>
  <si>
    <t>Noviana Firdiyanti</t>
  </si>
  <si>
    <t>thegreatasiaafrica@gmail.com</t>
  </si>
  <si>
    <t>TIARA FADILA DISTRIA</t>
  </si>
  <si>
    <t>Sekitar 15 perusahaan</t>
  </si>
  <si>
    <t>VIERI AZKA</t>
  </si>
  <si>
    <t>WILDMANN INDONESIA</t>
  </si>
  <si>
    <t>Ryan</t>
  </si>
  <si>
    <t>starkheldz@gmail.com</t>
  </si>
  <si>
    <t>ANNISA ADHITIANY</t>
  </si>
  <si>
    <t>ANNISA GINA VANIA</t>
  </si>
  <si>
    <t>DELINDA NIRMALA AFIYAH</t>
  </si>
  <si>
    <t xml:space="preserve">lebih dari 10 </t>
  </si>
  <si>
    <t>PT CANTIK BERKAH SEJAHTERA</t>
  </si>
  <si>
    <t>MUHAMMAD KINDI ALFARABI RASIKH</t>
  </si>
  <si>
    <t xml:space="preserve">sesuai dengan hobi </t>
  </si>
  <si>
    <t>DIANTI DEVI ASTARI</t>
  </si>
  <si>
    <t xml:space="preserve">PT. Dexa Medica, departemen Dexa Laboratories Biomolecular Science (DLBS) </t>
  </si>
  <si>
    <t xml:space="preserve">Wangsa </t>
  </si>
  <si>
    <t xml:space="preserve">Agar dapat memperoleh lebih banyak ilmu dan pengalaman baru </t>
  </si>
  <si>
    <t>DIAS CITRA NUR IZAS</t>
  </si>
  <si>
    <t>PT Tereos FKS Indonesia</t>
  </si>
  <si>
    <t>EMELIA UTHARI</t>
  </si>
  <si>
    <t>PT.Sanbe Farma</t>
  </si>
  <si>
    <t>Rizka Pratama</t>
  </si>
  <si>
    <t>FARIDAH FIRDAUS</t>
  </si>
  <si>
    <t>PT Djojonegoro C-1000</t>
  </si>
  <si>
    <t>Noviyanthi</t>
  </si>
  <si>
    <t>novi@youC1000.com</t>
  </si>
  <si>
    <t>GYTSHA NAJMI 'ULYA RAMADHANI</t>
  </si>
  <si>
    <t>&gt;500</t>
  </si>
  <si>
    <t>PZ Cussons Indonesia</t>
  </si>
  <si>
    <t>Gyna Mardianty</t>
  </si>
  <si>
    <t>gyna.mardianty@yahoo.com</t>
  </si>
  <si>
    <t>HASNA AULIA ISWAHYUNI</t>
  </si>
  <si>
    <t>S1 - Kimia</t>
  </si>
  <si>
    <t>ILAHI HIDAYANTI NUR</t>
  </si>
  <si>
    <t>PT Kraft Ultrajaya Indonesia (part of Mondelez International)</t>
  </si>
  <si>
    <t>Novariana Wijayadipura</t>
  </si>
  <si>
    <t>nwijayadipura@mdlz.com</t>
  </si>
  <si>
    <t>INAYAH</t>
  </si>
  <si>
    <t>PT. Djojonegoro C-1000</t>
  </si>
  <si>
    <t>novi@youc1000.com</t>
  </si>
  <si>
    <t>LIESNA KANIA HABIBAH</t>
  </si>
  <si>
    <t>MILAH PUSPITASARI</t>
  </si>
  <si>
    <t>PT. Unitama Sari Mas</t>
  </si>
  <si>
    <t>Yosua Ongkowidjaya</t>
  </si>
  <si>
    <t>MUHAMMAD MAULANA QODRI</t>
  </si>
  <si>
    <t>Dope Store</t>
  </si>
  <si>
    <t>Muhammad Maulana Qodri</t>
  </si>
  <si>
    <t>maulanaqodri1099@gmail.com</t>
  </si>
  <si>
    <t>MUHAMMAD SHAHRUL SUBAGJA</t>
  </si>
  <si>
    <t>NABILA SOFIYANI</t>
  </si>
  <si>
    <t>NAILA NAJIYAH</t>
  </si>
  <si>
    <t>Infomedia</t>
  </si>
  <si>
    <t>Pa Sandi</t>
  </si>
  <si>
    <t>iwankeylanchobdg@gmail.com</t>
  </si>
  <si>
    <t>NURIL MELIA KARTONO</t>
  </si>
  <si>
    <t>QORRY AINA</t>
  </si>
  <si>
    <t>RAHMA GURROH MUHAJJALIN</t>
  </si>
  <si>
    <t>PT. Nulab Pharmaceutical Indonesia</t>
  </si>
  <si>
    <t>Inas Okti Anggita Sari</t>
  </si>
  <si>
    <t>inas.okti@gmail.com</t>
  </si>
  <si>
    <t>RAIHAN NURFAUZIAH</t>
  </si>
  <si>
    <t>RIZKA AMALIA NURIANA</t>
  </si>
  <si>
    <t>Tidak lebih dari 10</t>
  </si>
  <si>
    <t>SANIA GUSTIANI DEWI</t>
  </si>
  <si>
    <t>PT Dexa Medica</t>
  </si>
  <si>
    <t>Jefri</t>
  </si>
  <si>
    <t>SHABYRA NOOR AFISYA P. M.</t>
  </si>
  <si>
    <t>PT Sensor Teknologi Indonesia (Sensync)</t>
  </si>
  <si>
    <t>Ruly Resfiandhi</t>
  </si>
  <si>
    <t>ruly@getsensync.com</t>
  </si>
  <si>
    <t>SUKMANDARI PUJIUTAMI</t>
  </si>
  <si>
    <t>sekitar 40 perusahaan dan instansi</t>
  </si>
  <si>
    <t xml:space="preserve">Bumame Farmasi </t>
  </si>
  <si>
    <t xml:space="preserve">Reza Gumilang </t>
  </si>
  <si>
    <t>YULIANA BR SIHOTANG</t>
  </si>
  <si>
    <t>Setiap hari minimal 10 lowongan</t>
  </si>
  <si>
    <t>PT Bintang Toedjoe</t>
  </si>
  <si>
    <t>Deni Aditya C</t>
  </si>
  <si>
    <t>deniaditya@gmail.com</t>
  </si>
  <si>
    <t>ZULFA RAHMAH FADILLAH</t>
  </si>
  <si>
    <t>PT Imedco Djaja</t>
  </si>
  <si>
    <t>Mery</t>
  </si>
  <si>
    <t>AGNES MUTIARA</t>
  </si>
  <si>
    <t>PT. Teknologi Perdana Indonesia (Maxim Indonesia)</t>
  </si>
  <si>
    <t>Albina Yunusova Maratovna</t>
  </si>
  <si>
    <t>yunusova_am@taximaxim.com</t>
  </si>
  <si>
    <t>AMALIA SALSABILA</t>
  </si>
  <si>
    <t>Xtremax Teknologi</t>
  </si>
  <si>
    <t>Ika Yul Pratiwi</t>
  </si>
  <si>
    <t>ANDREA BENITHA AUGUSTINE</t>
  </si>
  <si>
    <t>Lembaga Khusus dan Pelatihan (LKP)</t>
  </si>
  <si>
    <t>Bimbingan Belajar Smart Club</t>
  </si>
  <si>
    <t>Ranny Tresnawita</t>
  </si>
  <si>
    <t>smartclubbandung@gmail.com</t>
  </si>
  <si>
    <t>FAHMI HARDIAN</t>
  </si>
  <si>
    <t>Angkasa Pura I Supports</t>
  </si>
  <si>
    <t>Dwi Indrayana</t>
  </si>
  <si>
    <t>FAISAL ANDRIAN HAMDANI</t>
  </si>
  <si>
    <t>S1 - Sastra Inggris</t>
  </si>
  <si>
    <t>ISFAHANY SARAH SYAHIDA</t>
  </si>
  <si>
    <t>Pancast</t>
  </si>
  <si>
    <t>Andrew Wright</t>
  </si>
  <si>
    <t>andrew.wright@pancast.com</t>
  </si>
  <si>
    <t>MUHAMAD FAJAR NAUFAL</t>
  </si>
  <si>
    <t>MUHAMMAD RIFQI RAHMATULLAH</t>
  </si>
  <si>
    <t>10&gt; perusahaan</t>
  </si>
  <si>
    <t>Seluruhnya merespon</t>
  </si>
  <si>
    <t>Kurang lebih 5-8 perusahaan</t>
  </si>
  <si>
    <t>Work From Home, perusahaan luar negeri</t>
  </si>
  <si>
    <t>TELUS International</t>
  </si>
  <si>
    <t>RIZKITA MILENIA PUTRI</t>
  </si>
  <si>
    <t>INFUSEmedia</t>
  </si>
  <si>
    <t>Maddy Hogg</t>
  </si>
  <si>
    <t>hogg@infusemedia.com</t>
  </si>
  <si>
    <t>Safira Rifka Khalis</t>
  </si>
  <si>
    <t>kisaran 80 perusahaan</t>
  </si>
  <si>
    <t>hanya 20 perusahaan</t>
  </si>
  <si>
    <t>Kerjanya Desain</t>
  </si>
  <si>
    <t>Chandra Chrystian</t>
  </si>
  <si>
    <t>chandrachrys@gmail.com</t>
  </si>
  <si>
    <t>SELDIE JULYANA SEPTIYAN</t>
  </si>
  <si>
    <t>SYIFA AZZAHRA</t>
  </si>
  <si>
    <t>50 lebih</t>
  </si>
  <si>
    <t>I Can Read Indonesia</t>
  </si>
  <si>
    <t>Ibu Julianne</t>
  </si>
  <si>
    <t>TRI PUJI NUR UZLIFAH</t>
  </si>
  <si>
    <t>Al Lathif Islamic International School</t>
  </si>
  <si>
    <t>Sri Tubilah Noor</t>
  </si>
  <si>
    <t>YUSUF HASKA SALSABIL</t>
  </si>
  <si>
    <t>Green Ginger</t>
  </si>
  <si>
    <t>ZALFA KHANSA AMIRA</t>
  </si>
  <si>
    <t>English First (EF)</t>
  </si>
  <si>
    <t>Karimah Sausan</t>
  </si>
  <si>
    <t>ALYA JIHAN</t>
  </si>
  <si>
    <t xml:space="preserve">Banyak </t>
  </si>
  <si>
    <t>5 sampai 8 perusahaan</t>
  </si>
  <si>
    <t>Online Shop</t>
  </si>
  <si>
    <t>Byebyebyeofficial</t>
  </si>
  <si>
    <t>ANASTASYA SALSABILA ZULKARNAEN</t>
  </si>
  <si>
    <t>Sekitar 10 perusahaan</t>
  </si>
  <si>
    <t>ARSEL YULISTYA JASMINE</t>
  </si>
  <si>
    <t>50&gt;</t>
  </si>
  <si>
    <t>15&gt;</t>
  </si>
  <si>
    <t>Logistik</t>
  </si>
  <si>
    <t>Shopee Xpress</t>
  </si>
  <si>
    <t>Rizal Saepuloh</t>
  </si>
  <si>
    <t>ASHRI AYYAMUT TASYRIQ WIDJAYAPRADJA</t>
  </si>
  <si>
    <t>ATHIYYAH APRILIANI</t>
  </si>
  <si>
    <t>Sahaware Teknologi Indonesia</t>
  </si>
  <si>
    <t xml:space="preserve"> Zulhamdi Koto</t>
  </si>
  <si>
    <t xml:space="preserve"> zul@sahaware.co.id</t>
  </si>
  <si>
    <t>MARSYA APRILA TAYIBNAPIS</t>
  </si>
  <si>
    <t>sekitar 12 karena lebih banyak langsung melamar lewat job portal</t>
  </si>
  <si>
    <t>Deliveree (PT Angkut Teknologi Indonesia)</t>
  </si>
  <si>
    <t>Booking Operation Center Supervisor</t>
  </si>
  <si>
    <t>NAUFAL MUHAMMAD DAFFA</t>
  </si>
  <si>
    <t>Josaphat Khoe</t>
  </si>
  <si>
    <t>josaphat.khoe@iem.co.id</t>
  </si>
  <si>
    <t>SALSABILA HASAN</t>
  </si>
  <si>
    <t>Harvard English Course</t>
  </si>
  <si>
    <t>Syaugi baladrom</t>
  </si>
  <si>
    <t>TIARA PUSPITA DEWI</t>
  </si>
  <si>
    <t>PT Langgeng Maju Utama</t>
  </si>
  <si>
    <t>Uli arta</t>
  </si>
  <si>
    <t>uli.lmubeef@gmail.com</t>
  </si>
  <si>
    <t>ZAQI HERDIANSYAH</t>
  </si>
  <si>
    <t>What IF Asia</t>
  </si>
  <si>
    <t>Angel Roberty</t>
  </si>
  <si>
    <t>DICKY RAHMAT HERAWAN</t>
  </si>
  <si>
    <t>CV Maskar Novianti (K24 Gadobangkong)</t>
  </si>
  <si>
    <t>Putra Fajar Gauthama</t>
  </si>
  <si>
    <t>k24.gadobangkong@gmail.com</t>
  </si>
  <si>
    <t>FAUZIAH SALMA</t>
  </si>
  <si>
    <t>PT Xtremax Teknologi Indonesia</t>
  </si>
  <si>
    <t>Akbar Khrisna</t>
  </si>
  <si>
    <t>IRA ANDRIANI</t>
  </si>
  <si>
    <t>&gt; 100 perusahaan</t>
  </si>
  <si>
    <t>&gt; 10 perusahaan</t>
  </si>
  <si>
    <t>PT Bashu Electric Indonesia</t>
  </si>
  <si>
    <t>Dzakiyyah</t>
  </si>
  <si>
    <t>NADYA FAJRIATUL ADNI</t>
  </si>
  <si>
    <t>NAFISHA OKTAVIANI LUTFI</t>
  </si>
  <si>
    <t>PT Collega Inti Pratama</t>
  </si>
  <si>
    <t>Ayip Afifuddin</t>
  </si>
  <si>
    <t>ayip@collega.co.id</t>
  </si>
  <si>
    <t>PUTRO SATRIANSYAH</t>
  </si>
  <si>
    <t>SALMA NADILAH NURFAUZIAH</t>
  </si>
  <si>
    <t>CV Cahya Priangan</t>
  </si>
  <si>
    <t>Risman Alfarisi</t>
  </si>
  <si>
    <t>SALSABILA DWI ANGGITA</t>
  </si>
  <si>
    <t>Pramita Lab Pajajaran</t>
  </si>
  <si>
    <t>Ambarwati</t>
  </si>
  <si>
    <t>BILQIST LUTHFIA RACHMI</t>
  </si>
  <si>
    <t>Collega Inti Pratama</t>
  </si>
  <si>
    <t>Pak Ayip Afifudin</t>
  </si>
  <si>
    <t>DELSI INDI RAHMAWATI</t>
  </si>
  <si>
    <t>Santosa Hospital Bandung Kopo</t>
  </si>
  <si>
    <t>Pak Padli</t>
  </si>
  <si>
    <t>FASHA ASYVA</t>
  </si>
  <si>
    <t>Lebih dari 20 Perusahaan</t>
  </si>
  <si>
    <t>Kurang dari 10 Perusahaan</t>
  </si>
  <si>
    <t>Yayasan Rumah Belajar Otello</t>
  </si>
  <si>
    <t xml:space="preserve">Leni Sumarni </t>
  </si>
  <si>
    <t>lenisumarni50@gmail.com</t>
  </si>
  <si>
    <t>Pekerjaan saya saat ini dapat membantu saya untuk mencapai tujuan saya dalam menitih karir kedepannya</t>
  </si>
  <si>
    <t>MUHAMMAD FAZA HADAYA PERMANA</t>
  </si>
  <si>
    <t>REFI MAULIDA SARI</t>
  </si>
  <si>
    <t>lebih dari 50 lamaran</t>
  </si>
  <si>
    <t>Kurang lebih 30 lamaran</t>
  </si>
  <si>
    <t>Kurang lebih 10 lamaran</t>
  </si>
  <si>
    <t>CV Jakarta Baru</t>
  </si>
  <si>
    <t>Dera Muharam</t>
  </si>
  <si>
    <t>deramuharam92@gmail.com</t>
  </si>
  <si>
    <t>SELLY TANIA</t>
  </si>
  <si>
    <t>SHALSYABILLA KASANDRA MIDFI</t>
  </si>
  <si>
    <t>TRESNA PRATIWI</t>
  </si>
  <si>
    <t>Ethics Group</t>
  </si>
  <si>
    <t>Sophi Chrisdiana</t>
  </si>
  <si>
    <t>sophi.ethica@gmail.com</t>
  </si>
  <si>
    <t>WIDI JULIANTI</t>
  </si>
  <si>
    <t>PT INFOMEDIA NUSANTARA</t>
  </si>
  <si>
    <t>ERNI KUSTININGSIH</t>
  </si>
  <si>
    <t>700456@TELKOM.CO.ID</t>
  </si>
  <si>
    <t>WULAN HAMIDA</t>
  </si>
  <si>
    <t>ZILKHA FEBRIANA KUSUMA PRAMBUDI</t>
  </si>
  <si>
    <t>AZZAHRA DJAKARIA</t>
  </si>
  <si>
    <t>eFishery</t>
  </si>
  <si>
    <t>Luciana</t>
  </si>
  <si>
    <t>luciana.tejasaputri@efishery.com</t>
  </si>
  <si>
    <t>CHAVIA GILRANDY LA DIFA</t>
  </si>
  <si>
    <t>DINAR INTAN MUSTIKA</t>
  </si>
  <si>
    <t>Ayip Affifudin</t>
  </si>
  <si>
    <t>DIVA QOTRUNNADA</t>
  </si>
  <si>
    <t>TMLEnergy</t>
  </si>
  <si>
    <t>Annisa Chairani</t>
  </si>
  <si>
    <t>nisa.chairani@tmlenergy.co.id</t>
  </si>
  <si>
    <t>ELSI DWIJAYANTI</t>
  </si>
  <si>
    <t>EVA SOFARIAH</t>
  </si>
  <si>
    <t>IBU Foundation</t>
  </si>
  <si>
    <t>Ari Hadyan Mustamsik</t>
  </si>
  <si>
    <t>ari.hadyan@ibufoundation.or.id</t>
  </si>
  <si>
    <t>FITRI ASRI YANTI</t>
  </si>
  <si>
    <t>FITRI AULIANI</t>
  </si>
  <si>
    <t>GAYATRI AISYAH ARDININDYA</t>
  </si>
  <si>
    <t>HASNA ZAKIYAH FADILAH</t>
  </si>
  <si>
    <t>Collega Inti Pratama (Telkomsigma)</t>
  </si>
  <si>
    <t>Ayip Afifudin</t>
  </si>
  <si>
    <t>ayip.collega.co.id</t>
  </si>
  <si>
    <t>INDAH SULISTIYOWATI</t>
  </si>
  <si>
    <t>Long Harmny Industry</t>
  </si>
  <si>
    <t>Krishnan</t>
  </si>
  <si>
    <t>MAISA FRITA WINESA</t>
  </si>
  <si>
    <t>PT. COLLEGA INTI PRATAMA</t>
  </si>
  <si>
    <t xml:space="preserve">Ayip Afiffudin </t>
  </si>
  <si>
    <t>MUHAMAD FAISAL PASHA RIDWAN</t>
  </si>
  <si>
    <t>Ayip Afiffudin</t>
  </si>
  <si>
    <t>NABILAH FEBRIYANE P. W</t>
  </si>
  <si>
    <t>Politeknik negeri bandung</t>
  </si>
  <si>
    <t>NADHIFAH SALSABILA FIRDAUS</t>
  </si>
  <si>
    <t>PT. Niaga Sarae Intermedia</t>
  </si>
  <si>
    <t>Musyid Faqih Askar</t>
  </si>
  <si>
    <t>NADIA RIZKI RAHMALIA</t>
  </si>
  <si>
    <t>Tidak dihitung</t>
  </si>
  <si>
    <t>NASYA ARIESTA FIRDAUS</t>
  </si>
  <si>
    <t>Bimbingan Belajar</t>
  </si>
  <si>
    <t>Rumah Belajar Gama</t>
  </si>
  <si>
    <t>Mayirga Mamola</t>
  </si>
  <si>
    <t>NIDA AULIA RAHMA</t>
  </si>
  <si>
    <t>Tax Plus Consulting</t>
  </si>
  <si>
    <t>Kalam Al Iqbal</t>
  </si>
  <si>
    <t>kalam.iqbal@gmail.com</t>
  </si>
  <si>
    <t>R. AZKY AFINA FASA</t>
  </si>
  <si>
    <t>Sekretariat DPRD Kota Bandung</t>
  </si>
  <si>
    <t>Aditya Khamanda</t>
  </si>
  <si>
    <t>Pekerjaan saya yang sekarang dapat menambah wawasan saya dalam dunia pekerjaan</t>
  </si>
  <si>
    <t>RATIH RATNANINGSIH</t>
  </si>
  <si>
    <t>Real Estat</t>
  </si>
  <si>
    <t>Maduba Property</t>
  </si>
  <si>
    <t>Iik Hikmatullah</t>
  </si>
  <si>
    <t>Bersifat Hibrid, memungkinkan saya kerja dimana saja</t>
  </si>
  <si>
    <t>RENANTA IVANA NANDA RUSMAWAN</t>
  </si>
  <si>
    <t>Polban</t>
  </si>
  <si>
    <t>S2 Keuangan Syariah</t>
  </si>
  <si>
    <t>RIDA AMALIA</t>
  </si>
  <si>
    <t>2 sama pekerjaan yg pertama, 5 sama pekerjaan yg skrg</t>
  </si>
  <si>
    <t>Erna Juwita Sari</t>
  </si>
  <si>
    <t>ernajuwitasari@gmail.com</t>
  </si>
  <si>
    <t>RIZKI PRATAMA ABIRUKMANA</t>
  </si>
  <si>
    <t>Tatang Mutaqin</t>
  </si>
  <si>
    <t>SALMA AULIA DEVYANE</t>
  </si>
  <si>
    <t>Bank MANDIRI</t>
  </si>
  <si>
    <t>SHELLA SALSABILA DWI ASTUTI</t>
  </si>
  <si>
    <t>PT Dialogue Garmindo Utama</t>
  </si>
  <si>
    <t>Gabriele Mawarraharti</t>
  </si>
  <si>
    <t>mawarrahartig@gmail.com</t>
  </si>
  <si>
    <t>SULTHAN NAUFAL ZAIDANE</t>
  </si>
  <si>
    <t>Kota Banjarmasin</t>
  </si>
  <si>
    <t>Pt Asuransi Raksa Pratikara</t>
  </si>
  <si>
    <t>Reinardus Alvian</t>
  </si>
  <si>
    <t>reinardusalvian@araksa.acid</t>
  </si>
  <si>
    <t>USWATUN HASANAH</t>
  </si>
  <si>
    <t>WULAN NURIANDARI</t>
  </si>
  <si>
    <t>Contact Center PLN</t>
  </si>
  <si>
    <t>Irra Putri</t>
  </si>
  <si>
    <t>YOGA ADIPRATAMA</t>
  </si>
  <si>
    <t>Bina Mitra Agro</t>
  </si>
  <si>
    <t>Ghyfari munandar pratama</t>
  </si>
  <si>
    <t>bmitraagro@gmail.com</t>
  </si>
  <si>
    <t>CHIKA DAMAYANTI</t>
  </si>
  <si>
    <t>DHIYA AZKIA DIRGANTARI</t>
  </si>
  <si>
    <t>DINDA SITI NUR'AINIYYAH</t>
  </si>
  <si>
    <t>DITA PUSPITA</t>
  </si>
  <si>
    <t>PT LEUWIJAYA UTAMA TEXTILE</t>
  </si>
  <si>
    <t>INDRI</t>
  </si>
  <si>
    <t>indriawaris@gmail.c</t>
  </si>
  <si>
    <t>DWI EVA KURNIANINGSIH</t>
  </si>
  <si>
    <t>PT ASIA RAJA KARYA</t>
  </si>
  <si>
    <t>Fitra Jaya Saleh</t>
  </si>
  <si>
    <t>EGA RISTI SAFANY</t>
  </si>
  <si>
    <t>44 perusahaan</t>
  </si>
  <si>
    <t>PT collega inti pratama</t>
  </si>
  <si>
    <t>Rolland Hubert Manuputty</t>
  </si>
  <si>
    <t>FANIA NAURAH AZIZAH</t>
  </si>
  <si>
    <t>PT Nutrisius Sari Persada</t>
  </si>
  <si>
    <t>Melawati</t>
  </si>
  <si>
    <t>HILDAN SYAHRUL RAMADHAN</t>
  </si>
  <si>
    <t>JILDA KHOIRUNNISAA MAGALHAES</t>
  </si>
  <si>
    <t>PT. Indonesia Pasti Jaya</t>
  </si>
  <si>
    <t>Alex Andy Rivai</t>
  </si>
  <si>
    <t>LIVIA MAHA VIRA</t>
  </si>
  <si>
    <t xml:space="preserve">melalui email ada sekitar 30 perusahaan, sisanya melalui jobstreet dan linkedin sekitar kurang lebih 200 perusahaan </t>
  </si>
  <si>
    <t xml:space="preserve">sekitar 20 perusahaan </t>
  </si>
  <si>
    <t xml:space="preserve">sekitar 15 perusahaan </t>
  </si>
  <si>
    <t>Asteria Yuanita</t>
  </si>
  <si>
    <t>asteriayuanita@gmail.com</t>
  </si>
  <si>
    <t>MAHESA DAVA WARDHANA</t>
  </si>
  <si>
    <t xml:space="preserve">Serasi Autoraya </t>
  </si>
  <si>
    <t>Ari Mustopo</t>
  </si>
  <si>
    <t>ari.mustopo@trac.astra.co.id</t>
  </si>
  <si>
    <t>MUNA AULIA RAHMA</t>
  </si>
  <si>
    <t>sekitar 20an</t>
  </si>
  <si>
    <t>PT. PAYROL PRIMA INDONESIA</t>
  </si>
  <si>
    <t>IBU MARDIANA</t>
  </si>
  <si>
    <t>NABILA NURLIANDINI</t>
  </si>
  <si>
    <t>Ratusan</t>
  </si>
  <si>
    <t>NISA ARINDA</t>
  </si>
  <si>
    <t>PT. Wiska</t>
  </si>
  <si>
    <t>Supriyatna</t>
  </si>
  <si>
    <t>supriyatna.tan@gmail.com</t>
  </si>
  <si>
    <t>NURFADHILA TSANIA</t>
  </si>
  <si>
    <t>PT. Gunung Wang Mas</t>
  </si>
  <si>
    <t xml:space="preserve">Hendra </t>
  </si>
  <si>
    <t>RAKA ABIDZAR AL GHIFARI</t>
  </si>
  <si>
    <t>Mario</t>
  </si>
  <si>
    <t>mario@collega.co.id</t>
  </si>
  <si>
    <t>RIZQIA NUR AFIFAH</t>
  </si>
  <si>
    <t>PT. KNITTO TEKSTIL INDONESIA</t>
  </si>
  <si>
    <t>Octa / Manager</t>
  </si>
  <si>
    <t>RR DWI WASKITA NINGSIH</t>
  </si>
  <si>
    <t>kurang lebih 30 perusahaan</t>
  </si>
  <si>
    <t>kurang lebih 80% merespon</t>
  </si>
  <si>
    <t>kurang lebih 70%</t>
  </si>
  <si>
    <t>Bank Central Asia</t>
  </si>
  <si>
    <t>Evi Oktavia</t>
  </si>
  <si>
    <t>SALMA NURUL ZAHARA</t>
  </si>
  <si>
    <t>SELLY YULIANTI</t>
  </si>
  <si>
    <t>YENI HARTINI HERAWATI</t>
  </si>
  <si>
    <t>PT. Paragon Technology and Innovation</t>
  </si>
  <si>
    <t>ZIANA AZIZAH</t>
  </si>
  <si>
    <t xml:space="preserve">PT Modern Testing Services Indonesia </t>
  </si>
  <si>
    <t>Aida Daulay</t>
  </si>
  <si>
    <t>aida@mtsindonesia.com</t>
  </si>
  <si>
    <t>ADELIA CHRISMAYANTI WARLAN</t>
  </si>
  <si>
    <t>PT Dua Nuboga Nusantara</t>
  </si>
  <si>
    <t>Mustho Ahyar</t>
  </si>
  <si>
    <t>ADITYA YOGA PRATAMA P</t>
  </si>
  <si>
    <t>KJPP Rengganis, Hamid &amp; Rekan</t>
  </si>
  <si>
    <t>Ir. Mohammad Fahman, MAPPI (Cert.)</t>
  </si>
  <si>
    <t>adetyaypp99@gmail.com</t>
  </si>
  <si>
    <t>ADNAN TAJUDDIN BASYA'IR</t>
  </si>
  <si>
    <t>PT. Phalosa Semesta Abadi</t>
  </si>
  <si>
    <t>Nur Rosyidin Aff</t>
  </si>
  <si>
    <t>nur.aff@pertamina.com</t>
  </si>
  <si>
    <t>ALDELIA RISNANDA SARI</t>
  </si>
  <si>
    <t>KJPP Rizki Djunaedy Rekan Bandung</t>
  </si>
  <si>
    <t xml:space="preserve">Edo Jalu </t>
  </si>
  <si>
    <t>ALIKA VENNA NAJMINA</t>
  </si>
  <si>
    <t>200+</t>
  </si>
  <si>
    <t>&lt;100</t>
  </si>
  <si>
    <t>PT. Ryoko Sangyo Indonesia</t>
  </si>
  <si>
    <t>Fadhianisa Pratiwi</t>
  </si>
  <si>
    <t>fadhiapr@ryoukou.co.jp</t>
  </si>
  <si>
    <t>AMALIA RIZKI MULYANA</t>
  </si>
  <si>
    <t>Universitas Padjajaran</t>
  </si>
  <si>
    <t>S2 - Manajemen</t>
  </si>
  <si>
    <t>DECKY YOGIAWAN GUMELAR</t>
  </si>
  <si>
    <t>KJPP MBPRU</t>
  </si>
  <si>
    <t>Romidia Yulkarnain</t>
  </si>
  <si>
    <t>romi.mbpru@gmail.com</t>
  </si>
  <si>
    <t>DINA PUSPITA DEWI</t>
  </si>
  <si>
    <t>Acuq Acus Boutique</t>
  </si>
  <si>
    <t>Agus</t>
  </si>
  <si>
    <t>acuqacus.boutique@gmail.com</t>
  </si>
  <si>
    <t>Pekerjaan saat ini dilakukan beriringan dengan bisnis keluarga yang sedang dikembangkan</t>
  </si>
  <si>
    <t>AULIYA FIRYAL ZAHRAH</t>
  </si>
  <si>
    <t>DESI KRISDIANTI</t>
  </si>
  <si>
    <t>DEVI RAHAYU ANDISTA</t>
  </si>
  <si>
    <t>DHINAR YASMINIA UTAMI</t>
  </si>
  <si>
    <t>FITRIA HAERANISA</t>
  </si>
  <si>
    <t>ILYAS NUR SHIDDIQ</t>
  </si>
  <si>
    <t>LITA FEBRIANTY SUHERMAN</t>
  </si>
  <si>
    <t>MIRA NURHASANAH</t>
  </si>
  <si>
    <t>SILVANNY ARTAMEVIA SETIAWAN</t>
  </si>
  <si>
    <t>YULIA PRISSELYA HUTAGALUNG</t>
  </si>
  <si>
    <t>AMANDA SRI NINGRUM</t>
  </si>
  <si>
    <t>ANNA REFIYANI</t>
  </si>
  <si>
    <t>CHRISTALIA SARAH</t>
  </si>
  <si>
    <t>EMIA EUNIKE VIOLINE GINTING</t>
  </si>
  <si>
    <t>FATHIYYA FITRI AMALIYA</t>
  </si>
  <si>
    <t>ISMAYATI RAHMAH</t>
  </si>
  <si>
    <t>ISMI SECHABIE SEHABUDIN</t>
  </si>
  <si>
    <t>LISA TRINOERAENY SUHERMAN</t>
  </si>
  <si>
    <t>LULU RAIHANA FAKHIRA</t>
  </si>
  <si>
    <t>MIA GUSTIANI NURPUJIANTI</t>
  </si>
  <si>
    <t>NIKITA LAPAS AWDES</t>
  </si>
  <si>
    <t>NURI AISYAH HIKMAH</t>
  </si>
  <si>
    <t>TANTI HAFNI ARIFAH MUSTOFA</t>
  </si>
  <si>
    <t>VIRA INDAH PERMATASARI</t>
  </si>
  <si>
    <t>VISMA DEWI DAMAYANTI</t>
  </si>
  <si>
    <t>CINDY PRATIWI</t>
  </si>
  <si>
    <t>GERI DWI YUDHA SATRIA</t>
  </si>
  <si>
    <t>PISGA MAGDALENA BR MARPAUNG</t>
  </si>
  <si>
    <t>RIZKY CAHYA MAULANA</t>
  </si>
  <si>
    <t>YASMIN AZ ZAHRA SYAM</t>
  </si>
  <si>
    <t>HUTAMI HASNAU</t>
  </si>
  <si>
    <t>MUHAMMAD HAFIZH RYANDA</t>
  </si>
  <si>
    <t>ALYA DHIYA FAUZAN</t>
  </si>
  <si>
    <t>AMELIA RAMADAYANTI</t>
  </si>
  <si>
    <t>ANNISA MARNI MELATI</t>
  </si>
  <si>
    <t>CICA PURNAMASARI</t>
  </si>
  <si>
    <t>DEBBY VERAMITHA FARHANI</t>
  </si>
  <si>
    <t>DESAK GEDE KRISHNA DEWI</t>
  </si>
  <si>
    <t>FITRI PUSPITASARI</t>
  </si>
  <si>
    <t>GARINI EGA ARTANTI</t>
  </si>
  <si>
    <t>ILHAM FADILAH</t>
  </si>
  <si>
    <t>JILAN HAURA HANIFA</t>
  </si>
  <si>
    <t>MADHALENA GIRIANI</t>
  </si>
  <si>
    <t>NOVIA AISYAH SURYANA</t>
  </si>
  <si>
    <t>RATU ALMIRA YURINSA</t>
  </si>
  <si>
    <t>RIA APRILIA PURBAYA</t>
  </si>
  <si>
    <t>RIFA'AH AL MAHMUDAH</t>
  </si>
  <si>
    <t>SEPTIAN DWI PRIYATMOKO</t>
  </si>
  <si>
    <t>USIVIANTI LATIFAH HUMAIRAH</t>
  </si>
  <si>
    <t>ZYAH SYAHIRA MUBAROK</t>
  </si>
  <si>
    <t>DIAN SAFITRI SIHITE</t>
  </si>
  <si>
    <t>ENJANG RYAN FIRMANSYAH</t>
  </si>
  <si>
    <t>KAMILIA SUKMAWIDEWI</t>
  </si>
  <si>
    <t>RAIHAN DELIANNA RAHMADIAN</t>
  </si>
  <si>
    <t>ULFA AGHNIYA</t>
  </si>
  <si>
    <t>LISA ELVARIYANI</t>
  </si>
  <si>
    <t>SALMA NUR ALIYYA</t>
  </si>
  <si>
    <t>ALFIANI FADILLAH</t>
  </si>
  <si>
    <t>DISYA INTAN FAJRIATI</t>
  </si>
  <si>
    <t>EGA YOHANA ZEAMI</t>
  </si>
  <si>
    <t>ENI INDRIANI</t>
  </si>
  <si>
    <t>PUTRI SANDINI RAMDANI</t>
  </si>
  <si>
    <t>YOSEVA HALALAS MORA SITOHANG</t>
  </si>
  <si>
    <t>DIAN NURDIANSYAH KOMARA</t>
  </si>
  <si>
    <t>FULKI HARIZ ULILAMRI PHRASTA</t>
  </si>
  <si>
    <t>INRA ROSITA</t>
  </si>
  <si>
    <t>ISMI NURYANA AZIZAH</t>
  </si>
  <si>
    <t>LUTHFI DWI ATHALLOH</t>
  </si>
  <si>
    <t>REZZA TRIYANA</t>
  </si>
  <si>
    <t>RIVAN RIZKY MAULANA</t>
  </si>
  <si>
    <t>SALIM AKBAR</t>
  </si>
  <si>
    <t>UMAR</t>
  </si>
  <si>
    <t>YASYFI RAHMANI</t>
  </si>
  <si>
    <t>BISMA FARIS SANTOSO</t>
  </si>
  <si>
    <t>DIMAS PRAYOGA</t>
  </si>
  <si>
    <t>EUAGGELION DAVID</t>
  </si>
  <si>
    <t>FADHIL MUHAMMAD</t>
  </si>
  <si>
    <t>HIZKIA LUKAS JELIASTA GINTING</t>
  </si>
  <si>
    <t>JIHAN ARDANIAH</t>
  </si>
  <si>
    <t>JUAN AXEL HANDHARU</t>
  </si>
  <si>
    <t>KAWIA AFIFA HAPSARI</t>
  </si>
  <si>
    <t>KOMARUDIN</t>
  </si>
  <si>
    <t>NAUFAL MUHAMMAD SHIDDIQ</t>
  </si>
  <si>
    <t>NUR TAJRI AMALIAH</t>
  </si>
  <si>
    <t>SAEPULLOH ADITYA</t>
  </si>
  <si>
    <t>YAYANG NUR FITRIA</t>
  </si>
  <si>
    <t>YOSIA HUTASOIT</t>
  </si>
  <si>
    <t>AHMAD MUSTHAFA AL-GHIFARI</t>
  </si>
  <si>
    <t>FERRY RAFI ROBBANI</t>
  </si>
  <si>
    <t>GANDHI SURYA PERMANA</t>
  </si>
  <si>
    <t>GUMELAR TAMBUNAN</t>
  </si>
  <si>
    <t>MOCHAMMAD RIZKY LAZUARDI</t>
  </si>
  <si>
    <t>NURWAHID WALUYO</t>
  </si>
  <si>
    <t>SALMAN APRILIA ALFARITSI SYAEFULLAH AFFANDY PURWAN</t>
  </si>
  <si>
    <t>ADRIAN RAMDO FIRMANSYAH</t>
  </si>
  <si>
    <t>ADYTHIA RHAMDANI</t>
  </si>
  <si>
    <t>BAYU AJI DWISANJAYA</t>
  </si>
  <si>
    <t>FADLI FISABILILLAH</t>
  </si>
  <si>
    <t>FAHMI SHOHIB MAULANA</t>
  </si>
  <si>
    <t>MOHAMAD RIZKIAWAN PERDANA</t>
  </si>
  <si>
    <t>MUHAMAD FAHREZA</t>
  </si>
  <si>
    <t>MUHAMMAD RAFII SATRIO</t>
  </si>
  <si>
    <t>SHERINA DEBORA MELLINNIA</t>
  </si>
  <si>
    <t>ANDIKA BUDIMAN</t>
  </si>
  <si>
    <t>DIDAN AGUSTIAN WULANDI</t>
  </si>
  <si>
    <t>FADEL FIRDAUS</t>
  </si>
  <si>
    <t>FIKRI ACHMAD BACHTIAR</t>
  </si>
  <si>
    <t>HELMI BINTANG</t>
  </si>
  <si>
    <t>MOCHAMMAD IQSHA RAYNALDI</t>
  </si>
  <si>
    <t>Ruth Jessica Yolanda</t>
  </si>
  <si>
    <t>YUNI INDRIANTY</t>
  </si>
  <si>
    <t>BILQISH ERAWAN</t>
  </si>
  <si>
    <t>ALIATI RISMA YANTI</t>
  </si>
  <si>
    <t>ALYA RAHMAWATI DEWI</t>
  </si>
  <si>
    <t>ANIS DWI NURPADHILAH</t>
  </si>
  <si>
    <t>CALISTA HALIMATUS SYAADIAH</t>
  </si>
  <si>
    <t>FRISTANTIA AFININNISA</t>
  </si>
  <si>
    <t>LATHIFA ABIRRANIA SAUSAN</t>
  </si>
  <si>
    <t>NAUFAL RAFI PRABAWA</t>
  </si>
  <si>
    <t>SALSABILA NISRINA JUNAEDI</t>
  </si>
  <si>
    <t>SHEHA NUR AZZAHRA IBRAHIM</t>
  </si>
  <si>
    <t>Rajendra Ariel Hukama</t>
  </si>
  <si>
    <t>ADITYA FAJAR NUGRAHA</t>
  </si>
  <si>
    <t>ALDI FIKRI MAULANA</t>
  </si>
  <si>
    <t>ANNISA AULIA NURRIZKI</t>
  </si>
  <si>
    <t>CHRISTIAN MANGAMPU TUA SINURAT</t>
  </si>
  <si>
    <t>FIJAR PAGI ANSHORI</t>
  </si>
  <si>
    <t>HILDA KHAIRUNNISA MUHARANI</t>
  </si>
  <si>
    <t>IRFAN RAFI PARDENY</t>
  </si>
  <si>
    <t>LAILATUL NUR KOSIDAH</t>
  </si>
  <si>
    <t>LOUISE INDAH UTAMI</t>
  </si>
  <si>
    <t>MUHAMMAD RAFIF M A</t>
  </si>
  <si>
    <t>NURAINI LUBIS</t>
  </si>
  <si>
    <t>REZAL MAULANA IKHSAN</t>
  </si>
  <si>
    <t>SEMBADA WANGSADIREJA</t>
  </si>
  <si>
    <t>TRI WIBIANTO</t>
  </si>
  <si>
    <t>YEDIDA EMETETHA</t>
  </si>
  <si>
    <t>ZEMINA ALFAZ</t>
  </si>
  <si>
    <t>DIVA VARDILA BAGASKARA</t>
  </si>
  <si>
    <t>MUHAMMAD KHOIRUL ANNAM</t>
  </si>
  <si>
    <t>PRADITYA MUHAMAD SETIAWAN</t>
  </si>
  <si>
    <t>ARIEF DELFIAN HERNANDI</t>
  </si>
  <si>
    <t>ATU WAHYUDIN</t>
  </si>
  <si>
    <t>ADILMART MANGIRING</t>
  </si>
  <si>
    <t>ALVIAN ANWAR FAUZI</t>
  </si>
  <si>
    <t>BUNGA RUSLIANA PUTRI</t>
  </si>
  <si>
    <t>FAUZAN ALKAUTSAR</t>
  </si>
  <si>
    <t>MICHAEL KHRISNA SETYA</t>
  </si>
  <si>
    <t>MUHAMAD RESTU DICKY PRATOMO</t>
  </si>
  <si>
    <t>MUHAMMAD FARIS FAHMUDDIN</t>
  </si>
  <si>
    <t>RIEVALDY DWI PUTRA</t>
  </si>
  <si>
    <t>RIO EKA PUTRA</t>
  </si>
  <si>
    <t>ALI ABDURROSYID</t>
  </si>
  <si>
    <t>HASNA RAISA RAHMAN</t>
  </si>
  <si>
    <t>ITSNAN WIDIANTORO DWI PRASETYA</t>
  </si>
  <si>
    <t>RAIHAN AHMAD ARIQ</t>
  </si>
  <si>
    <t>YOHANES ANDRYANO HALOMOAN S</t>
  </si>
  <si>
    <t>ALVIANO WIRALDI HABIBUROHMAN</t>
  </si>
  <si>
    <t>SITI NURUL FADILAH</t>
  </si>
  <si>
    <t>GILANG PAMUNGKAS</t>
  </si>
  <si>
    <t>TITAN ARDIAN NUGRAHA</t>
  </si>
  <si>
    <t>UMAR SALMAN AMAN</t>
  </si>
  <si>
    <t>BAYU YOGA PRASETYO</t>
  </si>
  <si>
    <t>EGA FAUZIAH</t>
  </si>
  <si>
    <t>FAHITHA SALSABILA</t>
  </si>
  <si>
    <t>FAIZAL AKBAR</t>
  </si>
  <si>
    <t>HABIBIE RAHMAN</t>
  </si>
  <si>
    <t>LUKAS TEOFILUS</t>
  </si>
  <si>
    <t>SAHAL AKBAR</t>
  </si>
  <si>
    <t>YURIETA KHALDA LUQIANA</t>
  </si>
  <si>
    <t>DEMILA NUR RHIJNIYANI</t>
  </si>
  <si>
    <t>DESI ARYANTI</t>
  </si>
  <si>
    <t>DEVI ANANDA PUTRI</t>
  </si>
  <si>
    <t>LUTFI PUTRA AKHIRUL KALAM</t>
  </si>
  <si>
    <t>MOCH RAFFY SOEKARNO</t>
  </si>
  <si>
    <t>OKI DWI OKTAVIAN</t>
  </si>
  <si>
    <t>RIVAN DHARMAKUSUMAH</t>
  </si>
  <si>
    <t>ERWIN FADHLUROHMAN</t>
  </si>
  <si>
    <t>EVAN SOVIANDI MUNAWAR</t>
  </si>
  <si>
    <t>FENTY FEBRYANTI</t>
  </si>
  <si>
    <t>GABRIEL JORDY ADRYAN</t>
  </si>
  <si>
    <t>HANDAYANI NUR JAMILAH</t>
  </si>
  <si>
    <t>MEGAWATI RAFITA</t>
  </si>
  <si>
    <t>MUHAMMAD 'ALWAN</t>
  </si>
  <si>
    <t>MUHAMMAD GHIFARI KAUTSAR H</t>
  </si>
  <si>
    <t>MUHAMMAD ILHAM RAMADHAN</t>
  </si>
  <si>
    <t>MUHAMMAD WILDAN FAIZ</t>
  </si>
  <si>
    <t>MUHAMMAD YAHYA SHALAHUDDIN</t>
  </si>
  <si>
    <t>R. ARYO BIMO SURYA PUTRA</t>
  </si>
  <si>
    <t>RIZKY FAHROZI AL PURKON</t>
  </si>
  <si>
    <t>I WAYAN WIDIARTA</t>
  </si>
  <si>
    <t>AHMAD FAUZI HAMIDI</t>
  </si>
  <si>
    <t>AHMAD MURSYID ANSOFA</t>
  </si>
  <si>
    <t>ALIF NOVIAN IKHTIZAM</t>
  </si>
  <si>
    <t>CAHYANA DHIYAULHAQ</t>
  </si>
  <si>
    <t>FIRHAN FADHLAN ADZIMA</t>
  </si>
  <si>
    <t>GEBI RAIDASIWI</t>
  </si>
  <si>
    <t>GINARDI KUSUMA WARDANA</t>
  </si>
  <si>
    <t>IMADUDIN ABDUROHIM</t>
  </si>
  <si>
    <t>MUHAMMAD ILHAM YUSUF HABIBIE</t>
  </si>
  <si>
    <t>MUHAMMAD RAMADHAN</t>
  </si>
  <si>
    <t>MUHAMMAD RIFQI ALIFTYO</t>
  </si>
  <si>
    <t>MUHATTA</t>
  </si>
  <si>
    <t>VIRA ANGGRAENI SAFITRI</t>
  </si>
  <si>
    <t>ALFREDO OKIANDA HUTAGALUNG</t>
  </si>
  <si>
    <t>ANGGY RINALDI EKA PUTRA</t>
  </si>
  <si>
    <t>ASEP NOFIAN HIDAYAT</t>
  </si>
  <si>
    <t>DEWI SRIREJEKI LESTARI</t>
  </si>
  <si>
    <t>FAUZI AHIDA RAHMAN</t>
  </si>
  <si>
    <t>Indra Solehudin</t>
  </si>
  <si>
    <t>MOCHAMAD FARID FADILAH</t>
  </si>
  <si>
    <t>MOCHAMMAD SHENA REVANZA</t>
  </si>
  <si>
    <t>MUHAMMAD NASSER MAULANA</t>
  </si>
  <si>
    <t>RAMADHAN MOHAMMAD AL-FARIZI</t>
  </si>
  <si>
    <t>RENI FATMAWATI</t>
  </si>
  <si>
    <t>REVKANANDA ARKAN RAIHAN</t>
  </si>
  <si>
    <t>REYHANZ REVYZEIN</t>
  </si>
  <si>
    <t>REZA MOCHAMMAD FAUZI</t>
  </si>
  <si>
    <t>RIKI GUNAWAN</t>
  </si>
  <si>
    <t>RISMA DAMAYANTI</t>
  </si>
  <si>
    <t>SAIF ARIEFUDIN ALI AKBAR</t>
  </si>
  <si>
    <t>TERIS SIRAJ ERNAWAN</t>
  </si>
  <si>
    <t>TRI HAFIZH FADHILAH</t>
  </si>
  <si>
    <t>VIKRI ARDIANSYAH</t>
  </si>
  <si>
    <t>GIBRAN ADIE PARHAN</t>
  </si>
  <si>
    <t>M FIKRI MAULANA</t>
  </si>
  <si>
    <t>ALFIAN ADJI DURERA</t>
  </si>
  <si>
    <t>IQBAL ABU HANIFAH</t>
  </si>
  <si>
    <t>MUHAMAD NUR FAUZAN ALI</t>
  </si>
  <si>
    <t>AQIL MURTADHO</t>
  </si>
  <si>
    <t>MALIK FADHILAH AMRI</t>
  </si>
  <si>
    <t>MUHAMMAD GHIYATS NAIL</t>
  </si>
  <si>
    <t>MUHAMMAD ILHAM FIRDAUS</t>
  </si>
  <si>
    <t>MUHAMMAD NAUFAL AL GHANI</t>
  </si>
  <si>
    <t>REFI AMIRUL RASYIID</t>
  </si>
  <si>
    <t>RIZKI FAUZIA MUHARAM</t>
  </si>
  <si>
    <t>RIZKI MUHAMAD PRIHANDIKA</t>
  </si>
  <si>
    <t>STEFI CANTARA</t>
  </si>
  <si>
    <t>ZIAN NUR FAUZI</t>
  </si>
  <si>
    <t>JERICO BATARA SILDA</t>
  </si>
  <si>
    <t>RIRY MARETARANI DANESWARI</t>
  </si>
  <si>
    <t>SARAMA NUR AGUNG</t>
  </si>
  <si>
    <t>VALLIANT CHIESA</t>
  </si>
  <si>
    <t>YOGA SETIA GRAHA</t>
  </si>
  <si>
    <t>AFRALIA ANBAR</t>
  </si>
  <si>
    <t>ALFI MAWARNI DEHANI</t>
  </si>
  <si>
    <t>AYYASH ABDUL KARIM RAHMAT</t>
  </si>
  <si>
    <t>ESRON PADIRI LUMBAN GAOL</t>
  </si>
  <si>
    <t>ILHAM FEBRIANA NURRAHMAN</t>
  </si>
  <si>
    <t>SYAHRUL MALIK DIRGANTARA</t>
  </si>
  <si>
    <t>WIDYA SOFRIANI PUTRI</t>
  </si>
  <si>
    <t>Aldino Nyda Prayoga</t>
  </si>
  <si>
    <t>Imam Abdul Aziz</t>
  </si>
  <si>
    <t>NIKITA BELA</t>
  </si>
  <si>
    <t>Farhan Abdul Aziz Mubarok</t>
  </si>
  <si>
    <t>Naufal Taufiqurrahman</t>
  </si>
  <si>
    <t>ALDI RAHAYU</t>
  </si>
  <si>
    <t>ANTONIUS DWI ADI PERMANA HARIANTO</t>
  </si>
  <si>
    <t>DIMAS MAULANA ALBA</t>
  </si>
  <si>
    <t>FELYAN YUNIA RESTIKA</t>
  </si>
  <si>
    <t>MAULIA RIZKI RAHMAN</t>
  </si>
  <si>
    <t>MOCHAMAD REVKI BAHARUDIN EL KHOURY</t>
  </si>
  <si>
    <t>MUHAMMAD SYUKUR FAISAL</t>
  </si>
  <si>
    <t>REFO AKBAR IMANI</t>
  </si>
  <si>
    <t>AMINAH FITHRIYAH SYAHNAZ</t>
  </si>
  <si>
    <t>ANDREAS HUTAHAEAN</t>
  </si>
  <si>
    <t>FRISCA DEBORA SIHOTANG</t>
  </si>
  <si>
    <t>INDRI ALIFIA CAROLINA</t>
  </si>
  <si>
    <t>MUHAMMAD NAUFAL AR-RAFI</t>
  </si>
  <si>
    <t>MUHAMMAD TEGAR RAMADHAN</t>
  </si>
  <si>
    <t>RISMA NURMAYATI</t>
  </si>
  <si>
    <t>SANTIKA DEWI</t>
  </si>
  <si>
    <t>ZAHRA AGRIE SYAHIDA</t>
  </si>
  <si>
    <t>ARIEF ARDINATA ABDURRACHMAN</t>
  </si>
  <si>
    <t>FACHRI MUHAMMAD WIRYAWAN</t>
  </si>
  <si>
    <t>FAHRI NUGRAHA</t>
  </si>
  <si>
    <t>Ghanivy Noer Akbar</t>
  </si>
  <si>
    <t>HERMAYANTI RAHMA NURFAUSYAHBANI</t>
  </si>
  <si>
    <t>MELINDA JAUZA AZHARI</t>
  </si>
  <si>
    <t>MOHAMMAD HANIF HAROEN</t>
  </si>
  <si>
    <t>MUHAMMAD KEMAL JATNIKA ALMUHARAM</t>
  </si>
  <si>
    <t>NISRINA KAMILIA</t>
  </si>
  <si>
    <t>ZAKIA FARAH OKTOFANI</t>
  </si>
  <si>
    <t>AMALIA NUR AZIZZAH</t>
  </si>
  <si>
    <t>AULIA RAKHMAUDINA</t>
  </si>
  <si>
    <t>AYU RIZKIA NUR NABILAH</t>
  </si>
  <si>
    <t>CITRA PUTRIANA DEWI</t>
  </si>
  <si>
    <t>DIAN PUSPITA PANGARIBUAN</t>
  </si>
  <si>
    <t>I YENSI GODCHILD NEHE</t>
  </si>
  <si>
    <t>IRA HUSNA RACHMASARI</t>
  </si>
  <si>
    <t>LINA MULYANI</t>
  </si>
  <si>
    <t>LINDA SRI MULYATI</t>
  </si>
  <si>
    <t>LOLA LUTHFI AULIA</t>
  </si>
  <si>
    <t>LUIS FIGO ROMARIO HUTAHAEAN</t>
  </si>
  <si>
    <t>M. RAYHAN AZIS</t>
  </si>
  <si>
    <t>MEITA PANGESTIKA</t>
  </si>
  <si>
    <t>MOHAMAD SALMAN SUTRISNO</t>
  </si>
  <si>
    <t>NADIA REYNILDA AULIA PUTRI</t>
  </si>
  <si>
    <t>NAJLA PUTRIANI MULYA</t>
  </si>
  <si>
    <t>RENI NURAENI</t>
  </si>
  <si>
    <t>SABILA NUR AL-FADZAR</t>
  </si>
  <si>
    <t>SHAFIRA AYU MAHARANI</t>
  </si>
  <si>
    <t>TEGUH YUSRAN HAKIM</t>
  </si>
  <si>
    <t>WIKA HASNA ASYIFA</t>
  </si>
  <si>
    <t>WIWIN ROSLINDA SIDEBANG</t>
  </si>
  <si>
    <t>ANNISA NUR SAFITRI</t>
  </si>
  <si>
    <t>ARIZAL JAYA</t>
  </si>
  <si>
    <t>DELIA INTAN GOJALI</t>
  </si>
  <si>
    <t>DESY SALMA NURLAELA</t>
  </si>
  <si>
    <t>DIAN APRILIANI</t>
  </si>
  <si>
    <t>DINI MAULIDDIARTI</t>
  </si>
  <si>
    <t>FIRA FEBRINA</t>
  </si>
  <si>
    <t>KINANTI NUR ANISA</t>
  </si>
  <si>
    <t>LISTY SEPTIA CAHYANI</t>
  </si>
  <si>
    <t>NADIA NUR AZMI</t>
  </si>
  <si>
    <t>NISA HAFSYARI FAUZIAH</t>
  </si>
  <si>
    <t>NOVA DIELLA EBYGAEL PAKPAHAN</t>
  </si>
  <si>
    <t>NOVIA DWI ASTARI</t>
  </si>
  <si>
    <t>NURFITRIA</t>
  </si>
  <si>
    <t>PAHALA EDWARD SIMAMORA</t>
  </si>
  <si>
    <t>RIS GABE JEFFERSON</t>
  </si>
  <si>
    <t>SALSA BILA AZAHRA</t>
  </si>
  <si>
    <t>SUCI DINA MARDIYUANA</t>
  </si>
  <si>
    <t>YASMIN AULIA TAHIR</t>
  </si>
  <si>
    <t>ELVIRA SITI HANIFAH</t>
  </si>
  <si>
    <t>ELVIERA MAHARANI</t>
  </si>
  <si>
    <t>FEBRIL DES SAPUTRA DINI</t>
  </si>
  <si>
    <t>HILYA NISA NUR FADHILAH</t>
  </si>
  <si>
    <t>INTAN KANIA RUFAIDAH</t>
  </si>
  <si>
    <t>MOHAMMAD APRIYANTO</t>
  </si>
  <si>
    <t>NABILAH HAERONISA</t>
  </si>
  <si>
    <t>RETNO GITA AYUNINGRUM</t>
  </si>
  <si>
    <t>RISKA INGGIT AVIANTI</t>
  </si>
  <si>
    <t>SYIFFA NUR PRATAMA</t>
  </si>
  <si>
    <t>AGUNG CAHYONO</t>
  </si>
  <si>
    <t>AMELIA JUSTIKA EKAWATI</t>
  </si>
  <si>
    <t>FATHIN SALSABIL SHAFARINA</t>
  </si>
  <si>
    <t>PT Bank Jabar Banten Syariah</t>
  </si>
  <si>
    <t>Gustaffena Damartha</t>
  </si>
  <si>
    <t>stavinno.9@gmail.com</t>
  </si>
  <si>
    <t>FEMILIA GINA TANIA</t>
  </si>
  <si>
    <t>PT. Karya Utamaputra Mandiri</t>
  </si>
  <si>
    <t>Ayus Wijaya</t>
  </si>
  <si>
    <t>ayus.wijaya@ytutamaputra.com</t>
  </si>
  <si>
    <t>INTAN PUJI NASTARI</t>
  </si>
  <si>
    <t>IRAWATI</t>
  </si>
  <si>
    <t>MOCH FAHMI NURALIM</t>
  </si>
  <si>
    <t>PT Dynamo Media Network (kumparancom)</t>
  </si>
  <si>
    <t>Bambang Herlambang</t>
  </si>
  <si>
    <t>bambang.herlambang@kumparan.com</t>
  </si>
  <si>
    <t>MUHAMMAD YUSUP HIDAYAT</t>
  </si>
  <si>
    <t>KJPP Putri Anugrah dan Rekan</t>
  </si>
  <si>
    <t>Putri Anugrah</t>
  </si>
  <si>
    <t>Putri.anugrah@valuers.partners</t>
  </si>
  <si>
    <t>Pekerjaan seeuai</t>
  </si>
  <si>
    <t>NAUFAL GANIASYAH</t>
  </si>
  <si>
    <t>10 lebih</t>
  </si>
  <si>
    <t>PT. Erajaya Swasembada Tbk</t>
  </si>
  <si>
    <t>Duly Prabowo</t>
  </si>
  <si>
    <t>duly.prabowo@gmail.com</t>
  </si>
  <si>
    <t>NISA NURSOPHA</t>
  </si>
  <si>
    <t>Kabupaten Banyumas</t>
  </si>
  <si>
    <t>Arum Sari</t>
  </si>
  <si>
    <t>Fuad Sirojuddin Yahya</t>
  </si>
  <si>
    <t>fuadsy88@gmail.com</t>
  </si>
  <si>
    <t>NUFI TIRANI</t>
  </si>
  <si>
    <t>Vendor Fotografi</t>
  </si>
  <si>
    <t>REYGLUICA BISMIKA RAHMI HAMBALI</t>
  </si>
  <si>
    <t xml:space="preserve">Rumah Sakit Umum Daerah Pameungpeuk </t>
  </si>
  <si>
    <t xml:space="preserve">Wowo Karsono, S.Si., Apt </t>
  </si>
  <si>
    <t>karsono_wowo</t>
  </si>
  <si>
    <t>REZA ZULFA</t>
  </si>
  <si>
    <t>Dinas Koperasi dan UMKM</t>
  </si>
  <si>
    <t>Dience Gurnita, S.E., M.Ak</t>
  </si>
  <si>
    <t>dience.gurnita76@gmail.com</t>
  </si>
  <si>
    <t>VIDYA KHARINE HASMIHAYU</t>
  </si>
  <si>
    <t>VIRKY RAMADHAN</t>
  </si>
  <si>
    <t>Lebih dari 70</t>
  </si>
  <si>
    <t>Kantor Jasa Penilai Publik</t>
  </si>
  <si>
    <t>KJPP Iwan, Bachron, dan Rekan</t>
  </si>
  <si>
    <t>Bapak Toris, S.M</t>
  </si>
  <si>
    <t>admkjppidrbks@gmail.com</t>
  </si>
  <si>
    <t>WIDIA RAHMAWATI</t>
  </si>
  <si>
    <t>Manager operasional</t>
  </si>
  <si>
    <t>Moco Fresh and dairy</t>
  </si>
  <si>
    <t>widia</t>
  </si>
  <si>
    <t>Widiarahmawati2@gmail.com</t>
  </si>
  <si>
    <t>Saya ingin bisa membantu driver, toko yg mensupply kebutuhan bisnis, mengembangkan keahlian diri, ingin menerapkan mindset bahwa ilmu sangat luas, saya bisa belajar dibidang apapun, membuka bisnis dibidang apapun, belajar dibidang apapun selamanya</t>
  </si>
  <si>
    <t>WIWIN NAENI</t>
  </si>
  <si>
    <t>YASSYNTA AULIA ANANDA</t>
  </si>
  <si>
    <t>Ourstride</t>
  </si>
  <si>
    <t>Rahma Khoirunnisa</t>
  </si>
  <si>
    <t>rahmakhoirunnisa0711@gmail.com</t>
  </si>
  <si>
    <t>DINDA SETYA ARSANTI</t>
  </si>
  <si>
    <t>PT. TEKAD MANDIRI CITRA</t>
  </si>
  <si>
    <t>Denniswara Sibit M,Sc</t>
  </si>
  <si>
    <t>denniswara.sibit@gmail.com</t>
  </si>
  <si>
    <t>ELZA ANUGRAH DWIANA</t>
  </si>
  <si>
    <t>Retail</t>
  </si>
  <si>
    <t>PT Shopee International Indonesia</t>
  </si>
  <si>
    <t>Novia</t>
  </si>
  <si>
    <t>GUMELAR ANUGRAH BUDIANA</t>
  </si>
  <si>
    <t>Eldy Bayu Gumilar</t>
  </si>
  <si>
    <t>eldy.bayu@kumparan.com</t>
  </si>
  <si>
    <t>IRHAM IQBAL LUTHFI</t>
  </si>
  <si>
    <t>EY Indonesia</t>
  </si>
  <si>
    <t>Linda Sutjiadi</t>
  </si>
  <si>
    <t>imelda.sutjiadi@id.ey.com</t>
  </si>
  <si>
    <t>JIHAN PUTRI ANANDA</t>
  </si>
  <si>
    <t>PT Champ Resto Indonesia</t>
  </si>
  <si>
    <t>Bambang S</t>
  </si>
  <si>
    <t>bambangcri@gmail.com</t>
  </si>
  <si>
    <t>LINDA PERLIANDA PUSPARIANI</t>
  </si>
  <si>
    <t>PT. Wira Surya Mandiri</t>
  </si>
  <si>
    <t>Noerwidyah</t>
  </si>
  <si>
    <t>wiwid@wirasuryamandiri.com</t>
  </si>
  <si>
    <t>NADIVA ADNI MURRAN</t>
  </si>
  <si>
    <t>Asosiasi</t>
  </si>
  <si>
    <t>MAPPI</t>
  </si>
  <si>
    <t>Agustina Putri</t>
  </si>
  <si>
    <t>agustinaputri.mappi@gmail.com</t>
  </si>
  <si>
    <t>NUR ASHFIYA TSANI</t>
  </si>
  <si>
    <t>Shopee International Indonesia</t>
  </si>
  <si>
    <t>Husnul fikri</t>
  </si>
  <si>
    <t>Husnul.fikri@shopee.com</t>
  </si>
  <si>
    <t>RINJANI SASTROWATI</t>
  </si>
  <si>
    <t>PT. Shopee International Indonesia (Shopee Xpress)</t>
  </si>
  <si>
    <t>Agus Fuad Mustafa</t>
  </si>
  <si>
    <t>RIRI ALYA NOVIANTI</t>
  </si>
  <si>
    <t>SITI ABIYAH ANINDITA RISMA P</t>
  </si>
  <si>
    <t>Badan Pengelolaan Keuangan dan Pendapatan Daerah Kota Sukabumi</t>
  </si>
  <si>
    <t>R. Yanni Agustiani, S.H., M.H.</t>
  </si>
  <si>
    <t>agustus4876@gmail.com</t>
  </si>
  <si>
    <t>TAHSYA DWI TAMMY</t>
  </si>
  <si>
    <t>PT. Sanusa Medika Hospital</t>
  </si>
  <si>
    <t>TIARANI FIRDAUS</t>
  </si>
  <si>
    <t>40?</t>
  </si>
  <si>
    <t>Deliveree</t>
  </si>
  <si>
    <t>Rafi</t>
  </si>
  <si>
    <t>ANNISA RACHMAN</t>
  </si>
  <si>
    <t>PT.Cakra Raya Teknologi</t>
  </si>
  <si>
    <t>Pak Husni Tamrin</t>
  </si>
  <si>
    <t>BELLA MARHAENIA DYAH AYU PITHALOKA HAYUNINGARDI</t>
  </si>
  <si>
    <t>PT. TEKNOLOGI EDUKASI INDONESIA</t>
  </si>
  <si>
    <t>M. Tegar Aditya</t>
  </si>
  <si>
    <t>tegar@luarsekolah.com</t>
  </si>
  <si>
    <t>BHAGAS PRYHAMBUDI GUSTIAR</t>
  </si>
  <si>
    <t>CIWARUGA SINERGU INDONESIA GROUP</t>
  </si>
  <si>
    <t>ADI BUDIMAN</t>
  </si>
  <si>
    <t>adi.budiman@ciwaruga.ai</t>
  </si>
  <si>
    <t>DHANI RAMADHAN</t>
  </si>
  <si>
    <t>sekitar 15 lebih</t>
  </si>
  <si>
    <t>PT. PAIHO INDONESIA</t>
  </si>
  <si>
    <t>Ms. Rubecca</t>
  </si>
  <si>
    <t>rubecca@paiho.co.id</t>
  </si>
  <si>
    <t>DIFA MUTHI FADHILAFASYA</t>
  </si>
  <si>
    <t>Mitra Chicken</t>
  </si>
  <si>
    <t>Difa</t>
  </si>
  <si>
    <t>Difamf7@gmail.com</t>
  </si>
  <si>
    <t>FATHUR RAFI YUSUF</t>
  </si>
  <si>
    <t>Media Utama Nyala</t>
  </si>
  <si>
    <t>Mauludynna</t>
  </si>
  <si>
    <t>mauludyna</t>
  </si>
  <si>
    <t>FRETTI ALDINA</t>
  </si>
  <si>
    <t>PT TEKNOLOGI EDUKASI INDONESIA</t>
  </si>
  <si>
    <t>M TEGAR ADITYA</t>
  </si>
  <si>
    <t>GABRILLIA BINTANG MAYAPUTRI</t>
  </si>
  <si>
    <t>PT Ciwaruga Agri Indonesia</t>
  </si>
  <si>
    <t>Pak Adi dan Pak Bhagas</t>
  </si>
  <si>
    <t>bhagas1933@gmail.com</t>
  </si>
  <si>
    <t>GHINAA ALIYYAH TAZKIA JAUHARI</t>
  </si>
  <si>
    <t>PT Shopee Internasional Indonesia</t>
  </si>
  <si>
    <t>Agianda Melzendhy</t>
  </si>
  <si>
    <t>agianda.melzendhy@shopee.com</t>
  </si>
  <si>
    <t>INDAH TERINA</t>
  </si>
  <si>
    <t>PT. Infinity Plus Solution</t>
  </si>
  <si>
    <t>Angga Prasetyo</t>
  </si>
  <si>
    <t>AnggaPrasetyo@gmail.com</t>
  </si>
  <si>
    <t>LIA HERLIANA YUSILIANTI</t>
  </si>
  <si>
    <t>PT. LAJU KARYA MANDIRI</t>
  </si>
  <si>
    <t>MEITYA RUNIASARI</t>
  </si>
  <si>
    <t>Â±15</t>
  </si>
  <si>
    <t xml:space="preserve">CV Tiaparasari D Beaute </t>
  </si>
  <si>
    <t>Cokorda Istri Anik Parasari</t>
  </si>
  <si>
    <t>tjokordhaistri@gmail.com</t>
  </si>
  <si>
    <t>MELIANA RIZKILA</t>
  </si>
  <si>
    <t>PT Taspen</t>
  </si>
  <si>
    <t>Putri Ayu Wulan</t>
  </si>
  <si>
    <t>putriayuwulan.pa@gmail.com</t>
  </si>
  <si>
    <t>MUHAMAD NUR ALDIYANSYAH</t>
  </si>
  <si>
    <t>Veby Darmayanti</t>
  </si>
  <si>
    <t>Veby_Darmayanti@bca.co.id</t>
  </si>
  <si>
    <t>MUHAMMAD FERRY FITRIADI</t>
  </si>
  <si>
    <t>Emveep</t>
  </si>
  <si>
    <t>David Angga Prasetya</t>
  </si>
  <si>
    <t>MUHAMMAD TEGAR ADITYA</t>
  </si>
  <si>
    <t>Luarsekolah</t>
  </si>
  <si>
    <t>Muhammad Fauzan Ahsan</t>
  </si>
  <si>
    <t>fauzan@luarsekolah.com</t>
  </si>
  <si>
    <t>NURUL ANISA SETIANI</t>
  </si>
  <si>
    <t>PT. Bersama Zatta Mulya</t>
  </si>
  <si>
    <t>Bapak Izal</t>
  </si>
  <si>
    <t>PUTRI FITRI YANTI</t>
  </si>
  <si>
    <t>PT Inspirasi Citarasa Makmur</t>
  </si>
  <si>
    <t>Muhamat Riski</t>
  </si>
  <si>
    <t>muhriski200899@gmail.com</t>
  </si>
  <si>
    <t>QISTHI AMALIA</t>
  </si>
  <si>
    <t>Proxsis Global Solusi</t>
  </si>
  <si>
    <t>Rine Riyanecintya Dewi</t>
  </si>
  <si>
    <t>rine.dewi@proxsisgroup.com</t>
  </si>
  <si>
    <t>RAFID PRATAMA RIZQULLOH</t>
  </si>
  <si>
    <t>PT. Grab Indonesia</t>
  </si>
  <si>
    <t>Ayu Nuraida</t>
  </si>
  <si>
    <t>ftt.ayu.nuraida@grabtaxi.com</t>
  </si>
  <si>
    <t>RAFLI MATSNA HADI</t>
  </si>
  <si>
    <t>Trisye Ratnasari Octaviany, S.Kom</t>
  </si>
  <si>
    <t>trisye@telkomuniversity.ac.id</t>
  </si>
  <si>
    <t>RENDRA AGUNG GUMILANG</t>
  </si>
  <si>
    <t>PT. Digital Media Grafindo</t>
  </si>
  <si>
    <t>Levina</t>
  </si>
  <si>
    <t>levina@masterplotter.co.id</t>
  </si>
  <si>
    <t>RIZKA ANNISA</t>
  </si>
  <si>
    <t>Kompas Gramedia</t>
  </si>
  <si>
    <t>Gilang Pratama Alise</t>
  </si>
  <si>
    <t>gilanggramedia@gmail.com</t>
  </si>
  <si>
    <t>TANTI ANISA PUTRI</t>
  </si>
  <si>
    <t>Saya tidak berwiraswasta</t>
  </si>
  <si>
    <t>PT Sistar Indonesia</t>
  </si>
  <si>
    <t>Asiska</t>
  </si>
  <si>
    <t>asiska.14@gmail.com</t>
  </si>
  <si>
    <t>VIVI NOVYANTI</t>
  </si>
  <si>
    <t>WAWAN KUSDIANA</t>
  </si>
  <si>
    <t>ANNISA ZAHRA NURCHANTIKA F</t>
  </si>
  <si>
    <t>Initiative (IPG Mediabrands Group)</t>
  </si>
  <si>
    <t>Desi Kriswanto, Benjamin Ragil</t>
  </si>
  <si>
    <t>desi.arnianti@id.initiative.com</t>
  </si>
  <si>
    <t>CINTYA ANANDA PUTRI</t>
  </si>
  <si>
    <t>MUHAMMAD BAYU AULIA</t>
  </si>
  <si>
    <t>NABILA SHAFIRA RAMADHANI</t>
  </si>
  <si>
    <t xml:space="preserve">Olshop Queen ARMY </t>
  </si>
  <si>
    <t xml:space="preserve">Pekerjaan saya saat ini sangat sesuai dengan kemampuan yang saya miliki, semua yang saya pelajari saya terapkan di bisnis saya. Saya juga melatih diri sendiri untuk kuat secara mental dan fisik, karena saya akui bahwa membuat bisnis sendiri banyak resiko didepan sana, dan harus terus memutar otak bagaimana supaya bisnis saya tetap stabil. Selain itu, saya juga tidak terjerat oleh waktu, dan saya menjadikan itu sebagai privilege bagi saya untuk bisa mengurus dan membahagiakan orang tua saya. </t>
  </si>
  <si>
    <t>TRISYA FAHIRA</t>
  </si>
  <si>
    <t>Boleh Dicoba Digital</t>
  </si>
  <si>
    <t>Yuricho Billy</t>
  </si>
  <si>
    <t>yuricho@bolehdicoba.com</t>
  </si>
  <si>
    <t>ADI SHOFWAN RAFIDI</t>
  </si>
  <si>
    <t>Marketz</t>
  </si>
  <si>
    <t>Ricky</t>
  </si>
  <si>
    <t>ricky@marketz.co.id</t>
  </si>
  <si>
    <t>ALHAMIM DWI PUTRA</t>
  </si>
  <si>
    <t>Binus University - Online Learning</t>
  </si>
  <si>
    <t>S1 - Bisnis Manajemen</t>
  </si>
  <si>
    <t>ANNISYA DINAR NURZAELANI</t>
  </si>
  <si>
    <t>Klinik Agung</t>
  </si>
  <si>
    <t>Elis Dwi M</t>
  </si>
  <si>
    <t>DINDA FADILLA EKA PUTRI</t>
  </si>
  <si>
    <t>FARREL BAIHAQI ROSANO</t>
  </si>
  <si>
    <t>Startup</t>
  </si>
  <si>
    <t>IHSAN ALIFATURROHMAN</t>
  </si>
  <si>
    <t>Indosat Ooredoo Hutchison</t>
  </si>
  <si>
    <t>IMAS SITI NURHASANAH</t>
  </si>
  <si>
    <t>LISTA ZAGITA</t>
  </si>
  <si>
    <t>50-80</t>
  </si>
  <si>
    <t>SEKAR AYU FADHILA M</t>
  </si>
  <si>
    <t>UNIVERSITAS WIDYATAMA</t>
  </si>
  <si>
    <t>VERNANDA SYAHPUTRA</t>
  </si>
  <si>
    <t>ZAHRA KUSMAYANTI</t>
  </si>
  <si>
    <t>Perum Jasa Tirta II</t>
  </si>
  <si>
    <t>Indriani Widiastuti</t>
  </si>
  <si>
    <t>AQIL GHUFRON ACHMAD</t>
  </si>
  <si>
    <t>PT Toyota Auto Body - Tokai Extrusion</t>
  </si>
  <si>
    <t>Endik Purnomo</t>
  </si>
  <si>
    <t>ARIEF SUDITOMO</t>
  </si>
  <si>
    <t>PT. Taekwang</t>
  </si>
  <si>
    <t>Diki</t>
  </si>
  <si>
    <t>ARIL GUNAWAN</t>
  </si>
  <si>
    <t>HAIDAR NASHIR AUNURRAHMAN</t>
  </si>
  <si>
    <t>PT Temaru Engineering</t>
  </si>
  <si>
    <t>Agus Wato</t>
  </si>
  <si>
    <t>watoagus@temaru.co.id</t>
  </si>
  <si>
    <t>PADLI FADILAH</t>
  </si>
  <si>
    <t>PT SUNSON TEXTILE MANUFACTURER</t>
  </si>
  <si>
    <t>ATEP GUNGUN GUNAWAN</t>
  </si>
  <si>
    <t>atepgunawan17@gmail.com</t>
  </si>
  <si>
    <t>RIZQI AKMAL FADILAH NUR</t>
  </si>
  <si>
    <t>PT. Indonesia Multi Colour Printing</t>
  </si>
  <si>
    <t>Fajar Naluri</t>
  </si>
  <si>
    <t>SAFIRA PUTRI</t>
  </si>
  <si>
    <t>PT. Suzuki Indomobil Motor</t>
  </si>
  <si>
    <t>Zulkifli</t>
  </si>
  <si>
    <t>zulkifli@suzuki.co.id</t>
  </si>
  <si>
    <t>ALIFA GUNAWAN YUSUF</t>
  </si>
  <si>
    <t>PT Nulab Pharmaceutical Indonesia</t>
  </si>
  <si>
    <t>ANDRIAN</t>
  </si>
  <si>
    <t>Kabupaten Berau</t>
  </si>
  <si>
    <t>Pamapersada Nusantara</t>
  </si>
  <si>
    <t>Bapak Kris Kurniawan Dwi Putera</t>
  </si>
  <si>
    <t>E'NCI UNSRIYANI</t>
  </si>
  <si>
    <t>Neuro English Course</t>
  </si>
  <si>
    <t>Ahmad Noval</t>
  </si>
  <si>
    <t>neuroenglish.id@gmail.com</t>
  </si>
  <si>
    <t>DANIEL ARMANDO</t>
  </si>
  <si>
    <t>DEDE CHANDRA NUGRAHA</t>
  </si>
  <si>
    <t>DANA Indonesia</t>
  </si>
  <si>
    <t>Fauhan Handar Pugar</t>
  </si>
  <si>
    <t>fauhan.pugar@dana.id</t>
  </si>
  <si>
    <t>MUHAMMAD FAKRI GAFFAR</t>
  </si>
  <si>
    <t>PT Perkasa Pilar Utama</t>
  </si>
  <si>
    <t>Antonius</t>
  </si>
  <si>
    <t>antonius.ppu@gmail.com</t>
  </si>
  <si>
    <t>PRADIKA FITRA PRATAMA</t>
  </si>
  <si>
    <t>PT Neural Technologies Indonesia</t>
  </si>
  <si>
    <t>Andri Nur Arief</t>
  </si>
  <si>
    <t>andri.nur.arief@gmail.com</t>
  </si>
  <si>
    <t>KOVALEVSHERO AL FAYYAD YAFIANO</t>
  </si>
  <si>
    <t>Sekitar 5</t>
  </si>
  <si>
    <t>PT. Kazee Digital Indonesia</t>
  </si>
  <si>
    <t>Muhammad Rizki Samsul</t>
  </si>
  <si>
    <t>samsul@kazee.id</t>
  </si>
  <si>
    <t>ILHAM CAHYAHADI PAMUNGKAS</t>
  </si>
  <si>
    <t>PT. Bukalapak.com</t>
  </si>
  <si>
    <t>Marchellin Antonia Faustine</t>
  </si>
  <si>
    <t xml:space="preserve">marchellin.antonia@bukalapak.com </t>
  </si>
  <si>
    <t>ISTAMAR SIDDIQ</t>
  </si>
  <si>
    <t>solusi inovasi bangsa</t>
  </si>
  <si>
    <t>Iqbal Hamsyah</t>
  </si>
  <si>
    <t>iqbal@ide.asia</t>
  </si>
  <si>
    <t>MUHAMMAD ERSAAD GISDA PUTERA</t>
  </si>
  <si>
    <t>Bank Rakyat Indonesia</t>
  </si>
  <si>
    <t>Mahesa Nurfarhan</t>
  </si>
  <si>
    <t>NUR HANIYAH RAHMATILLAH</t>
  </si>
  <si>
    <t>PT. Kreasi Edulab Indonesia</t>
  </si>
  <si>
    <t>Intan Uswatun Hasanah Shodikin, S.Pd.</t>
  </si>
  <si>
    <t>intanuswatunhs17@gmail.com</t>
  </si>
  <si>
    <t>FEBRY AFRIZAL AL-FARABI</t>
  </si>
  <si>
    <t>Banyak Tidak terhitung di pastikan lebih dari ratusan lamaran yang saya kirimkan.</t>
  </si>
  <si>
    <t>beberapa yang instansi atau perusahan besar cukup berapa puluh yang respon cv saya lewat email</t>
  </si>
  <si>
    <t>5,3 dari perusahaan yang berbeda</t>
  </si>
  <si>
    <t>PT. BANK RAKYAT INDONESIA</t>
  </si>
  <si>
    <t>BAPAK ARIF RAHMAT</t>
  </si>
  <si>
    <t>ariefrahmat33@gmail.com</t>
  </si>
  <si>
    <t>MEITA KRISTIA NAMAMI</t>
  </si>
  <si>
    <t>Biaya sendiri lalu dibantu dengan beasiswa PPA</t>
  </si>
  <si>
    <t>Bank Muamalat Indonesia</t>
  </si>
  <si>
    <t>Rian Kriswara</t>
  </si>
  <si>
    <t>rian.kriswara@bankmuamalat.co.id</t>
  </si>
  <si>
    <t>Karena orang tua sudah tidak bekerja, saya harus ambil pekerjaan meskipun tidak sesuai dengan pendidikan saya</t>
  </si>
  <si>
    <t>QURROTU 'AINI TSURAYYA PUTRIE</t>
  </si>
  <si>
    <t>CV MUTIARA KARYA ABADI</t>
  </si>
  <si>
    <t>C. Sopandi Sidik</t>
  </si>
  <si>
    <t>andi.mka@gmail.com</t>
  </si>
  <si>
    <t>ZAHRAN HAYKAL MUBAROK</t>
  </si>
  <si>
    <t>Barqi Ilhami Alfin</t>
  </si>
  <si>
    <t>PT. Wilson Management Services - Knight Frank</t>
  </si>
  <si>
    <t>Fikri Haikal</t>
  </si>
  <si>
    <t>Fadhlilla Aditya Nurzahrani</t>
  </si>
  <si>
    <t>PT. Dynaplast 2</t>
  </si>
  <si>
    <t>Andrianus Indra Pradipta</t>
  </si>
  <si>
    <t>andrianus.pradipta@dynaplast.co.id</t>
  </si>
  <si>
    <t>FEBRIYANTI HANDAYANI</t>
  </si>
  <si>
    <t>MONIK KARLINA</t>
  </si>
  <si>
    <t>SANIA OCEANA DEWI</t>
  </si>
  <si>
    <t>TIARA ANGGUN</t>
  </si>
  <si>
    <t>ALANA BRIGITA</t>
  </si>
  <si>
    <t>AZKA FIDELA ELIAN</t>
  </si>
  <si>
    <t>BAKTI GUMELAR</t>
  </si>
  <si>
    <t>CINDY HAMIDAH</t>
  </si>
  <si>
    <t>CITRA FARAH NABILA</t>
  </si>
  <si>
    <t>FRANSISCA RANI VESYA</t>
  </si>
  <si>
    <t>GHITHA NADHIRAH</t>
  </si>
  <si>
    <t>KARINA AURORA NADEA</t>
  </si>
  <si>
    <t>NINDYA TIARA NASTITI</t>
  </si>
  <si>
    <t>PIGA RAKEN SABHIRA</t>
  </si>
  <si>
    <t>PUSPITA CHANDRADEWI</t>
  </si>
  <si>
    <t>REFA ARDIAN FADILLAH</t>
  </si>
  <si>
    <t>RENANDA PUTRI SOPYAN</t>
  </si>
  <si>
    <t>RISTI SELFIA OKTAVIANTI</t>
  </si>
  <si>
    <t>RIVALDHI AL BANIE</t>
  </si>
  <si>
    <t>TALITHA SALSABILA ANDINI</t>
  </si>
  <si>
    <t>ULFA HASANAH</t>
  </si>
  <si>
    <t>Muhamad Fadhlan Fadhlillah</t>
  </si>
  <si>
    <t>DANIEL TEGUH TAMBUNAN</t>
  </si>
  <si>
    <t>MUHAMMAD HILMY NAUFAL</t>
  </si>
  <si>
    <t>RAFI AZKA TAUFIK ISMAIL</t>
  </si>
  <si>
    <t>ZACHARY FADLI</t>
  </si>
  <si>
    <t>ADE ERMA</t>
  </si>
  <si>
    <t>ADITIA SOBARNA</t>
  </si>
  <si>
    <t>ALFI LAILI PUTRI</t>
  </si>
  <si>
    <t>ALFIA ZAHRAPUTERI</t>
  </si>
  <si>
    <t>ANHARI FIRDAUS</t>
  </si>
  <si>
    <t>ANNISA AGUSTRIYANI</t>
  </si>
  <si>
    <t>BIEKE FAMEYOLA ARASSY</t>
  </si>
  <si>
    <t>CITRA ANTAREZA</t>
  </si>
  <si>
    <t>DARUS HAMDANI</t>
  </si>
  <si>
    <t>DEVIRA PERMATASARI</t>
  </si>
  <si>
    <t>ELSA VERONICA</t>
  </si>
  <si>
    <t>ELSANTY MEGA LESTARI</t>
  </si>
  <si>
    <t>INDY A'LAWIYYAH</t>
  </si>
  <si>
    <t>KEMAL SYAHREZA</t>
  </si>
  <si>
    <t>LILEZHA ARLIN SALINA SAPUTRI</t>
  </si>
  <si>
    <t>LISNA GITA SILVIA</t>
  </si>
  <si>
    <t>LIVIA NADHIFA PUTRI</t>
  </si>
  <si>
    <t>MARIA RIZMA KIBTYAH</t>
  </si>
  <si>
    <t>NADYA MARTIKA AKMALIA</t>
  </si>
  <si>
    <t>RIA ANA SINCIA</t>
  </si>
  <si>
    <t>SALSA ZIYANSHAFA HADI</t>
  </si>
  <si>
    <t>SHILFA FIRIZKIA PEBRIANY</t>
  </si>
  <si>
    <t>SIMARMATA LUKAS MARCELINO</t>
  </si>
  <si>
    <t>SITA AYUNDA JULIANTY</t>
  </si>
  <si>
    <t>YEHAN CYNTYA PERMATA</t>
  </si>
  <si>
    <t>AKMAL DJATI SALMAN</t>
  </si>
  <si>
    <t>ALMA MUTHIA MUSYAFFA</t>
  </si>
  <si>
    <t>ANJU MARULI SAOLOAN SIPANGKAR</t>
  </si>
  <si>
    <t>ASEP DERY RISDIYANTO</t>
  </si>
  <si>
    <t>ERIAN DWI PANGESTU</t>
  </si>
  <si>
    <t>ERWIN</t>
  </si>
  <si>
    <t>FALSA HAYAT ANNISA</t>
  </si>
  <si>
    <t>GHIFARI RIZQI MARSA SYAUQI</t>
  </si>
  <si>
    <t>KEN REYHAN MUTIARA</t>
  </si>
  <si>
    <t>MAHISHA JAGAT TUNGGA</t>
  </si>
  <si>
    <t>MAYSAN NUR RAFI SUNARYA</t>
  </si>
  <si>
    <t>Muhamad Al-Hadid Anshari</t>
  </si>
  <si>
    <t>RIFQI MANUFI FATHUR RAHMAN</t>
  </si>
  <si>
    <t>SALSABILA PUTRI</t>
  </si>
  <si>
    <t>SALSABILA RIZKIANTI</t>
  </si>
  <si>
    <t>SITI SOLIHAH</t>
  </si>
  <si>
    <t>SRI UTARI</t>
  </si>
  <si>
    <t>TANIA WAHYU PRAMESWARI SYAM</t>
  </si>
  <si>
    <t>VERA AGUSTIANI</t>
  </si>
  <si>
    <t>ZAHRA FATHIYA SALMA</t>
  </si>
  <si>
    <t>Miftah Tegar Imani Herdiansyah</t>
  </si>
  <si>
    <t>Muhammad Fairuz Ikhsan</t>
  </si>
  <si>
    <t>ANETA YOSEPHA</t>
  </si>
  <si>
    <t>ARIA MUHAMMAD ILMI</t>
  </si>
  <si>
    <t>ARIF RACHMAN</t>
  </si>
  <si>
    <t>BAGUS SASMITO HARYO YUDHANTO</t>
  </si>
  <si>
    <t>EDO PERSADANTA SEMBIRING</t>
  </si>
  <si>
    <t>FAHD ABDUL JABBAR SHIDDIQ</t>
  </si>
  <si>
    <t>FAJAR PRASETYA</t>
  </si>
  <si>
    <t>FARIZ AKHDAN AL HAZMI</t>
  </si>
  <si>
    <t>FIKRI RAHMADI</t>
  </si>
  <si>
    <t>GHANI HADI RASYADI</t>
  </si>
  <si>
    <t>GHUFRON NAJIB</t>
  </si>
  <si>
    <t>INDAH KOMALASARI</t>
  </si>
  <si>
    <t>KUKUH RAMADHAN</t>
  </si>
  <si>
    <t>MOCHAMAD RAFI NABHAN NASRULLAH</t>
  </si>
  <si>
    <t>MUHAMMAD ADI KHOIRUL UMAM</t>
  </si>
  <si>
    <t>MUHAMMAD ALWIAN RASYIDI WIJAYA</t>
  </si>
  <si>
    <t>MUHAMMAD IDHAM</t>
  </si>
  <si>
    <t>MUHAMMAD INDRA FIKRI</t>
  </si>
  <si>
    <t>NONI FITRIANI FALAH</t>
  </si>
  <si>
    <t>PRAYOGA LESMANA</t>
  </si>
  <si>
    <t>RIFSQY FAZRY ZULYANSYAH</t>
  </si>
  <si>
    <t>RIYAN GUMELAR SYAHRILIZAN</t>
  </si>
  <si>
    <t>ADI ADITIYA</t>
  </si>
  <si>
    <t>Mothia Shafira Andriani</t>
  </si>
  <si>
    <t>MUHAMMAD RAIHAN MARCEGIANI</t>
  </si>
  <si>
    <t>REVO MAHESA AKBAR</t>
  </si>
  <si>
    <t>MUHAMMAD RAIS NABIH TAQIUDDIN</t>
  </si>
  <si>
    <t>WURI ADINING BAGASKARA</t>
  </si>
  <si>
    <t>Wildan Rosadi</t>
  </si>
  <si>
    <t>JIHAN RAISSA KUSUMANINGSIH</t>
  </si>
  <si>
    <t>Dyva Annur Setiawan</t>
  </si>
  <si>
    <t>Hidniati Shafira</t>
  </si>
  <si>
    <t>Muhamad Agung Furqon</t>
  </si>
  <si>
    <t>Shafira Damayanti</t>
  </si>
  <si>
    <t>adrian@ptnim.co.id</t>
  </si>
  <si>
    <t>elin@wulingarista.co.id</t>
  </si>
  <si>
    <t>Admin@aaecng.com</t>
  </si>
  <si>
    <t>ferdian@indonesianaerospace.com</t>
  </si>
  <si>
    <t>eng.coordinator@varleyindonesia.com</t>
  </si>
  <si>
    <t>papat.patimah@delfichocolate.com</t>
  </si>
  <si>
    <t>ihsan_rahmatillah@sanbefarma.com</t>
  </si>
  <si>
    <t xml:space="preserve"> </t>
  </si>
  <si>
    <t>agus.riyanto@astrahonda.com</t>
  </si>
  <si>
    <t>Pusat Inovasi Kota dan Komunitas Cerdas (PIKKC)  Institut Teknologi Bandung</t>
  </si>
  <si>
    <t>Vidy_ardi@sanbefarma.com</t>
  </si>
  <si>
    <t>cepi.pahlupi@delfichocolate.com</t>
  </si>
  <si>
    <t>Elke.Wassner@stiftungstfranziskus.de</t>
  </si>
  <si>
    <t>yusuf.p@indonesianaerospace.com</t>
  </si>
  <si>
    <t>christina.yota@packetsystems.com</t>
  </si>
  <si>
    <t>samrony.fauzi@packetsystems.com</t>
  </si>
  <si>
    <t>ruben.hutabarat@isgs.com</t>
  </si>
  <si>
    <t>radyarto.siregar@binaartha.co.id</t>
  </si>
  <si>
    <t>Junjun.suhartajadi@towerbersama.com</t>
  </si>
  <si>
    <t>adi.darmawan@isgs.com</t>
  </si>
  <si>
    <t>aldial@dnet.net.id</t>
  </si>
  <si>
    <t>rizka_pratama@sanbefarma.com</t>
  </si>
  <si>
    <t>reza.gumilang@bumamefarmasi.com</t>
  </si>
  <si>
    <t>rizal.saepuloh@shopeexpress.com</t>
  </si>
  <si>
    <t>agus.mustafa@shopeexpress.com</t>
  </si>
  <si>
    <t>syaifudin@ptkit.com</t>
  </si>
  <si>
    <t>ghani.ct@ptsena.co.id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</si>
</sst>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4">
    <fill>
      <patternFill patternType="none"/>
    </fill>
    <fill>
      <patternFill patternType="gray125"/>
    </fill>
    <fill>
      <patternFill patternType="solid">
        <fgColor rgb="FFFFFF00"/>
        <bgColor indexed="64"/>
      </patternFill>
    </fill>
    <fill>
      <patternFill patternType="solid">
        <fgColor theme="9" tint="0.59999389629810485"/>
        <bgColor indexed="64"/>
      </patternFill>
    </fill>
  </fills>
  <borders count="1">
    <border>
      <left/>
      <right/>
      <top/>
      <bottom/>
      <diagonal/>
    </border>
  </borders>
  <cellStyleXfs count="1">
    <xf numFmtId="0" fontId="0" fillId="0" borderId="0"/>
  </cellStyleXfs>
  <cellXfs count="10">
    <xf numFmtId="0" fontId="0" fillId="0" borderId="0" xfId="0"/>
    <xf numFmtId="0" fontId="0" fillId="0" borderId="0" xfId="0" applyAlignment="1">
      <alignment horizontal="center"/>
    </xf>
    <xf numFmtId="0" fontId="0" fillId="2" borderId="0" xfId="0" applyFill="1" applyAlignment="1">
      <alignment horizontal="center"/>
    </xf>
    <xf numFmtId="3" fontId="0" fillId="0" borderId="0" xfId="0" applyNumberFormat="1" applyAlignment="1">
      <alignment horizontal="center"/>
    </xf>
    <xf numFmtId="16" fontId="0" fillId="0" borderId="0" xfId="0" applyNumberFormat="1" applyAlignment="1">
      <alignment horizontal="center"/>
    </xf>
    <xf numFmtId="14" fontId="0" fillId="0" borderId="0" xfId="0" applyNumberFormat="1" applyAlignment="1">
      <alignment horizontal="center"/>
    </xf>
    <xf numFmtId="0" fontId="0" fillId="3" borderId="0" xfId="0" applyFill="1" applyAlignment="1">
      <alignment horizontal="center"/>
    </xf>
    <xf numFmtId="17" fontId="0" fillId="0" borderId="0" xfId="0" applyNumberFormat="1" applyAlignment="1">
      <alignment horizontal="center"/>
    </xf>
    <xf numFmtId="15" fontId="0" fillId="0" borderId="0" xfId="0" applyNumberFormat="1" applyAlignment="1">
      <alignment horizontal="center"/>
    </xf>
    <xf numFmtId="9" fontId="0" fillId="0" borderId="0" xfId="0" applyNumberForma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tyles" Target="styles.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E0E9EE-9174-4DA4-811A-8EFC1D0778EF}">
  <dimension ref="A1:CU57"/>
  <sheetViews>
    <sheetView zoomScale="50" zoomScaleNormal="55" workbookViewId="0">
      <pane xSplit="2" ySplit="17" topLeftCell="CT33" activePane="bottomRight" state="frozen"/>
      <selection pane="topRight" activeCell="C1" sqref="C1"/>
      <selection pane="bottomLeft" activeCell="A18" sqref="A18"/>
      <selection pane="bottomRight" activeCell="CU10" sqref="CU10"/>
    </sheetView>
  </sheetViews>
  <sheetFormatPr defaultColWidth="8.90625" defaultRowHeight="14.5" x14ac:dyDescent="0.35"/>
  <cols>
    <col min="1" max="1" width="40.6328125" style="1" bestFit="1" customWidth="1"/>
    <col min="2" max="2" width="11" style="1" bestFit="1" customWidth="1"/>
    <col min="3" max="9" width="77" style="1" bestFit="1" customWidth="1"/>
    <col min="10" max="10" width="77.7265625" style="1" bestFit="1" customWidth="1"/>
    <col min="11" max="11" width="77.36328125" style="1" bestFit="1" customWidth="1"/>
    <col min="12" max="14" width="77.7265625" style="1" bestFit="1" customWidth="1"/>
    <col min="15" max="15" width="80.81640625" style="1" bestFit="1" customWidth="1"/>
    <col min="16" max="16" width="130.81640625" style="1" bestFit="1" customWidth="1"/>
    <col min="17" max="17" width="76.6328125" style="1" bestFit="1" customWidth="1"/>
    <col min="18" max="18" width="88.26953125" style="1" bestFit="1" customWidth="1"/>
    <col min="19" max="19" width="30.453125" style="1" bestFit="1" customWidth="1"/>
    <col min="20" max="20" width="50.26953125" style="1" bestFit="1" customWidth="1"/>
    <col min="21" max="21" width="81.54296875" style="1" bestFit="1" customWidth="1"/>
    <col min="22" max="22" width="110.81640625" style="1" bestFit="1" customWidth="1"/>
    <col min="23" max="23" width="91.7265625" style="1" bestFit="1" customWidth="1"/>
    <col min="24" max="24" width="109.90625" style="1" bestFit="1" customWidth="1"/>
    <col min="25" max="25" width="88.453125" style="1" bestFit="1" customWidth="1"/>
    <col min="26" max="26" width="91.1796875" style="1" bestFit="1" customWidth="1"/>
    <col min="27" max="27" width="96.6328125" style="1" bestFit="1" customWidth="1"/>
    <col min="28" max="28" width="50.453125" style="1" bestFit="1" customWidth="1"/>
    <col min="29" max="29" width="88.453125" style="1" bestFit="1" customWidth="1"/>
    <col min="30" max="30" width="52.08984375" style="1" bestFit="1" customWidth="1"/>
    <col min="31" max="31" width="60.08984375" style="1" bestFit="1" customWidth="1"/>
    <col min="32" max="32" width="144.6328125" style="1" bestFit="1" customWidth="1"/>
    <col min="33" max="33" width="47" style="1" bestFit="1" customWidth="1"/>
    <col min="34" max="35" width="54.08984375" style="1" bestFit="1" customWidth="1"/>
    <col min="36" max="37" width="54.6328125" style="1" bestFit="1" customWidth="1"/>
    <col min="38" max="38" width="54.08984375" style="1" bestFit="1" customWidth="1"/>
    <col min="39" max="52" width="54.6328125" style="1" bestFit="1" customWidth="1"/>
    <col min="53" max="55" width="54.08984375" style="1" bestFit="1" customWidth="1"/>
    <col min="56" max="64" width="54.6328125" style="1" bestFit="1" customWidth="1"/>
    <col min="65" max="67" width="54.08984375" style="1" bestFit="1" customWidth="1"/>
    <col min="68" max="68" width="69.90625" style="1" bestFit="1" customWidth="1"/>
    <col min="69" max="69" width="51.54296875" style="1" bestFit="1" customWidth="1"/>
    <col min="70" max="70" width="55.90625" style="1" bestFit="1" customWidth="1"/>
    <col min="71" max="71" width="56.08984375" style="1" bestFit="1" customWidth="1"/>
    <col min="72" max="72" width="66.453125" style="1" bestFit="1" customWidth="1"/>
    <col min="73" max="73" width="255.6328125" style="1" bestFit="1" customWidth="1"/>
    <col min="74" max="74" width="79.36328125" style="1" bestFit="1" customWidth="1"/>
    <col min="75" max="75" width="143" style="1" bestFit="1" customWidth="1"/>
    <col min="76" max="83" width="143.36328125" style="1" bestFit="1" customWidth="1"/>
    <col min="84" max="84" width="144.08984375" style="1" bestFit="1" customWidth="1"/>
    <col min="85" max="85" width="143.7265625" style="1" bestFit="1" customWidth="1"/>
    <col min="86" max="86" width="144.08984375" style="1" bestFit="1" customWidth="1"/>
    <col min="87" max="87" width="147.1796875" style="1" bestFit="1" customWidth="1"/>
    <col min="88" max="88" width="92.453125" style="1" bestFit="1" customWidth="1"/>
    <col min="89" max="89" width="121.54296875" style="1" bestFit="1" customWidth="1"/>
    <col min="90" max="90" width="102.453125" style="1" bestFit="1" customWidth="1"/>
    <col min="91" max="91" width="120.6328125" style="1" bestFit="1" customWidth="1"/>
    <col min="92" max="92" width="99.1796875" style="1" bestFit="1" customWidth="1"/>
    <col min="93" max="93" width="102.08984375" style="1" bestFit="1" customWidth="1"/>
    <col min="94" max="94" width="107.36328125" style="1" bestFit="1" customWidth="1"/>
    <col min="95" max="95" width="48.6328125" style="1" bestFit="1" customWidth="1"/>
    <col min="96" max="96" width="65.7265625" style="1" bestFit="1" customWidth="1"/>
    <col min="97" max="97" width="29.7265625" style="1" bestFit="1" customWidth="1"/>
    <col min="98" max="98" width="31.36328125" style="1" bestFit="1" customWidth="1"/>
    <col min="99" max="99" width="63.36328125" style="1" bestFit="1" customWidth="1"/>
    <col min="100" max="16384" width="8.90625" style="1"/>
  </cols>
  <sheetData>
    <row r="1" spans="1:99" s="6" customFormat="1" x14ac:dyDescent="0.35">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6" t="s">
        <v>15</v>
      </c>
      <c r="Q1" s="6" t="s">
        <v>16</v>
      </c>
      <c r="R1" s="6" t="s">
        <v>17</v>
      </c>
      <c r="S1" s="6" t="s">
        <v>18</v>
      </c>
      <c r="T1" s="6" t="s">
        <v>19</v>
      </c>
      <c r="U1" s="6" t="s">
        <v>20</v>
      </c>
      <c r="V1" s="6" t="s">
        <v>21</v>
      </c>
      <c r="W1" s="6" t="s">
        <v>22</v>
      </c>
      <c r="X1" s="6" t="s">
        <v>23</v>
      </c>
      <c r="Y1" s="6" t="s">
        <v>24</v>
      </c>
      <c r="Z1" s="6" t="s">
        <v>25</v>
      </c>
      <c r="AA1" s="6" t="s">
        <v>26</v>
      </c>
      <c r="AB1" s="6" t="s">
        <v>27</v>
      </c>
      <c r="AC1" s="6" t="s">
        <v>28</v>
      </c>
      <c r="AD1" s="6" t="s">
        <v>29</v>
      </c>
      <c r="AE1" s="6" t="s">
        <v>30</v>
      </c>
      <c r="AF1" s="6" t="s">
        <v>31</v>
      </c>
      <c r="AG1" s="6" t="s">
        <v>32</v>
      </c>
      <c r="AH1" s="6" t="s">
        <v>33</v>
      </c>
      <c r="AI1" s="6" t="s">
        <v>33</v>
      </c>
      <c r="AJ1" s="6" t="s">
        <v>34</v>
      </c>
      <c r="AK1" s="6" t="s">
        <v>34</v>
      </c>
      <c r="AL1" s="6" t="s">
        <v>33</v>
      </c>
      <c r="AM1" s="6" t="s">
        <v>34</v>
      </c>
      <c r="AN1" s="6" t="s">
        <v>34</v>
      </c>
      <c r="AO1" s="6" t="s">
        <v>34</v>
      </c>
      <c r="AP1" s="6" t="s">
        <v>34</v>
      </c>
      <c r="AQ1" s="6" t="s">
        <v>34</v>
      </c>
      <c r="AR1" s="6" t="s">
        <v>34</v>
      </c>
      <c r="AS1" s="6" t="s">
        <v>34</v>
      </c>
      <c r="AT1" s="6" t="s">
        <v>34</v>
      </c>
      <c r="AU1" s="6" t="s">
        <v>34</v>
      </c>
      <c r="AV1" s="6" t="s">
        <v>34</v>
      </c>
      <c r="AW1" s="6" t="s">
        <v>34</v>
      </c>
      <c r="AX1" s="6" t="s">
        <v>34</v>
      </c>
      <c r="AY1" s="6" t="s">
        <v>34</v>
      </c>
      <c r="AZ1" s="6" t="s">
        <v>34</v>
      </c>
      <c r="BA1" s="6" t="s">
        <v>33</v>
      </c>
      <c r="BB1" s="6" t="s">
        <v>33</v>
      </c>
      <c r="BC1" s="6" t="s">
        <v>33</v>
      </c>
      <c r="BD1" s="6" t="s">
        <v>34</v>
      </c>
      <c r="BE1" s="6" t="s">
        <v>34</v>
      </c>
      <c r="BF1" s="6" t="s">
        <v>34</v>
      </c>
      <c r="BG1" s="6" t="s">
        <v>34</v>
      </c>
      <c r="BH1" s="6" t="s">
        <v>34</v>
      </c>
      <c r="BI1" s="6" t="s">
        <v>34</v>
      </c>
      <c r="BJ1" s="6" t="s">
        <v>34</v>
      </c>
      <c r="BK1" s="6" t="s">
        <v>34</v>
      </c>
      <c r="BL1" s="6" t="s">
        <v>34</v>
      </c>
      <c r="BM1" s="6" t="s">
        <v>33</v>
      </c>
      <c r="BN1" s="6" t="s">
        <v>33</v>
      </c>
      <c r="BO1" s="6" t="s">
        <v>33</v>
      </c>
      <c r="BP1" s="6" t="s">
        <v>35</v>
      </c>
      <c r="BQ1" s="6" t="s">
        <v>36</v>
      </c>
      <c r="BR1" s="6" t="s">
        <v>37</v>
      </c>
      <c r="BS1" s="6" t="s">
        <v>38</v>
      </c>
      <c r="BT1" s="6" t="s">
        <v>39</v>
      </c>
      <c r="BU1" s="6" t="s">
        <v>40</v>
      </c>
      <c r="BV1" s="6" t="s">
        <v>41</v>
      </c>
      <c r="BW1" s="6" t="s">
        <v>42</v>
      </c>
      <c r="BX1" s="6" t="s">
        <v>43</v>
      </c>
      <c r="BY1" s="6" t="s">
        <v>44</v>
      </c>
      <c r="BZ1" s="6" t="s">
        <v>45</v>
      </c>
      <c r="CA1" s="6" t="s">
        <v>46</v>
      </c>
      <c r="CB1" s="6" t="s">
        <v>47</v>
      </c>
      <c r="CC1" s="6" t="s">
        <v>48</v>
      </c>
      <c r="CD1" s="6" t="s">
        <v>49</v>
      </c>
      <c r="CE1" s="6" t="s">
        <v>50</v>
      </c>
      <c r="CF1" s="6" t="s">
        <v>51</v>
      </c>
      <c r="CG1" s="6" t="s">
        <v>52</v>
      </c>
      <c r="CH1" s="6" t="s">
        <v>53</v>
      </c>
      <c r="CI1" s="6" t="s">
        <v>54</v>
      </c>
      <c r="CJ1" s="6" t="s">
        <v>55</v>
      </c>
      <c r="CK1" s="6" t="s">
        <v>56</v>
      </c>
      <c r="CL1" s="6" t="s">
        <v>57</v>
      </c>
      <c r="CM1" s="6" t="s">
        <v>58</v>
      </c>
      <c r="CN1" s="6" t="s">
        <v>59</v>
      </c>
      <c r="CO1" s="6" t="s">
        <v>60</v>
      </c>
      <c r="CP1" s="6" t="s">
        <v>61</v>
      </c>
      <c r="CQ1" s="6" t="s">
        <v>62</v>
      </c>
      <c r="CR1" s="6" t="s">
        <v>63</v>
      </c>
      <c r="CS1" s="6" t="s">
        <v>64</v>
      </c>
      <c r="CT1" s="6" t="s">
        <v>65</v>
      </c>
      <c r="CU1" s="6" t="s">
        <v>66</v>
      </c>
    </row>
    <row r="2" spans="1:99" x14ac:dyDescent="0.35">
      <c r="A2" s="1" t="s">
        <v>67</v>
      </c>
      <c r="B2" s="1">
        <v>185211015</v>
      </c>
      <c r="C2" s="1">
        <v>0</v>
      </c>
      <c r="D2" s="1">
        <v>0</v>
      </c>
      <c r="E2" s="1">
        <v>0</v>
      </c>
      <c r="F2" s="1">
        <v>0</v>
      </c>
      <c r="G2" s="1">
        <v>0</v>
      </c>
      <c r="H2" s="1">
        <v>0</v>
      </c>
      <c r="I2" s="1">
        <v>0</v>
      </c>
      <c r="J2" s="1">
        <v>0</v>
      </c>
      <c r="K2" s="1">
        <v>0</v>
      </c>
      <c r="L2" s="1">
        <v>0</v>
      </c>
      <c r="M2" s="1">
        <v>1</v>
      </c>
      <c r="N2" s="1">
        <v>0</v>
      </c>
      <c r="O2" s="1">
        <v>0</v>
      </c>
      <c r="P2" s="1">
        <v>1</v>
      </c>
      <c r="Q2" s="1">
        <v>1</v>
      </c>
      <c r="R2" s="1">
        <v>1</v>
      </c>
      <c r="S2" s="1">
        <v>2</v>
      </c>
      <c r="T2" s="1">
        <v>1</v>
      </c>
      <c r="U2" s="1">
        <v>4</v>
      </c>
      <c r="V2" s="1">
        <v>3</v>
      </c>
      <c r="W2" s="1">
        <v>3</v>
      </c>
      <c r="X2" s="1">
        <v>4</v>
      </c>
      <c r="Y2" s="1">
        <v>4</v>
      </c>
      <c r="Z2" s="1">
        <v>4</v>
      </c>
      <c r="AA2" s="1">
        <v>3</v>
      </c>
      <c r="CU2" s="1">
        <v>1</v>
      </c>
    </row>
    <row r="3" spans="1:99" x14ac:dyDescent="0.35">
      <c r="A3" s="1" t="s">
        <v>68</v>
      </c>
      <c r="B3" s="1">
        <v>185211016</v>
      </c>
      <c r="C3" s="1">
        <v>1</v>
      </c>
      <c r="D3" s="1">
        <v>1</v>
      </c>
      <c r="E3" s="1">
        <v>0</v>
      </c>
      <c r="F3" s="1">
        <v>0</v>
      </c>
      <c r="G3" s="1">
        <v>0</v>
      </c>
      <c r="H3" s="1">
        <v>1</v>
      </c>
      <c r="I3" s="1">
        <v>0</v>
      </c>
      <c r="J3" s="1">
        <v>1</v>
      </c>
      <c r="K3" s="1">
        <v>0</v>
      </c>
      <c r="L3" s="1">
        <v>1</v>
      </c>
      <c r="M3" s="1">
        <v>0</v>
      </c>
      <c r="N3" s="1">
        <v>1</v>
      </c>
      <c r="O3" s="1">
        <v>0</v>
      </c>
      <c r="P3" s="1">
        <v>20</v>
      </c>
      <c r="Q3" s="1">
        <v>3</v>
      </c>
      <c r="R3" s="1">
        <v>1</v>
      </c>
      <c r="S3" s="1">
        <v>1</v>
      </c>
      <c r="T3" s="1">
        <v>1</v>
      </c>
      <c r="U3" s="1">
        <v>4</v>
      </c>
      <c r="V3" s="1">
        <v>3</v>
      </c>
      <c r="W3" s="1">
        <v>4</v>
      </c>
      <c r="X3" s="1">
        <v>4</v>
      </c>
      <c r="Y3" s="1">
        <v>2</v>
      </c>
      <c r="Z3" s="1">
        <v>3</v>
      </c>
      <c r="AA3" s="1">
        <v>3</v>
      </c>
      <c r="AC3" s="1">
        <v>1</v>
      </c>
      <c r="AD3" s="1">
        <v>1</v>
      </c>
      <c r="AF3" s="3">
        <v>5000000</v>
      </c>
      <c r="AG3" s="1">
        <v>12</v>
      </c>
      <c r="AS3" s="1" t="s">
        <v>69</v>
      </c>
      <c r="BP3" s="1">
        <v>3</v>
      </c>
      <c r="BQ3" s="1" t="s">
        <v>70</v>
      </c>
      <c r="BR3" s="1" t="s">
        <v>71</v>
      </c>
      <c r="BS3" s="1" t="s">
        <v>72</v>
      </c>
      <c r="BT3" s="1" t="s">
        <v>73</v>
      </c>
      <c r="BU3" s="1">
        <v>3</v>
      </c>
      <c r="BV3" s="1">
        <v>2</v>
      </c>
      <c r="BW3" s="1">
        <v>1</v>
      </c>
      <c r="BX3" s="1">
        <v>1</v>
      </c>
      <c r="BY3" s="1">
        <v>0</v>
      </c>
      <c r="BZ3" s="1">
        <v>1</v>
      </c>
      <c r="CA3" s="1">
        <v>0</v>
      </c>
      <c r="CB3" s="1">
        <v>1</v>
      </c>
      <c r="CC3" s="1">
        <v>1</v>
      </c>
      <c r="CD3" s="1">
        <v>0</v>
      </c>
      <c r="CE3" s="1">
        <v>0</v>
      </c>
      <c r="CF3" s="1">
        <v>0</v>
      </c>
      <c r="CG3" s="1">
        <v>0</v>
      </c>
      <c r="CH3" s="1">
        <v>0</v>
      </c>
      <c r="CI3" s="1">
        <v>0</v>
      </c>
      <c r="CJ3" s="1">
        <v>3</v>
      </c>
      <c r="CK3" s="1">
        <v>3</v>
      </c>
      <c r="CL3" s="1">
        <v>2</v>
      </c>
      <c r="CM3" s="1">
        <v>4</v>
      </c>
      <c r="CN3" s="1">
        <v>4</v>
      </c>
      <c r="CO3" s="1">
        <v>3</v>
      </c>
      <c r="CP3" s="1">
        <v>2</v>
      </c>
      <c r="CU3" s="1">
        <v>1</v>
      </c>
    </row>
    <row r="4" spans="1:99" x14ac:dyDescent="0.35">
      <c r="A4" s="1" t="s">
        <v>74</v>
      </c>
      <c r="B4" s="1">
        <v>185211017</v>
      </c>
      <c r="C4" s="1">
        <v>1</v>
      </c>
      <c r="D4" s="1">
        <v>1</v>
      </c>
      <c r="E4" s="1">
        <v>0</v>
      </c>
      <c r="F4" s="1">
        <v>0</v>
      </c>
      <c r="G4" s="1">
        <v>0</v>
      </c>
      <c r="H4" s="1">
        <v>1</v>
      </c>
      <c r="I4" s="1">
        <v>0</v>
      </c>
      <c r="J4" s="1">
        <v>0</v>
      </c>
      <c r="K4" s="1">
        <v>0</v>
      </c>
      <c r="L4" s="1">
        <v>0</v>
      </c>
      <c r="M4" s="1">
        <v>0</v>
      </c>
      <c r="N4" s="1">
        <v>0</v>
      </c>
      <c r="O4" s="1">
        <v>0</v>
      </c>
      <c r="P4" s="1">
        <v>30</v>
      </c>
      <c r="Q4" s="1">
        <v>15</v>
      </c>
      <c r="R4" s="1">
        <v>10</v>
      </c>
      <c r="S4" s="1">
        <v>1</v>
      </c>
      <c r="T4" s="1">
        <v>1</v>
      </c>
      <c r="U4" s="1">
        <v>4</v>
      </c>
      <c r="V4" s="1">
        <v>4</v>
      </c>
      <c r="W4" s="1">
        <v>4</v>
      </c>
      <c r="X4" s="1">
        <v>3</v>
      </c>
      <c r="Y4" s="1">
        <v>4</v>
      </c>
      <c r="Z4" s="1">
        <v>4</v>
      </c>
      <c r="AA4" s="1">
        <v>4</v>
      </c>
      <c r="AC4" s="1">
        <v>2</v>
      </c>
      <c r="AE4" s="1">
        <v>10</v>
      </c>
      <c r="AF4" s="3">
        <v>1000000</v>
      </c>
      <c r="AG4" s="1">
        <v>13</v>
      </c>
      <c r="AT4" s="1" t="s">
        <v>75</v>
      </c>
      <c r="BP4" s="1" t="s">
        <v>76</v>
      </c>
      <c r="BQ4" s="1" t="s">
        <v>77</v>
      </c>
      <c r="BT4" s="1" t="s">
        <v>79</v>
      </c>
      <c r="BU4" s="1">
        <v>4</v>
      </c>
      <c r="BV4" s="1">
        <v>1</v>
      </c>
      <c r="BW4" s="1">
        <v>0</v>
      </c>
      <c r="BX4" s="1">
        <v>1</v>
      </c>
      <c r="BY4" s="1">
        <v>0</v>
      </c>
      <c r="BZ4" s="1">
        <v>0</v>
      </c>
      <c r="CA4" s="1">
        <v>1</v>
      </c>
      <c r="CB4" s="1">
        <v>0</v>
      </c>
      <c r="CC4" s="1">
        <v>0</v>
      </c>
      <c r="CD4" s="1">
        <v>0</v>
      </c>
      <c r="CE4" s="1">
        <v>0</v>
      </c>
      <c r="CF4" s="1">
        <v>0</v>
      </c>
      <c r="CG4" s="1">
        <v>0</v>
      </c>
      <c r="CH4" s="1">
        <v>0</v>
      </c>
      <c r="CI4" s="1">
        <v>0</v>
      </c>
      <c r="CJ4" s="1">
        <v>4</v>
      </c>
      <c r="CK4" s="1">
        <v>4</v>
      </c>
      <c r="CL4" s="1">
        <v>4</v>
      </c>
      <c r="CM4" s="1">
        <v>3</v>
      </c>
      <c r="CN4" s="1">
        <v>4</v>
      </c>
      <c r="CO4" s="1">
        <v>3</v>
      </c>
      <c r="CP4" s="1">
        <v>4</v>
      </c>
      <c r="CU4" s="1">
        <v>4</v>
      </c>
    </row>
    <row r="5" spans="1:99" x14ac:dyDescent="0.35">
      <c r="A5" s="1" t="s">
        <v>80</v>
      </c>
      <c r="B5" s="1">
        <v>185211018</v>
      </c>
      <c r="C5" s="1">
        <v>0</v>
      </c>
      <c r="D5" s="1">
        <v>1</v>
      </c>
      <c r="E5" s="1">
        <v>0</v>
      </c>
      <c r="F5" s="1">
        <v>0</v>
      </c>
      <c r="G5" s="1">
        <v>0</v>
      </c>
      <c r="H5" s="1">
        <v>0</v>
      </c>
      <c r="I5" s="1">
        <v>0</v>
      </c>
      <c r="J5" s="1">
        <v>1</v>
      </c>
      <c r="K5" s="1">
        <v>1</v>
      </c>
      <c r="L5" s="1">
        <v>0</v>
      </c>
      <c r="M5" s="1">
        <v>0</v>
      </c>
      <c r="N5" s="1">
        <v>1</v>
      </c>
      <c r="O5" s="1">
        <v>0</v>
      </c>
      <c r="P5" s="1">
        <v>10</v>
      </c>
      <c r="Q5" s="1">
        <v>20</v>
      </c>
      <c r="R5" s="1">
        <v>15</v>
      </c>
      <c r="S5" s="1">
        <v>5</v>
      </c>
      <c r="T5" s="1">
        <v>1</v>
      </c>
      <c r="U5" s="1">
        <v>4</v>
      </c>
      <c r="V5" s="1">
        <v>3</v>
      </c>
      <c r="W5" s="1">
        <v>3</v>
      </c>
      <c r="X5" s="1">
        <v>4</v>
      </c>
      <c r="Y5" s="1">
        <v>3</v>
      </c>
      <c r="Z5" s="1">
        <v>3</v>
      </c>
      <c r="AA5" s="1">
        <v>4</v>
      </c>
      <c r="CU5" s="1">
        <v>4</v>
      </c>
    </row>
    <row r="6" spans="1:99" x14ac:dyDescent="0.35">
      <c r="A6" s="1" t="s">
        <v>486</v>
      </c>
      <c r="B6" s="1">
        <v>185211019</v>
      </c>
      <c r="C6" s="1">
        <v>0</v>
      </c>
      <c r="D6" s="1">
        <v>1</v>
      </c>
      <c r="E6" s="1">
        <v>0</v>
      </c>
      <c r="F6" s="1">
        <v>0</v>
      </c>
      <c r="G6" s="1">
        <v>0</v>
      </c>
      <c r="H6" s="1">
        <v>0</v>
      </c>
      <c r="I6" s="1">
        <v>0</v>
      </c>
      <c r="J6" s="1">
        <v>0</v>
      </c>
      <c r="K6" s="1">
        <v>1</v>
      </c>
      <c r="L6" s="1">
        <v>0</v>
      </c>
      <c r="M6" s="1">
        <v>0</v>
      </c>
      <c r="N6" s="1">
        <v>0</v>
      </c>
      <c r="O6" s="1">
        <v>0</v>
      </c>
      <c r="P6" s="1">
        <v>3</v>
      </c>
      <c r="Q6" s="1">
        <v>1</v>
      </c>
      <c r="R6" s="1">
        <v>1</v>
      </c>
      <c r="S6" s="1">
        <v>1</v>
      </c>
      <c r="T6" s="1">
        <v>1</v>
      </c>
      <c r="U6" s="1">
        <v>4</v>
      </c>
      <c r="V6" s="1">
        <v>3</v>
      </c>
      <c r="W6" s="1">
        <v>3</v>
      </c>
      <c r="X6" s="1">
        <v>3</v>
      </c>
      <c r="Y6" s="1">
        <v>3</v>
      </c>
      <c r="Z6" s="1">
        <v>3</v>
      </c>
      <c r="AA6" s="1">
        <v>3</v>
      </c>
      <c r="AC6" s="1">
        <v>2</v>
      </c>
      <c r="AE6" s="1">
        <v>1</v>
      </c>
      <c r="AF6" s="3">
        <v>6500000</v>
      </c>
      <c r="AG6" s="1">
        <v>13</v>
      </c>
      <c r="AT6" s="1" t="s">
        <v>75</v>
      </c>
      <c r="BP6" s="1">
        <v>3</v>
      </c>
      <c r="BQ6" s="1" t="s">
        <v>487</v>
      </c>
      <c r="BR6" s="1" t="s">
        <v>488</v>
      </c>
      <c r="BS6" s="1" t="s">
        <v>489</v>
      </c>
      <c r="BT6" s="1" t="s">
        <v>73</v>
      </c>
      <c r="BU6" s="1">
        <v>2</v>
      </c>
      <c r="BV6" s="1">
        <v>2</v>
      </c>
      <c r="BW6" s="1">
        <v>1</v>
      </c>
      <c r="BX6" s="1">
        <v>0</v>
      </c>
      <c r="BY6" s="1">
        <v>0</v>
      </c>
      <c r="BZ6" s="1">
        <v>0</v>
      </c>
      <c r="CA6" s="1">
        <v>0</v>
      </c>
      <c r="CB6" s="1">
        <v>0</v>
      </c>
      <c r="CC6" s="1">
        <v>0</v>
      </c>
      <c r="CD6" s="1">
        <v>0</v>
      </c>
      <c r="CE6" s="1">
        <v>0</v>
      </c>
      <c r="CF6" s="1">
        <v>0</v>
      </c>
      <c r="CG6" s="1">
        <v>0</v>
      </c>
      <c r="CH6" s="1">
        <v>0</v>
      </c>
      <c r="CI6" s="1">
        <v>0</v>
      </c>
      <c r="CJ6" s="1">
        <v>4</v>
      </c>
      <c r="CK6" s="1">
        <v>4</v>
      </c>
      <c r="CL6" s="1">
        <v>4</v>
      </c>
      <c r="CM6" s="1">
        <v>4</v>
      </c>
      <c r="CN6" s="1">
        <v>4</v>
      </c>
      <c r="CO6" s="1">
        <v>4</v>
      </c>
      <c r="CP6" s="1">
        <v>4</v>
      </c>
      <c r="CU6" s="1">
        <v>1</v>
      </c>
    </row>
    <row r="7" spans="1:99" x14ac:dyDescent="0.35">
      <c r="A7" s="1" t="s">
        <v>490</v>
      </c>
      <c r="B7" s="1">
        <v>185211020</v>
      </c>
      <c r="C7" s="1">
        <v>0</v>
      </c>
      <c r="D7" s="1">
        <v>1</v>
      </c>
      <c r="E7" s="1">
        <v>0</v>
      </c>
      <c r="F7" s="1">
        <v>0</v>
      </c>
      <c r="G7" s="1">
        <v>0</v>
      </c>
      <c r="H7" s="1">
        <v>0</v>
      </c>
      <c r="I7" s="1">
        <v>0</v>
      </c>
      <c r="J7" s="1">
        <v>0</v>
      </c>
      <c r="K7" s="1">
        <v>1</v>
      </c>
      <c r="L7" s="1">
        <v>0</v>
      </c>
      <c r="M7" s="1">
        <v>0</v>
      </c>
      <c r="N7" s="1">
        <v>0</v>
      </c>
      <c r="O7" s="1">
        <v>0</v>
      </c>
      <c r="P7" s="1">
        <v>40</v>
      </c>
      <c r="Q7" s="1">
        <v>5</v>
      </c>
      <c r="R7" s="1">
        <v>5</v>
      </c>
      <c r="S7" s="1">
        <v>5</v>
      </c>
      <c r="T7" s="1">
        <v>1</v>
      </c>
      <c r="U7" s="1">
        <v>4</v>
      </c>
      <c r="V7" s="1">
        <v>3</v>
      </c>
      <c r="W7" s="1">
        <v>3</v>
      </c>
      <c r="X7" s="1">
        <v>4</v>
      </c>
      <c r="Y7" s="1">
        <v>4</v>
      </c>
      <c r="Z7" s="1">
        <v>4</v>
      </c>
      <c r="AA7" s="1">
        <v>3</v>
      </c>
      <c r="CU7" s="1">
        <v>4</v>
      </c>
    </row>
    <row r="8" spans="1:99" x14ac:dyDescent="0.35">
      <c r="A8" s="1" t="s">
        <v>491</v>
      </c>
      <c r="B8" s="1">
        <v>185211021</v>
      </c>
      <c r="C8" s="1">
        <v>0</v>
      </c>
      <c r="D8" s="1">
        <v>0</v>
      </c>
      <c r="E8" s="1">
        <v>0</v>
      </c>
      <c r="F8" s="1">
        <v>0</v>
      </c>
      <c r="G8" s="1">
        <v>0</v>
      </c>
      <c r="H8" s="1">
        <v>0</v>
      </c>
      <c r="I8" s="1">
        <v>0</v>
      </c>
      <c r="J8" s="1">
        <v>0</v>
      </c>
      <c r="K8" s="1">
        <v>1</v>
      </c>
      <c r="L8" s="1">
        <v>0</v>
      </c>
      <c r="M8" s="1">
        <v>0</v>
      </c>
      <c r="N8" s="1">
        <v>0</v>
      </c>
      <c r="O8" s="1">
        <v>0</v>
      </c>
      <c r="P8" s="1">
        <v>2</v>
      </c>
      <c r="Q8" s="1">
        <v>0</v>
      </c>
      <c r="R8" s="1">
        <v>0</v>
      </c>
      <c r="S8" s="1">
        <v>1</v>
      </c>
      <c r="U8" s="1">
        <v>3</v>
      </c>
      <c r="V8" s="1">
        <v>4</v>
      </c>
      <c r="W8" s="1">
        <v>3</v>
      </c>
      <c r="X8" s="1">
        <v>4</v>
      </c>
      <c r="Y8" s="1">
        <v>4</v>
      </c>
      <c r="Z8" s="1">
        <v>4</v>
      </c>
      <c r="AA8" s="1">
        <v>4</v>
      </c>
      <c r="AC8" s="1">
        <v>1</v>
      </c>
      <c r="AD8" s="1">
        <v>1</v>
      </c>
      <c r="AF8" s="3">
        <v>2250000</v>
      </c>
      <c r="AG8" s="1">
        <v>13</v>
      </c>
      <c r="AT8" s="1" t="s">
        <v>93</v>
      </c>
      <c r="BP8" s="1">
        <v>3</v>
      </c>
      <c r="BQ8" s="1" t="s">
        <v>492</v>
      </c>
      <c r="BR8" s="1" t="s">
        <v>493</v>
      </c>
      <c r="BT8" s="1" t="s">
        <v>79</v>
      </c>
      <c r="BU8" s="1">
        <v>2</v>
      </c>
      <c r="BV8" s="1">
        <v>2</v>
      </c>
      <c r="BW8" s="1">
        <v>0</v>
      </c>
      <c r="BX8" s="1">
        <v>0</v>
      </c>
      <c r="BY8" s="1">
        <v>0</v>
      </c>
      <c r="BZ8" s="1">
        <v>0</v>
      </c>
      <c r="CA8" s="1">
        <v>0</v>
      </c>
      <c r="CB8" s="1">
        <v>0</v>
      </c>
      <c r="CC8" s="1">
        <v>1</v>
      </c>
      <c r="CD8" s="1">
        <v>0</v>
      </c>
      <c r="CE8" s="1">
        <v>0</v>
      </c>
      <c r="CF8" s="1">
        <v>1</v>
      </c>
      <c r="CG8" s="1">
        <v>0</v>
      </c>
      <c r="CH8" s="1">
        <v>0</v>
      </c>
      <c r="CI8" s="1">
        <v>0</v>
      </c>
      <c r="CJ8" s="1">
        <v>3</v>
      </c>
      <c r="CK8" s="1">
        <v>3</v>
      </c>
      <c r="CL8" s="1">
        <v>3</v>
      </c>
      <c r="CM8" s="1">
        <v>3</v>
      </c>
      <c r="CN8" s="1">
        <v>3</v>
      </c>
      <c r="CO8" s="1">
        <v>3</v>
      </c>
      <c r="CP8" s="1">
        <v>3</v>
      </c>
    </row>
    <row r="9" spans="1:99" x14ac:dyDescent="0.35">
      <c r="A9" s="1" t="s">
        <v>494</v>
      </c>
      <c r="B9" s="1">
        <v>185211023</v>
      </c>
      <c r="C9" s="1">
        <v>0</v>
      </c>
      <c r="D9" s="1">
        <v>0</v>
      </c>
      <c r="E9" s="1">
        <v>0</v>
      </c>
      <c r="F9" s="1">
        <v>0</v>
      </c>
      <c r="G9" s="1">
        <v>0</v>
      </c>
      <c r="H9" s="1">
        <v>0</v>
      </c>
      <c r="I9" s="1">
        <v>0</v>
      </c>
      <c r="J9" s="1">
        <v>0</v>
      </c>
      <c r="K9" s="1">
        <v>1</v>
      </c>
      <c r="L9" s="1">
        <v>0</v>
      </c>
      <c r="M9" s="1">
        <v>0</v>
      </c>
      <c r="N9" s="1">
        <v>0</v>
      </c>
      <c r="O9" s="1">
        <v>0</v>
      </c>
      <c r="P9" s="1">
        <v>2</v>
      </c>
      <c r="Q9" s="1">
        <v>1</v>
      </c>
      <c r="R9" s="1">
        <v>1</v>
      </c>
      <c r="S9" s="1">
        <v>1</v>
      </c>
      <c r="T9" s="1">
        <v>1</v>
      </c>
      <c r="U9" s="1">
        <v>4</v>
      </c>
      <c r="V9" s="1">
        <v>4</v>
      </c>
      <c r="W9" s="1">
        <v>3</v>
      </c>
      <c r="X9" s="1">
        <v>4</v>
      </c>
      <c r="Y9" s="1">
        <v>3</v>
      </c>
      <c r="Z9" s="1">
        <v>3</v>
      </c>
      <c r="AA9" s="1">
        <v>3</v>
      </c>
      <c r="AC9" s="1">
        <v>1</v>
      </c>
      <c r="AD9" s="1">
        <v>0</v>
      </c>
      <c r="AF9" s="3">
        <v>4000000</v>
      </c>
      <c r="AG9" s="1">
        <v>12</v>
      </c>
      <c r="AS9" s="1" t="s">
        <v>69</v>
      </c>
      <c r="BP9" s="1">
        <v>1</v>
      </c>
      <c r="BQ9" s="1" t="s">
        <v>495</v>
      </c>
      <c r="BR9" s="1" t="s">
        <v>496</v>
      </c>
      <c r="BT9" s="1" t="s">
        <v>79</v>
      </c>
      <c r="BU9" s="1">
        <v>3</v>
      </c>
      <c r="BV9" s="1">
        <v>2</v>
      </c>
      <c r="BW9" s="1">
        <v>1</v>
      </c>
      <c r="BX9" s="1">
        <v>0</v>
      </c>
      <c r="BY9" s="1">
        <v>0</v>
      </c>
      <c r="BZ9" s="1">
        <v>0</v>
      </c>
      <c r="CA9" s="1">
        <v>0</v>
      </c>
      <c r="CB9" s="1">
        <v>0</v>
      </c>
      <c r="CC9" s="1">
        <v>0</v>
      </c>
      <c r="CD9" s="1">
        <v>0</v>
      </c>
      <c r="CE9" s="1">
        <v>0</v>
      </c>
      <c r="CF9" s="1">
        <v>0</v>
      </c>
      <c r="CG9" s="1">
        <v>0</v>
      </c>
      <c r="CH9" s="1">
        <v>0</v>
      </c>
      <c r="CI9" s="1">
        <v>0</v>
      </c>
      <c r="CJ9" s="1">
        <v>4</v>
      </c>
      <c r="CK9" s="1">
        <v>4</v>
      </c>
      <c r="CL9" s="1">
        <v>4</v>
      </c>
      <c r="CM9" s="1">
        <v>4</v>
      </c>
      <c r="CN9" s="1">
        <v>4</v>
      </c>
      <c r="CO9" s="1">
        <v>4</v>
      </c>
      <c r="CP9" s="1">
        <v>4</v>
      </c>
      <c r="CU9" s="1">
        <v>1</v>
      </c>
    </row>
    <row r="10" spans="1:99" x14ac:dyDescent="0.35">
      <c r="A10" s="1" t="s">
        <v>497</v>
      </c>
      <c r="B10" s="1">
        <v>185211024</v>
      </c>
      <c r="C10" s="1">
        <v>1</v>
      </c>
      <c r="D10" s="1">
        <v>1</v>
      </c>
      <c r="E10" s="1">
        <v>0</v>
      </c>
      <c r="F10" s="1">
        <v>0</v>
      </c>
      <c r="G10" s="1">
        <v>0</v>
      </c>
      <c r="H10" s="1">
        <v>0</v>
      </c>
      <c r="I10" s="1">
        <v>0</v>
      </c>
      <c r="J10" s="1">
        <v>0</v>
      </c>
      <c r="K10" s="1">
        <v>1</v>
      </c>
      <c r="L10" s="1">
        <v>1</v>
      </c>
      <c r="M10" s="1">
        <v>0</v>
      </c>
      <c r="N10" s="1">
        <v>0</v>
      </c>
      <c r="O10" s="1">
        <v>0</v>
      </c>
      <c r="P10" s="1">
        <v>2</v>
      </c>
      <c r="Q10" s="1">
        <v>1</v>
      </c>
      <c r="R10" s="1">
        <v>1</v>
      </c>
      <c r="S10" s="1">
        <v>5</v>
      </c>
      <c r="T10" s="1">
        <v>3</v>
      </c>
      <c r="U10" s="1">
        <v>4</v>
      </c>
      <c r="V10" s="1">
        <v>3</v>
      </c>
      <c r="W10" s="1">
        <v>3</v>
      </c>
      <c r="X10" s="1">
        <v>4</v>
      </c>
      <c r="Y10" s="1">
        <v>4</v>
      </c>
      <c r="Z10" s="1">
        <v>4</v>
      </c>
      <c r="AA10" s="1">
        <v>4</v>
      </c>
      <c r="CU10" s="1">
        <v>4</v>
      </c>
    </row>
    <row r="11" spans="1:99" x14ac:dyDescent="0.35">
      <c r="A11" s="1" t="s">
        <v>498</v>
      </c>
      <c r="B11" s="1">
        <v>185211025</v>
      </c>
      <c r="C11" s="1">
        <v>0</v>
      </c>
      <c r="D11" s="1">
        <v>0</v>
      </c>
      <c r="E11" s="1">
        <v>0</v>
      </c>
      <c r="F11" s="1">
        <v>0</v>
      </c>
      <c r="G11" s="1">
        <v>0</v>
      </c>
      <c r="H11" s="1">
        <v>0</v>
      </c>
      <c r="I11" s="1">
        <v>0</v>
      </c>
      <c r="J11" s="1">
        <v>0</v>
      </c>
      <c r="K11" s="1">
        <v>1</v>
      </c>
      <c r="L11" s="1">
        <v>0</v>
      </c>
      <c r="M11" s="1">
        <v>0</v>
      </c>
      <c r="N11" s="1">
        <v>0</v>
      </c>
      <c r="O11" s="1">
        <v>0</v>
      </c>
      <c r="P11" s="1" t="s">
        <v>117</v>
      </c>
      <c r="Q11" s="1" t="s">
        <v>499</v>
      </c>
      <c r="R11" s="1">
        <v>1</v>
      </c>
      <c r="S11" s="1">
        <v>1</v>
      </c>
      <c r="T11" s="1">
        <v>1</v>
      </c>
      <c r="U11" s="1">
        <v>3</v>
      </c>
      <c r="V11" s="1">
        <v>3</v>
      </c>
      <c r="W11" s="1">
        <v>3</v>
      </c>
      <c r="X11" s="1">
        <v>3</v>
      </c>
      <c r="Y11" s="1">
        <v>3</v>
      </c>
      <c r="Z11" s="1">
        <v>3</v>
      </c>
      <c r="AA11" s="1">
        <v>3</v>
      </c>
      <c r="AC11" s="1">
        <v>2</v>
      </c>
      <c r="AE11" s="1">
        <v>1</v>
      </c>
      <c r="AF11" s="3">
        <v>5000000</v>
      </c>
      <c r="AG11" s="1">
        <v>12</v>
      </c>
      <c r="AS11" s="1" t="s">
        <v>69</v>
      </c>
      <c r="BP11" s="1">
        <v>3</v>
      </c>
      <c r="BQ11" s="1" t="s">
        <v>500</v>
      </c>
      <c r="BR11" s="1" t="s">
        <v>501</v>
      </c>
      <c r="BS11" s="1" t="s">
        <v>502</v>
      </c>
      <c r="BT11" s="1" t="s">
        <v>73</v>
      </c>
      <c r="BU11" s="1">
        <v>2</v>
      </c>
      <c r="BV11" s="1">
        <v>2</v>
      </c>
      <c r="BW11" s="1">
        <v>0</v>
      </c>
      <c r="BX11" s="1">
        <v>0</v>
      </c>
      <c r="BY11" s="1">
        <v>0</v>
      </c>
      <c r="BZ11" s="1">
        <v>0</v>
      </c>
      <c r="CA11" s="1">
        <v>0</v>
      </c>
      <c r="CB11" s="1">
        <v>0</v>
      </c>
      <c r="CC11" s="1">
        <v>1</v>
      </c>
      <c r="CD11" s="1">
        <v>1</v>
      </c>
      <c r="CE11" s="1">
        <v>0</v>
      </c>
      <c r="CF11" s="1">
        <v>0</v>
      </c>
      <c r="CG11" s="1">
        <v>1</v>
      </c>
      <c r="CH11" s="1">
        <v>0</v>
      </c>
      <c r="CI11" s="1">
        <v>0</v>
      </c>
      <c r="CJ11" s="1">
        <v>4</v>
      </c>
      <c r="CK11" s="1">
        <v>4</v>
      </c>
      <c r="CL11" s="1">
        <v>4</v>
      </c>
      <c r="CM11" s="1">
        <v>4</v>
      </c>
      <c r="CN11" s="1">
        <v>4</v>
      </c>
      <c r="CO11" s="1">
        <v>4</v>
      </c>
      <c r="CP11" s="1">
        <v>4</v>
      </c>
      <c r="CU11" s="1">
        <v>1</v>
      </c>
    </row>
    <row r="12" spans="1:99" x14ac:dyDescent="0.35">
      <c r="A12" s="1" t="s">
        <v>503</v>
      </c>
      <c r="B12" s="1">
        <v>185211026</v>
      </c>
      <c r="C12" s="1">
        <v>0</v>
      </c>
      <c r="D12" s="1">
        <v>1</v>
      </c>
      <c r="E12" s="1">
        <v>0</v>
      </c>
      <c r="F12" s="1">
        <v>0</v>
      </c>
      <c r="G12" s="1">
        <v>0</v>
      </c>
      <c r="H12" s="1">
        <v>1</v>
      </c>
      <c r="I12" s="1">
        <v>0</v>
      </c>
      <c r="J12" s="1">
        <v>0</v>
      </c>
      <c r="K12" s="1">
        <v>0</v>
      </c>
      <c r="L12" s="1">
        <v>0</v>
      </c>
      <c r="M12" s="1">
        <v>0</v>
      </c>
      <c r="N12" s="1">
        <v>0</v>
      </c>
      <c r="O12" s="1">
        <v>0</v>
      </c>
      <c r="P12" s="1" t="s">
        <v>504</v>
      </c>
      <c r="Q12" s="1" t="s">
        <v>505</v>
      </c>
      <c r="R12" s="1" t="s">
        <v>506</v>
      </c>
      <c r="S12" s="1">
        <v>4</v>
      </c>
      <c r="T12" s="1">
        <v>1</v>
      </c>
      <c r="U12" s="1">
        <v>3</v>
      </c>
      <c r="V12" s="1">
        <v>3</v>
      </c>
      <c r="W12" s="1">
        <v>3</v>
      </c>
      <c r="X12" s="1">
        <v>3</v>
      </c>
      <c r="Y12" s="1">
        <v>3</v>
      </c>
      <c r="Z12" s="1">
        <v>4</v>
      </c>
      <c r="AA12" s="1">
        <v>4</v>
      </c>
      <c r="CQ12" s="1">
        <v>1</v>
      </c>
      <c r="CR12" s="1" t="s">
        <v>507</v>
      </c>
      <c r="CS12" s="1" t="s">
        <v>508</v>
      </c>
      <c r="CT12" s="5">
        <v>44611</v>
      </c>
      <c r="CU12" s="1">
        <v>3</v>
      </c>
    </row>
    <row r="13" spans="1:99" x14ac:dyDescent="0.35">
      <c r="A13" s="1" t="s">
        <v>509</v>
      </c>
      <c r="B13" s="1">
        <v>185211027</v>
      </c>
    </row>
    <row r="14" spans="1:99" x14ac:dyDescent="0.35">
      <c r="A14" s="1" t="s">
        <v>510</v>
      </c>
      <c r="B14" s="1">
        <v>185211029</v>
      </c>
      <c r="C14" s="1">
        <v>0</v>
      </c>
      <c r="D14" s="1">
        <v>1</v>
      </c>
      <c r="E14" s="1">
        <v>0</v>
      </c>
      <c r="F14" s="1">
        <v>0</v>
      </c>
      <c r="G14" s="1">
        <v>0</v>
      </c>
      <c r="H14" s="1">
        <v>1</v>
      </c>
      <c r="I14" s="1">
        <v>0</v>
      </c>
      <c r="J14" s="1">
        <v>0</v>
      </c>
      <c r="K14" s="1">
        <v>0</v>
      </c>
      <c r="L14" s="1">
        <v>0</v>
      </c>
      <c r="M14" s="1">
        <v>1</v>
      </c>
      <c r="N14" s="1">
        <v>0</v>
      </c>
      <c r="O14" s="1">
        <v>0</v>
      </c>
      <c r="P14" s="1" t="s">
        <v>511</v>
      </c>
      <c r="Q14" s="1" t="s">
        <v>512</v>
      </c>
      <c r="R14" s="4">
        <v>46146</v>
      </c>
      <c r="S14" s="1">
        <v>1</v>
      </c>
      <c r="T14" s="1" t="s">
        <v>513</v>
      </c>
      <c r="U14" s="1">
        <v>4</v>
      </c>
      <c r="V14" s="1">
        <v>4</v>
      </c>
      <c r="W14" s="1">
        <v>4</v>
      </c>
      <c r="X14" s="1">
        <v>4</v>
      </c>
      <c r="Y14" s="1">
        <v>4</v>
      </c>
      <c r="Z14" s="1">
        <v>4</v>
      </c>
      <c r="AA14" s="1">
        <v>4</v>
      </c>
      <c r="AC14" s="1">
        <v>1</v>
      </c>
      <c r="AD14" s="1">
        <v>0</v>
      </c>
      <c r="AF14" s="3">
        <v>5000000</v>
      </c>
      <c r="AG14" s="1">
        <v>12</v>
      </c>
      <c r="AS14" s="1" t="s">
        <v>69</v>
      </c>
      <c r="BP14" s="1">
        <v>3</v>
      </c>
      <c r="BQ14" s="1" t="s">
        <v>500</v>
      </c>
      <c r="BR14" s="1" t="s">
        <v>514</v>
      </c>
      <c r="BS14" s="1" t="s">
        <v>515</v>
      </c>
      <c r="BT14" s="1" t="s">
        <v>73</v>
      </c>
      <c r="BU14" s="1">
        <v>4</v>
      </c>
      <c r="BV14" s="1">
        <v>2</v>
      </c>
      <c r="BW14" s="1">
        <v>0</v>
      </c>
      <c r="BX14" s="1">
        <v>1</v>
      </c>
      <c r="BY14" s="1">
        <v>0</v>
      </c>
      <c r="BZ14" s="1">
        <v>0</v>
      </c>
      <c r="CA14" s="1">
        <v>0</v>
      </c>
      <c r="CB14" s="1">
        <v>1</v>
      </c>
      <c r="CC14" s="1">
        <v>0</v>
      </c>
      <c r="CD14" s="1">
        <v>0</v>
      </c>
      <c r="CE14" s="1">
        <v>0</v>
      </c>
      <c r="CF14" s="1">
        <v>0</v>
      </c>
      <c r="CG14" s="1">
        <v>0</v>
      </c>
      <c r="CH14" s="1">
        <v>0</v>
      </c>
      <c r="CI14" s="1">
        <v>0</v>
      </c>
      <c r="CJ14" s="1">
        <v>4</v>
      </c>
      <c r="CK14" s="1">
        <v>4</v>
      </c>
      <c r="CL14" s="1">
        <v>4</v>
      </c>
      <c r="CM14" s="1">
        <v>4</v>
      </c>
      <c r="CN14" s="1">
        <v>4</v>
      </c>
      <c r="CO14" s="1">
        <v>4</v>
      </c>
      <c r="CP14" s="1">
        <v>4</v>
      </c>
      <c r="CU14" s="1">
        <v>1</v>
      </c>
    </row>
    <row r="15" spans="1:99" x14ac:dyDescent="0.35">
      <c r="A15" s="1" t="s">
        <v>516</v>
      </c>
      <c r="B15" s="1">
        <v>185211030</v>
      </c>
      <c r="C15" s="1">
        <v>0</v>
      </c>
      <c r="D15" s="1">
        <v>1</v>
      </c>
      <c r="E15" s="1">
        <v>0</v>
      </c>
      <c r="F15" s="1">
        <v>0</v>
      </c>
      <c r="G15" s="1">
        <v>0</v>
      </c>
      <c r="H15" s="1">
        <v>0</v>
      </c>
      <c r="I15" s="1">
        <v>0</v>
      </c>
      <c r="J15" s="1">
        <v>0</v>
      </c>
      <c r="K15" s="1">
        <v>1</v>
      </c>
      <c r="L15" s="1">
        <v>0</v>
      </c>
      <c r="M15" s="1">
        <v>0</v>
      </c>
      <c r="N15" s="1">
        <v>0</v>
      </c>
      <c r="O15" s="1">
        <v>0</v>
      </c>
      <c r="P15" s="1">
        <v>20</v>
      </c>
      <c r="Q15" s="1">
        <v>2</v>
      </c>
      <c r="R15" s="1">
        <v>1</v>
      </c>
      <c r="S15" s="1">
        <v>1</v>
      </c>
      <c r="T15" s="1">
        <v>1</v>
      </c>
      <c r="U15" s="1">
        <v>4</v>
      </c>
      <c r="V15" s="1">
        <v>3</v>
      </c>
      <c r="W15" s="1">
        <v>3</v>
      </c>
      <c r="X15" s="1">
        <v>3</v>
      </c>
      <c r="Y15" s="1">
        <v>3</v>
      </c>
      <c r="Z15" s="1">
        <v>4</v>
      </c>
      <c r="AA15" s="1">
        <v>4</v>
      </c>
      <c r="AC15" s="1">
        <v>1</v>
      </c>
      <c r="AD15" s="1">
        <v>2</v>
      </c>
      <c r="AE15" s="1">
        <v>2</v>
      </c>
      <c r="AF15" s="3">
        <v>3200000</v>
      </c>
      <c r="AG15" s="1">
        <v>13</v>
      </c>
      <c r="AT15" s="1" t="s">
        <v>387</v>
      </c>
      <c r="BP15" s="1">
        <v>3</v>
      </c>
      <c r="BQ15" s="1" t="s">
        <v>517</v>
      </c>
      <c r="BR15" s="1" t="s">
        <v>518</v>
      </c>
      <c r="BS15" s="1" t="s">
        <v>519</v>
      </c>
      <c r="BT15" s="1" t="s">
        <v>79</v>
      </c>
      <c r="BU15" s="1">
        <v>1</v>
      </c>
      <c r="BV15" s="1">
        <v>2</v>
      </c>
      <c r="BW15" s="1">
        <v>1</v>
      </c>
      <c r="BX15" s="1">
        <v>0</v>
      </c>
      <c r="BY15" s="1">
        <v>0</v>
      </c>
      <c r="BZ15" s="1">
        <v>0</v>
      </c>
      <c r="CA15" s="1">
        <v>0</v>
      </c>
      <c r="CB15" s="1">
        <v>0</v>
      </c>
      <c r="CC15" s="1">
        <v>0</v>
      </c>
      <c r="CD15" s="1">
        <v>0</v>
      </c>
      <c r="CE15" s="1">
        <v>0</v>
      </c>
      <c r="CF15" s="1">
        <v>0</v>
      </c>
      <c r="CG15" s="1">
        <v>0</v>
      </c>
      <c r="CH15" s="1">
        <v>0</v>
      </c>
      <c r="CI15" s="1">
        <v>0</v>
      </c>
      <c r="CJ15" s="1">
        <v>4</v>
      </c>
      <c r="CK15" s="1">
        <v>4</v>
      </c>
      <c r="CL15" s="1">
        <v>4</v>
      </c>
      <c r="CM15" s="1">
        <v>4</v>
      </c>
      <c r="CN15" s="1">
        <v>4</v>
      </c>
      <c r="CO15" s="1">
        <v>4</v>
      </c>
      <c r="CP15" s="1">
        <v>4</v>
      </c>
      <c r="CU15" s="1">
        <v>3</v>
      </c>
    </row>
    <row r="16" spans="1:99" x14ac:dyDescent="0.35">
      <c r="A16" s="1" t="s">
        <v>520</v>
      </c>
      <c r="B16" s="1">
        <v>185211031</v>
      </c>
      <c r="C16" s="1">
        <v>0</v>
      </c>
      <c r="D16" s="1">
        <v>1</v>
      </c>
      <c r="E16" s="1">
        <v>1</v>
      </c>
      <c r="F16" s="1">
        <v>0</v>
      </c>
      <c r="G16" s="1">
        <v>0</v>
      </c>
      <c r="H16" s="1">
        <v>1</v>
      </c>
      <c r="I16" s="1">
        <v>1</v>
      </c>
      <c r="J16" s="1">
        <v>0</v>
      </c>
      <c r="K16" s="1">
        <v>1</v>
      </c>
      <c r="L16" s="1">
        <v>0</v>
      </c>
      <c r="M16" s="1">
        <v>0</v>
      </c>
      <c r="N16" s="1">
        <v>0</v>
      </c>
      <c r="O16" s="1">
        <v>0</v>
      </c>
      <c r="P16" s="1">
        <v>37</v>
      </c>
      <c r="Q16" s="1">
        <v>18</v>
      </c>
      <c r="R16" s="1">
        <v>8</v>
      </c>
      <c r="S16" s="1">
        <v>1</v>
      </c>
      <c r="T16" s="1">
        <v>1</v>
      </c>
      <c r="U16" s="1">
        <v>4</v>
      </c>
      <c r="V16" s="1">
        <v>3</v>
      </c>
      <c r="W16" s="1">
        <v>3</v>
      </c>
      <c r="X16" s="1">
        <v>4</v>
      </c>
      <c r="Y16" s="1">
        <v>4</v>
      </c>
      <c r="Z16" s="1">
        <v>4</v>
      </c>
      <c r="AA16" s="1">
        <v>4</v>
      </c>
      <c r="AC16" s="1">
        <v>1</v>
      </c>
      <c r="AD16" s="1">
        <v>2</v>
      </c>
      <c r="AF16" s="3">
        <v>3300000</v>
      </c>
      <c r="AG16" s="1">
        <v>11</v>
      </c>
      <c r="AR16" s="1" t="s">
        <v>130</v>
      </c>
      <c r="BP16" s="1">
        <v>3</v>
      </c>
      <c r="BQ16" s="1" t="s">
        <v>517</v>
      </c>
      <c r="BR16" s="1" t="s">
        <v>521</v>
      </c>
      <c r="BS16" s="1" t="s">
        <v>522</v>
      </c>
      <c r="BT16" s="1" t="s">
        <v>79</v>
      </c>
      <c r="BU16" s="1">
        <v>2</v>
      </c>
      <c r="BV16" s="1">
        <v>2</v>
      </c>
      <c r="BW16" s="1">
        <v>1</v>
      </c>
      <c r="BX16" s="1">
        <v>0</v>
      </c>
      <c r="BY16" s="1">
        <v>0</v>
      </c>
      <c r="BZ16" s="1">
        <v>0</v>
      </c>
      <c r="CA16" s="1">
        <v>0</v>
      </c>
      <c r="CB16" s="1">
        <v>0</v>
      </c>
      <c r="CC16" s="1">
        <v>0</v>
      </c>
      <c r="CD16" s="1">
        <v>0</v>
      </c>
      <c r="CE16" s="1">
        <v>0</v>
      </c>
      <c r="CF16" s="1">
        <v>0</v>
      </c>
      <c r="CG16" s="1">
        <v>0</v>
      </c>
      <c r="CH16" s="1">
        <v>0</v>
      </c>
      <c r="CI16" s="1">
        <v>0</v>
      </c>
      <c r="CJ16" s="1">
        <v>4</v>
      </c>
      <c r="CK16" s="1">
        <v>4</v>
      </c>
      <c r="CL16" s="1">
        <v>4</v>
      </c>
      <c r="CM16" s="1">
        <v>4</v>
      </c>
      <c r="CN16" s="1">
        <v>4</v>
      </c>
      <c r="CO16" s="1">
        <v>4</v>
      </c>
      <c r="CP16" s="1">
        <v>4</v>
      </c>
      <c r="CU16" s="1">
        <v>1</v>
      </c>
    </row>
    <row r="17" spans="1:99" x14ac:dyDescent="0.35">
      <c r="A17" s="1" t="s">
        <v>635</v>
      </c>
      <c r="B17" s="1">
        <v>185211001</v>
      </c>
      <c r="C17" s="1">
        <v>0</v>
      </c>
      <c r="D17" s="1">
        <v>1</v>
      </c>
      <c r="E17" s="1">
        <v>0</v>
      </c>
      <c r="F17" s="1">
        <v>0</v>
      </c>
      <c r="G17" s="1">
        <v>0</v>
      </c>
      <c r="H17" s="1">
        <v>1</v>
      </c>
      <c r="I17" s="1">
        <v>0</v>
      </c>
      <c r="J17" s="1">
        <v>0</v>
      </c>
      <c r="K17" s="1">
        <v>0</v>
      </c>
      <c r="L17" s="1">
        <v>0</v>
      </c>
      <c r="M17" s="1">
        <v>0</v>
      </c>
      <c r="N17" s="1">
        <v>0</v>
      </c>
      <c r="O17" s="1">
        <v>0</v>
      </c>
      <c r="P17" s="1">
        <v>50</v>
      </c>
      <c r="Q17" s="1">
        <v>15</v>
      </c>
      <c r="R17" s="1">
        <v>6</v>
      </c>
      <c r="S17" s="1">
        <v>1</v>
      </c>
      <c r="T17" s="1">
        <v>1</v>
      </c>
      <c r="U17" s="1">
        <v>4</v>
      </c>
      <c r="V17" s="1">
        <v>4</v>
      </c>
      <c r="W17" s="1">
        <v>3</v>
      </c>
      <c r="X17" s="1">
        <v>3</v>
      </c>
      <c r="Y17" s="1">
        <v>3</v>
      </c>
      <c r="Z17" s="1">
        <v>4</v>
      </c>
      <c r="AA17" s="1">
        <v>3</v>
      </c>
      <c r="AC17" s="1">
        <v>1</v>
      </c>
      <c r="AD17" s="1">
        <v>5</v>
      </c>
      <c r="AF17" s="3">
        <v>3650000</v>
      </c>
      <c r="AG17" s="1">
        <v>13</v>
      </c>
      <c r="AT17" s="1" t="s">
        <v>93</v>
      </c>
      <c r="BP17" s="1">
        <v>3</v>
      </c>
      <c r="BQ17" s="1" t="s">
        <v>636</v>
      </c>
      <c r="BR17" s="1" t="s">
        <v>637</v>
      </c>
      <c r="BS17" s="1" t="s">
        <v>638</v>
      </c>
      <c r="BT17" s="1" t="s">
        <v>79</v>
      </c>
      <c r="BU17" s="1">
        <v>1</v>
      </c>
      <c r="BV17" s="1">
        <v>2</v>
      </c>
      <c r="BW17" s="1">
        <v>1</v>
      </c>
      <c r="BX17" s="1">
        <v>0</v>
      </c>
      <c r="BY17" s="1">
        <v>0</v>
      </c>
      <c r="BZ17" s="1">
        <v>0</v>
      </c>
      <c r="CA17" s="1">
        <v>0</v>
      </c>
      <c r="CB17" s="1">
        <v>0</v>
      </c>
      <c r="CC17" s="1">
        <v>0</v>
      </c>
      <c r="CD17" s="1">
        <v>0</v>
      </c>
      <c r="CE17" s="1">
        <v>0</v>
      </c>
      <c r="CF17" s="1">
        <v>0</v>
      </c>
      <c r="CG17" s="1">
        <v>0</v>
      </c>
      <c r="CH17" s="1">
        <v>0</v>
      </c>
      <c r="CI17" s="1">
        <v>0</v>
      </c>
      <c r="CJ17" s="1">
        <v>4</v>
      </c>
      <c r="CK17" s="1">
        <v>4</v>
      </c>
      <c r="CL17" s="1">
        <v>2</v>
      </c>
      <c r="CM17" s="1">
        <v>2</v>
      </c>
      <c r="CN17" s="1">
        <v>3</v>
      </c>
      <c r="CO17" s="1">
        <v>3</v>
      </c>
      <c r="CP17" s="1">
        <v>3</v>
      </c>
      <c r="CU17" s="1">
        <v>1</v>
      </c>
    </row>
    <row r="18" spans="1:99" x14ac:dyDescent="0.35">
      <c r="A18" s="1" t="s">
        <v>639</v>
      </c>
      <c r="B18" s="1">
        <v>185211002</v>
      </c>
      <c r="C18" s="1">
        <v>0</v>
      </c>
      <c r="D18" s="1">
        <v>0</v>
      </c>
      <c r="E18" s="1">
        <v>0</v>
      </c>
      <c r="F18" s="1">
        <v>0</v>
      </c>
      <c r="G18" s="1">
        <v>0</v>
      </c>
      <c r="H18" s="1">
        <v>0</v>
      </c>
      <c r="I18" s="1">
        <v>0</v>
      </c>
      <c r="J18" s="1">
        <v>0</v>
      </c>
      <c r="K18" s="1">
        <v>1</v>
      </c>
      <c r="L18" s="1">
        <v>0</v>
      </c>
      <c r="M18" s="1">
        <v>0</v>
      </c>
      <c r="N18" s="1">
        <v>0</v>
      </c>
      <c r="O18" s="1">
        <v>0</v>
      </c>
      <c r="P18" s="1">
        <v>15</v>
      </c>
      <c r="Q18" s="1">
        <v>7</v>
      </c>
      <c r="R18" s="1">
        <v>7</v>
      </c>
      <c r="S18" s="1">
        <v>3</v>
      </c>
      <c r="T18" s="1">
        <v>1</v>
      </c>
      <c r="U18" s="1">
        <v>4</v>
      </c>
      <c r="V18" s="1">
        <v>3</v>
      </c>
      <c r="W18" s="1">
        <v>3</v>
      </c>
      <c r="X18" s="1">
        <v>3</v>
      </c>
      <c r="Y18" s="1">
        <v>3</v>
      </c>
      <c r="Z18" s="1">
        <v>4</v>
      </c>
      <c r="AA18" s="1">
        <v>4</v>
      </c>
      <c r="AB18" s="1">
        <v>1</v>
      </c>
      <c r="AC18" s="1">
        <v>2</v>
      </c>
      <c r="AE18" s="1">
        <v>5</v>
      </c>
      <c r="AF18" s="3">
        <v>3300000</v>
      </c>
      <c r="AG18" s="1">
        <v>13</v>
      </c>
      <c r="AT18" s="1" t="s">
        <v>86</v>
      </c>
      <c r="BP18" s="1">
        <v>4</v>
      </c>
      <c r="BQ18" s="1" t="s">
        <v>640</v>
      </c>
      <c r="BT18" s="1" t="s">
        <v>107</v>
      </c>
      <c r="BU18" s="1">
        <v>3</v>
      </c>
      <c r="BV18" s="1">
        <v>4</v>
      </c>
      <c r="BW18" s="1">
        <v>0</v>
      </c>
      <c r="BX18" s="1">
        <v>0</v>
      </c>
      <c r="BY18" s="1">
        <v>0</v>
      </c>
      <c r="BZ18" s="1">
        <v>0</v>
      </c>
      <c r="CA18" s="1">
        <v>0</v>
      </c>
      <c r="CB18" s="1">
        <v>0</v>
      </c>
      <c r="CC18" s="1">
        <v>0</v>
      </c>
      <c r="CD18" s="1">
        <v>0</v>
      </c>
      <c r="CE18" s="1">
        <v>1</v>
      </c>
      <c r="CF18" s="1">
        <v>0</v>
      </c>
      <c r="CG18" s="1">
        <v>0</v>
      </c>
      <c r="CH18" s="1">
        <v>0</v>
      </c>
      <c r="CI18" s="1">
        <v>0</v>
      </c>
      <c r="CJ18" s="1">
        <v>4</v>
      </c>
      <c r="CK18" s="1">
        <v>3</v>
      </c>
      <c r="CL18" s="1">
        <v>4</v>
      </c>
      <c r="CM18" s="1">
        <v>3</v>
      </c>
      <c r="CN18" s="1">
        <v>3</v>
      </c>
      <c r="CO18" s="1">
        <v>4</v>
      </c>
      <c r="CP18" s="1">
        <v>4</v>
      </c>
      <c r="CU18" s="1">
        <v>2</v>
      </c>
    </row>
    <row r="19" spans="1:99" x14ac:dyDescent="0.35">
      <c r="A19" s="1" t="s">
        <v>641</v>
      </c>
      <c r="B19" s="1">
        <v>185211003</v>
      </c>
      <c r="C19" s="1">
        <v>0</v>
      </c>
      <c r="D19" s="1">
        <v>0</v>
      </c>
      <c r="E19" s="1">
        <v>0</v>
      </c>
      <c r="F19" s="1">
        <v>0</v>
      </c>
      <c r="G19" s="1">
        <v>0</v>
      </c>
      <c r="H19" s="1">
        <v>0</v>
      </c>
      <c r="I19" s="1">
        <v>0</v>
      </c>
      <c r="J19" s="1">
        <v>0</v>
      </c>
      <c r="K19" s="1">
        <v>0</v>
      </c>
      <c r="L19" s="1">
        <v>0</v>
      </c>
      <c r="M19" s="1">
        <v>1</v>
      </c>
      <c r="N19" s="1">
        <v>0</v>
      </c>
      <c r="O19" s="1">
        <v>0</v>
      </c>
      <c r="P19" s="1" t="s">
        <v>642</v>
      </c>
      <c r="Q19" s="1" t="s">
        <v>643</v>
      </c>
      <c r="R19" s="1" t="s">
        <v>644</v>
      </c>
      <c r="S19" s="1">
        <v>1</v>
      </c>
      <c r="T19" s="1">
        <v>1</v>
      </c>
      <c r="U19" s="1">
        <v>4</v>
      </c>
      <c r="V19" s="1">
        <v>3</v>
      </c>
      <c r="W19" s="1">
        <v>2</v>
      </c>
      <c r="X19" s="1">
        <v>4</v>
      </c>
      <c r="Y19" s="1">
        <v>3</v>
      </c>
      <c r="Z19" s="1">
        <v>3</v>
      </c>
      <c r="AA19" s="1">
        <v>3</v>
      </c>
      <c r="AC19" s="1">
        <v>1</v>
      </c>
      <c r="AD19" s="1">
        <v>5</v>
      </c>
      <c r="AE19" s="1">
        <v>5</v>
      </c>
      <c r="AF19" s="3">
        <v>2500000</v>
      </c>
      <c r="AG19" s="1">
        <v>13</v>
      </c>
      <c r="AT19" s="1" t="s">
        <v>427</v>
      </c>
      <c r="BP19" s="1">
        <v>3</v>
      </c>
      <c r="BQ19" s="1" t="s">
        <v>645</v>
      </c>
      <c r="BT19" s="1" t="s">
        <v>107</v>
      </c>
      <c r="BU19" s="1">
        <v>4</v>
      </c>
      <c r="BV19" s="1">
        <v>2</v>
      </c>
      <c r="BW19" s="1">
        <v>0</v>
      </c>
      <c r="BX19" s="1">
        <v>0</v>
      </c>
      <c r="BY19" s="1">
        <v>0</v>
      </c>
      <c r="BZ19" s="1">
        <v>1</v>
      </c>
      <c r="CA19" s="1">
        <v>0</v>
      </c>
      <c r="CB19" s="1">
        <v>0</v>
      </c>
      <c r="CC19" s="1">
        <v>0</v>
      </c>
      <c r="CD19" s="1">
        <v>1</v>
      </c>
      <c r="CE19" s="1">
        <v>0</v>
      </c>
      <c r="CF19" s="1">
        <v>0</v>
      </c>
      <c r="CG19" s="1">
        <v>0</v>
      </c>
      <c r="CH19" s="1">
        <v>0</v>
      </c>
      <c r="CI19" s="1">
        <v>0</v>
      </c>
      <c r="CJ19" s="1">
        <v>4</v>
      </c>
      <c r="CK19" s="1">
        <v>3</v>
      </c>
      <c r="CL19" s="1">
        <v>1</v>
      </c>
      <c r="CM19" s="1">
        <v>4</v>
      </c>
      <c r="CN19" s="1">
        <v>4</v>
      </c>
      <c r="CO19" s="1">
        <v>4</v>
      </c>
      <c r="CP19" s="1">
        <v>4</v>
      </c>
      <c r="CU19" s="1">
        <v>1</v>
      </c>
    </row>
    <row r="20" spans="1:99" x14ac:dyDescent="0.35">
      <c r="A20" s="1" t="s">
        <v>646</v>
      </c>
      <c r="B20" s="1">
        <v>185211004</v>
      </c>
      <c r="C20" s="1">
        <v>0</v>
      </c>
      <c r="D20" s="1">
        <v>1</v>
      </c>
      <c r="E20" s="1">
        <v>0</v>
      </c>
      <c r="F20" s="1">
        <v>0</v>
      </c>
      <c r="G20" s="1">
        <v>0</v>
      </c>
      <c r="H20" s="1">
        <v>0</v>
      </c>
      <c r="I20" s="1">
        <v>0</v>
      </c>
      <c r="J20" s="1">
        <v>0</v>
      </c>
      <c r="K20" s="1">
        <v>0</v>
      </c>
      <c r="L20" s="1">
        <v>0</v>
      </c>
      <c r="M20" s="1">
        <v>0</v>
      </c>
      <c r="N20" s="1">
        <v>0</v>
      </c>
      <c r="O20" s="1">
        <v>0</v>
      </c>
      <c r="P20" s="1">
        <v>10</v>
      </c>
      <c r="Q20" s="1">
        <v>5</v>
      </c>
      <c r="R20" s="1">
        <v>5</v>
      </c>
      <c r="S20" s="1">
        <v>1</v>
      </c>
      <c r="T20" s="1">
        <v>1</v>
      </c>
      <c r="U20" s="1">
        <v>4</v>
      </c>
      <c r="V20" s="1">
        <v>4</v>
      </c>
      <c r="W20" s="1">
        <v>4</v>
      </c>
      <c r="X20" s="1">
        <v>4</v>
      </c>
      <c r="Y20" s="1">
        <v>4</v>
      </c>
      <c r="Z20" s="1">
        <v>3</v>
      </c>
      <c r="AA20" s="1">
        <v>4</v>
      </c>
      <c r="AC20" s="1">
        <v>1</v>
      </c>
      <c r="AD20" s="1">
        <v>3</v>
      </c>
      <c r="AE20" s="1">
        <v>3</v>
      </c>
      <c r="AF20" s="3">
        <v>4000000</v>
      </c>
      <c r="AG20" s="1">
        <v>13</v>
      </c>
      <c r="AT20" s="1" t="s">
        <v>427</v>
      </c>
      <c r="BP20" s="1">
        <v>3</v>
      </c>
      <c r="BQ20" s="1" t="s">
        <v>647</v>
      </c>
      <c r="BR20" s="1" t="s">
        <v>648</v>
      </c>
      <c r="BT20" s="1" t="s">
        <v>79</v>
      </c>
      <c r="BU20" s="1">
        <v>1</v>
      </c>
      <c r="BV20" s="1">
        <v>2</v>
      </c>
      <c r="BW20" s="1">
        <v>0</v>
      </c>
      <c r="BX20" s="1">
        <v>0</v>
      </c>
      <c r="BY20" s="1">
        <v>0</v>
      </c>
      <c r="BZ20" s="1">
        <v>0</v>
      </c>
      <c r="CA20" s="1">
        <v>0</v>
      </c>
      <c r="CB20" s="1">
        <v>1</v>
      </c>
      <c r="CC20" s="1">
        <v>1</v>
      </c>
      <c r="CD20" s="1">
        <v>1</v>
      </c>
      <c r="CE20" s="1">
        <v>0</v>
      </c>
      <c r="CF20" s="1">
        <v>0</v>
      </c>
      <c r="CG20" s="1">
        <v>0</v>
      </c>
      <c r="CH20" s="1">
        <v>0</v>
      </c>
      <c r="CI20" s="1">
        <v>0</v>
      </c>
      <c r="CJ20" s="1">
        <v>4</v>
      </c>
      <c r="CK20" s="1">
        <v>4</v>
      </c>
      <c r="CL20" s="1">
        <v>4</v>
      </c>
      <c r="CM20" s="1">
        <v>4</v>
      </c>
      <c r="CN20" s="1">
        <v>4</v>
      </c>
      <c r="CO20" s="1">
        <v>4</v>
      </c>
      <c r="CP20" s="1">
        <v>4</v>
      </c>
      <c r="CU20" s="1">
        <v>1</v>
      </c>
    </row>
    <row r="21" spans="1:99" x14ac:dyDescent="0.35">
      <c r="A21" s="1" t="s">
        <v>649</v>
      </c>
      <c r="B21" s="1">
        <v>185211005</v>
      </c>
      <c r="C21" s="1">
        <v>0</v>
      </c>
      <c r="D21" s="1">
        <v>1</v>
      </c>
      <c r="E21" s="1">
        <v>0</v>
      </c>
      <c r="F21" s="1">
        <v>0</v>
      </c>
      <c r="G21" s="1">
        <v>0</v>
      </c>
      <c r="H21" s="1">
        <v>0</v>
      </c>
      <c r="I21" s="1">
        <v>0</v>
      </c>
      <c r="J21" s="1">
        <v>0</v>
      </c>
      <c r="K21" s="1">
        <v>0</v>
      </c>
      <c r="L21" s="1">
        <v>0</v>
      </c>
      <c r="M21" s="1">
        <v>0</v>
      </c>
      <c r="N21" s="1">
        <v>0</v>
      </c>
      <c r="O21" s="1">
        <v>0</v>
      </c>
      <c r="P21" s="1" t="s">
        <v>504</v>
      </c>
      <c r="Q21" s="1" t="s">
        <v>650</v>
      </c>
      <c r="R21" s="1" t="s">
        <v>651</v>
      </c>
      <c r="S21" s="1">
        <v>1</v>
      </c>
      <c r="T21" s="1">
        <v>2</v>
      </c>
      <c r="U21" s="1">
        <v>4</v>
      </c>
      <c r="V21" s="1">
        <v>2</v>
      </c>
      <c r="W21" s="1">
        <v>1</v>
      </c>
      <c r="X21" s="1">
        <v>3</v>
      </c>
      <c r="Y21" s="1">
        <v>4</v>
      </c>
      <c r="Z21" s="1">
        <v>4</v>
      </c>
      <c r="AA21" s="1">
        <v>4</v>
      </c>
      <c r="AC21" s="1">
        <v>2</v>
      </c>
      <c r="AE21" s="1">
        <v>2</v>
      </c>
      <c r="AF21" s="3">
        <v>1800000</v>
      </c>
      <c r="AG21" s="1">
        <v>13</v>
      </c>
      <c r="AT21" s="1" t="s">
        <v>86</v>
      </c>
      <c r="BQ21" s="1" t="s">
        <v>652</v>
      </c>
      <c r="BR21" s="1" t="s">
        <v>653</v>
      </c>
      <c r="BT21" s="1" t="s">
        <v>107</v>
      </c>
      <c r="BU21" s="1">
        <v>3</v>
      </c>
      <c r="BV21" s="1">
        <v>4</v>
      </c>
      <c r="BW21" s="1">
        <v>0</v>
      </c>
      <c r="BX21" s="1">
        <v>1</v>
      </c>
      <c r="BY21" s="1">
        <v>0</v>
      </c>
      <c r="BZ21" s="1">
        <v>0</v>
      </c>
      <c r="CA21" s="1">
        <v>0</v>
      </c>
      <c r="CB21" s="1">
        <v>0</v>
      </c>
      <c r="CC21" s="1">
        <v>0</v>
      </c>
      <c r="CD21" s="1">
        <v>0</v>
      </c>
      <c r="CE21" s="1">
        <v>0</v>
      </c>
      <c r="CF21" s="1">
        <v>0</v>
      </c>
      <c r="CG21" s="1">
        <v>0</v>
      </c>
      <c r="CH21" s="1">
        <v>0</v>
      </c>
      <c r="CI21" s="1">
        <v>0</v>
      </c>
      <c r="CJ21" s="1">
        <v>4</v>
      </c>
      <c r="CK21" s="1">
        <v>3</v>
      </c>
      <c r="CL21" s="1">
        <v>1</v>
      </c>
      <c r="CM21" s="1">
        <v>3</v>
      </c>
      <c r="CN21" s="1">
        <v>4</v>
      </c>
      <c r="CO21" s="1">
        <v>4</v>
      </c>
      <c r="CP21" s="1">
        <v>4</v>
      </c>
      <c r="CU21" s="1">
        <v>4</v>
      </c>
    </row>
    <row r="22" spans="1:99" x14ac:dyDescent="0.35">
      <c r="A22" s="1" t="s">
        <v>654</v>
      </c>
      <c r="B22" s="1">
        <v>185211006</v>
      </c>
      <c r="C22" s="1">
        <v>0</v>
      </c>
      <c r="D22" s="1">
        <v>1</v>
      </c>
      <c r="E22" s="1">
        <v>0</v>
      </c>
      <c r="F22" s="1">
        <v>0</v>
      </c>
      <c r="G22" s="1">
        <v>0</v>
      </c>
      <c r="H22" s="1">
        <v>0</v>
      </c>
      <c r="I22" s="1">
        <v>0</v>
      </c>
      <c r="J22" s="1">
        <v>0</v>
      </c>
      <c r="K22" s="1">
        <v>0</v>
      </c>
      <c r="L22" s="1">
        <v>0</v>
      </c>
      <c r="M22" s="1">
        <v>0</v>
      </c>
      <c r="N22" s="1">
        <v>0</v>
      </c>
      <c r="O22" s="1">
        <v>0</v>
      </c>
      <c r="P22" s="1">
        <v>20</v>
      </c>
      <c r="Q22" s="1">
        <v>8</v>
      </c>
      <c r="R22" s="1">
        <v>5</v>
      </c>
    </row>
    <row r="23" spans="1:99" x14ac:dyDescent="0.35">
      <c r="A23" s="1" t="s">
        <v>655</v>
      </c>
      <c r="B23" s="1">
        <v>185211007</v>
      </c>
      <c r="C23" s="1">
        <v>0</v>
      </c>
      <c r="D23" s="1">
        <v>1</v>
      </c>
      <c r="E23" s="1">
        <v>0</v>
      </c>
      <c r="F23" s="1">
        <v>0</v>
      </c>
      <c r="G23" s="1">
        <v>0</v>
      </c>
      <c r="H23" s="1">
        <v>0</v>
      </c>
      <c r="I23" s="1">
        <v>0</v>
      </c>
      <c r="J23" s="1">
        <v>0</v>
      </c>
      <c r="K23" s="1">
        <v>0</v>
      </c>
      <c r="L23" s="1">
        <v>0</v>
      </c>
      <c r="M23" s="1">
        <v>0</v>
      </c>
      <c r="N23" s="1">
        <v>0</v>
      </c>
      <c r="O23" s="1">
        <v>0</v>
      </c>
      <c r="P23" s="1" t="s">
        <v>289</v>
      </c>
      <c r="Q23" s="1" t="s">
        <v>186</v>
      </c>
      <c r="R23" s="7">
        <v>42278</v>
      </c>
      <c r="S23" s="1">
        <v>5</v>
      </c>
      <c r="T23" s="1">
        <v>1</v>
      </c>
      <c r="U23" s="1">
        <v>4</v>
      </c>
      <c r="V23" s="1">
        <v>4</v>
      </c>
      <c r="W23" s="1">
        <v>3</v>
      </c>
      <c r="X23" s="1">
        <v>3</v>
      </c>
      <c r="Y23" s="1">
        <v>4</v>
      </c>
      <c r="Z23" s="1">
        <v>4</v>
      </c>
      <c r="AA23" s="1">
        <v>3</v>
      </c>
      <c r="CU23" s="1">
        <v>4</v>
      </c>
    </row>
    <row r="24" spans="1:99" x14ac:dyDescent="0.35">
      <c r="A24" s="1" t="s">
        <v>656</v>
      </c>
      <c r="B24" s="1">
        <v>185211008</v>
      </c>
      <c r="C24" s="1">
        <v>1</v>
      </c>
      <c r="D24" s="1">
        <v>1</v>
      </c>
      <c r="E24" s="1">
        <v>0</v>
      </c>
      <c r="F24" s="1">
        <v>0</v>
      </c>
      <c r="G24" s="1">
        <v>0</v>
      </c>
      <c r="H24" s="1">
        <v>0</v>
      </c>
      <c r="I24" s="1">
        <v>0</v>
      </c>
      <c r="J24" s="1">
        <v>0</v>
      </c>
      <c r="K24" s="1">
        <v>0</v>
      </c>
      <c r="L24" s="1">
        <v>0</v>
      </c>
      <c r="M24" s="1">
        <v>0</v>
      </c>
      <c r="N24" s="1">
        <v>0</v>
      </c>
      <c r="O24" s="1">
        <v>0</v>
      </c>
      <c r="P24" s="1">
        <v>100</v>
      </c>
      <c r="Q24" s="1">
        <v>50</v>
      </c>
      <c r="R24" s="1">
        <v>25</v>
      </c>
      <c r="S24" s="1">
        <v>1</v>
      </c>
      <c r="T24" s="1">
        <v>1</v>
      </c>
      <c r="U24" s="1">
        <v>4</v>
      </c>
      <c r="V24" s="1">
        <v>4</v>
      </c>
      <c r="W24" s="1">
        <v>3</v>
      </c>
      <c r="X24" s="1">
        <v>4</v>
      </c>
      <c r="Y24" s="1">
        <v>4</v>
      </c>
      <c r="Z24" s="1">
        <v>4</v>
      </c>
      <c r="AA24" s="1">
        <v>4</v>
      </c>
      <c r="AC24" s="1">
        <v>2</v>
      </c>
      <c r="AE24" s="1">
        <v>5</v>
      </c>
      <c r="AF24" s="3">
        <v>3500000</v>
      </c>
      <c r="AG24" s="1">
        <v>13</v>
      </c>
      <c r="AT24" s="1" t="s">
        <v>93</v>
      </c>
      <c r="BP24" s="1">
        <v>3</v>
      </c>
      <c r="BQ24" s="1" t="s">
        <v>657</v>
      </c>
      <c r="BR24" s="1" t="s">
        <v>658</v>
      </c>
      <c r="BT24" s="1" t="s">
        <v>79</v>
      </c>
      <c r="BU24" s="1">
        <v>2</v>
      </c>
      <c r="BV24" s="1">
        <v>1</v>
      </c>
      <c r="BW24" s="1">
        <v>1</v>
      </c>
      <c r="BX24" s="1">
        <v>0</v>
      </c>
      <c r="BY24" s="1">
        <v>0</v>
      </c>
      <c r="BZ24" s="1">
        <v>0</v>
      </c>
      <c r="CA24" s="1">
        <v>0</v>
      </c>
      <c r="CB24" s="1">
        <v>0</v>
      </c>
      <c r="CC24" s="1">
        <v>0</v>
      </c>
      <c r="CD24" s="1">
        <v>1</v>
      </c>
      <c r="CE24" s="1">
        <v>0</v>
      </c>
      <c r="CF24" s="1">
        <v>1</v>
      </c>
      <c r="CG24" s="1">
        <v>1</v>
      </c>
      <c r="CH24" s="1">
        <v>0</v>
      </c>
      <c r="CI24" s="1">
        <v>0</v>
      </c>
      <c r="CJ24" s="1">
        <v>4</v>
      </c>
      <c r="CK24" s="1">
        <v>4</v>
      </c>
      <c r="CL24" s="1">
        <v>4</v>
      </c>
      <c r="CM24" s="1">
        <v>4</v>
      </c>
      <c r="CN24" s="1">
        <v>4</v>
      </c>
      <c r="CO24" s="1">
        <v>4</v>
      </c>
      <c r="CP24" s="1">
        <v>4</v>
      </c>
      <c r="CU24" s="1">
        <v>1</v>
      </c>
    </row>
    <row r="25" spans="1:99" x14ac:dyDescent="0.35">
      <c r="A25" s="1" t="s">
        <v>659</v>
      </c>
      <c r="B25" s="1">
        <v>185211009</v>
      </c>
      <c r="C25" s="1">
        <v>0</v>
      </c>
      <c r="D25" s="1">
        <v>1</v>
      </c>
      <c r="E25" s="1">
        <v>0</v>
      </c>
      <c r="F25" s="1">
        <v>0</v>
      </c>
      <c r="G25" s="1">
        <v>0</v>
      </c>
      <c r="H25" s="1">
        <v>0</v>
      </c>
      <c r="I25" s="1">
        <v>0</v>
      </c>
      <c r="J25" s="1">
        <v>0</v>
      </c>
      <c r="K25" s="1">
        <v>0</v>
      </c>
      <c r="L25" s="1">
        <v>0</v>
      </c>
      <c r="M25" s="1">
        <v>0</v>
      </c>
      <c r="N25" s="1">
        <v>0</v>
      </c>
      <c r="O25" s="1">
        <v>0</v>
      </c>
      <c r="P25" s="1">
        <v>7</v>
      </c>
      <c r="Q25" s="1">
        <v>4</v>
      </c>
      <c r="R25" s="1">
        <v>3</v>
      </c>
      <c r="S25" s="1">
        <v>1</v>
      </c>
      <c r="T25" s="1">
        <v>1</v>
      </c>
      <c r="U25" s="1">
        <v>4</v>
      </c>
      <c r="V25" s="1">
        <v>4</v>
      </c>
      <c r="W25" s="1">
        <v>2</v>
      </c>
      <c r="X25" s="1">
        <v>3</v>
      </c>
      <c r="Y25" s="1">
        <v>3</v>
      </c>
      <c r="Z25" s="1">
        <v>4</v>
      </c>
      <c r="AA25" s="1">
        <v>3</v>
      </c>
      <c r="AC25" s="1">
        <v>2</v>
      </c>
      <c r="AE25" s="1">
        <v>1</v>
      </c>
      <c r="AF25" s="3">
        <v>4000000</v>
      </c>
      <c r="AG25" s="1">
        <v>13</v>
      </c>
      <c r="AT25" s="1" t="s">
        <v>93</v>
      </c>
      <c r="BP25" s="1">
        <v>3</v>
      </c>
      <c r="BQ25" s="1" t="s">
        <v>660</v>
      </c>
      <c r="BR25" s="1" t="s">
        <v>661</v>
      </c>
      <c r="BT25" s="1" t="s">
        <v>79</v>
      </c>
      <c r="BU25" s="1">
        <v>1</v>
      </c>
      <c r="BV25" s="1">
        <v>2</v>
      </c>
      <c r="BW25" s="1">
        <v>1</v>
      </c>
      <c r="BX25" s="1">
        <v>0</v>
      </c>
      <c r="BY25" s="1">
        <v>0</v>
      </c>
      <c r="BZ25" s="1">
        <v>0</v>
      </c>
      <c r="CA25" s="1">
        <v>0</v>
      </c>
      <c r="CB25" s="1">
        <v>0</v>
      </c>
      <c r="CC25" s="1">
        <v>0</v>
      </c>
      <c r="CD25" s="1">
        <v>0</v>
      </c>
      <c r="CE25" s="1">
        <v>0</v>
      </c>
      <c r="CF25" s="1">
        <v>0</v>
      </c>
      <c r="CG25" s="1">
        <v>0</v>
      </c>
      <c r="CH25" s="1">
        <v>0</v>
      </c>
      <c r="CI25" s="1">
        <v>0</v>
      </c>
      <c r="CJ25" s="1">
        <v>4</v>
      </c>
      <c r="CK25" s="1">
        <v>4</v>
      </c>
      <c r="CL25" s="1">
        <v>3</v>
      </c>
      <c r="CM25" s="1">
        <v>3</v>
      </c>
      <c r="CN25" s="1">
        <v>4</v>
      </c>
      <c r="CO25" s="1">
        <v>4</v>
      </c>
      <c r="CP25" s="1">
        <v>4</v>
      </c>
      <c r="CU25" s="1">
        <v>1</v>
      </c>
    </row>
    <row r="26" spans="1:99" x14ac:dyDescent="0.35">
      <c r="A26" s="1" t="s">
        <v>662</v>
      </c>
      <c r="B26" s="1">
        <v>185211010</v>
      </c>
      <c r="C26" s="1">
        <v>0</v>
      </c>
      <c r="D26" s="1">
        <v>1</v>
      </c>
      <c r="E26" s="1">
        <v>0</v>
      </c>
      <c r="F26" s="1">
        <v>0</v>
      </c>
      <c r="G26" s="1">
        <v>0</v>
      </c>
      <c r="H26" s="1">
        <v>0</v>
      </c>
      <c r="I26" s="1">
        <v>0</v>
      </c>
      <c r="J26" s="1">
        <v>0</v>
      </c>
      <c r="K26" s="1">
        <v>1</v>
      </c>
      <c r="L26" s="1">
        <v>0</v>
      </c>
      <c r="M26" s="1">
        <v>0</v>
      </c>
      <c r="N26" s="1">
        <v>0</v>
      </c>
      <c r="O26" s="1">
        <v>0</v>
      </c>
      <c r="P26" s="1">
        <v>50</v>
      </c>
      <c r="Q26" s="1">
        <v>8</v>
      </c>
      <c r="R26" s="1">
        <v>3</v>
      </c>
      <c r="S26" s="1">
        <v>1</v>
      </c>
      <c r="T26" s="1">
        <v>1</v>
      </c>
      <c r="U26" s="1">
        <v>4</v>
      </c>
      <c r="V26" s="1">
        <v>4</v>
      </c>
      <c r="W26" s="1">
        <v>3</v>
      </c>
      <c r="X26" s="1">
        <v>4</v>
      </c>
      <c r="Y26" s="1">
        <v>4</v>
      </c>
      <c r="Z26" s="1">
        <v>4</v>
      </c>
      <c r="AA26" s="1">
        <v>4</v>
      </c>
      <c r="AC26" s="1">
        <v>2</v>
      </c>
      <c r="AE26" s="1">
        <v>2</v>
      </c>
      <c r="AF26" s="3">
        <v>4300000</v>
      </c>
      <c r="AG26" s="1">
        <v>13</v>
      </c>
      <c r="AT26" s="1" t="s">
        <v>86</v>
      </c>
      <c r="BP26" s="1">
        <v>3</v>
      </c>
      <c r="BQ26" s="1" t="s">
        <v>663</v>
      </c>
      <c r="BR26" s="1" t="s">
        <v>664</v>
      </c>
      <c r="BS26" s="1" t="s">
        <v>665</v>
      </c>
      <c r="BT26" s="1" t="s">
        <v>79</v>
      </c>
      <c r="BU26" s="1">
        <v>5</v>
      </c>
      <c r="BV26" s="1">
        <v>3</v>
      </c>
      <c r="BW26" s="1">
        <v>0</v>
      </c>
      <c r="BX26" s="1">
        <v>1</v>
      </c>
      <c r="BY26" s="1">
        <v>0</v>
      </c>
      <c r="BZ26" s="1">
        <v>0</v>
      </c>
      <c r="CA26" s="1">
        <v>0</v>
      </c>
      <c r="CB26" s="1">
        <v>1</v>
      </c>
      <c r="CC26" s="1">
        <v>1</v>
      </c>
      <c r="CD26" s="1">
        <v>1</v>
      </c>
      <c r="CE26" s="1">
        <v>1</v>
      </c>
      <c r="CF26" s="1">
        <v>1</v>
      </c>
      <c r="CG26" s="1">
        <v>1</v>
      </c>
      <c r="CH26" s="1">
        <v>1</v>
      </c>
      <c r="CI26" s="1">
        <v>0</v>
      </c>
      <c r="CJ26" s="1">
        <v>4</v>
      </c>
      <c r="CK26" s="1">
        <v>2</v>
      </c>
      <c r="CL26" s="1">
        <v>2</v>
      </c>
      <c r="CM26" s="1">
        <v>3</v>
      </c>
      <c r="CN26" s="1">
        <v>4</v>
      </c>
      <c r="CO26" s="1">
        <v>4</v>
      </c>
      <c r="CP26" s="1">
        <v>4</v>
      </c>
      <c r="CU26" s="1">
        <v>1</v>
      </c>
    </row>
    <row r="27" spans="1:99" x14ac:dyDescent="0.35">
      <c r="A27" s="1" t="s">
        <v>666</v>
      </c>
      <c r="B27" s="1">
        <v>185211011</v>
      </c>
      <c r="C27" s="1">
        <v>0</v>
      </c>
      <c r="D27" s="1">
        <v>1</v>
      </c>
      <c r="E27" s="1">
        <v>0</v>
      </c>
      <c r="F27" s="1">
        <v>0</v>
      </c>
      <c r="G27" s="1">
        <v>0</v>
      </c>
      <c r="H27" s="1">
        <v>0</v>
      </c>
      <c r="I27" s="1">
        <v>0</v>
      </c>
      <c r="J27" s="1">
        <v>0</v>
      </c>
      <c r="K27" s="1">
        <v>1</v>
      </c>
      <c r="L27" s="1">
        <v>0</v>
      </c>
      <c r="M27" s="1">
        <v>0</v>
      </c>
      <c r="N27" s="1">
        <v>0</v>
      </c>
      <c r="O27" s="1">
        <v>0</v>
      </c>
      <c r="P27" s="1">
        <v>15</v>
      </c>
      <c r="Q27" s="1">
        <v>4</v>
      </c>
      <c r="R27" s="1">
        <v>1</v>
      </c>
      <c r="S27" s="1">
        <v>3</v>
      </c>
      <c r="T27" s="1">
        <v>1</v>
      </c>
      <c r="U27" s="1">
        <v>4</v>
      </c>
      <c r="V27" s="1">
        <v>3</v>
      </c>
      <c r="W27" s="1">
        <v>3</v>
      </c>
      <c r="X27" s="1">
        <v>4</v>
      </c>
      <c r="Y27" s="1">
        <v>4</v>
      </c>
      <c r="Z27" s="1">
        <v>4</v>
      </c>
      <c r="AA27" s="1">
        <v>4</v>
      </c>
      <c r="AB27" s="1">
        <v>3</v>
      </c>
      <c r="AC27" s="1">
        <v>2</v>
      </c>
      <c r="AE27" s="1">
        <v>1</v>
      </c>
      <c r="AF27" s="3">
        <v>3400000</v>
      </c>
      <c r="AG27" s="1">
        <v>13</v>
      </c>
      <c r="AT27" s="1" t="s">
        <v>93</v>
      </c>
      <c r="BP27" s="1">
        <v>3</v>
      </c>
      <c r="BQ27" s="1" t="s">
        <v>667</v>
      </c>
      <c r="BR27" s="1" t="s">
        <v>668</v>
      </c>
      <c r="BS27" s="1" t="s">
        <v>669</v>
      </c>
      <c r="BT27" s="1" t="s">
        <v>79</v>
      </c>
      <c r="BU27" s="1">
        <v>2</v>
      </c>
      <c r="BV27" s="1">
        <v>2</v>
      </c>
      <c r="BW27" s="1">
        <v>1</v>
      </c>
      <c r="BX27" s="1">
        <v>0</v>
      </c>
      <c r="BY27" s="1">
        <v>0</v>
      </c>
      <c r="BZ27" s="1">
        <v>0</v>
      </c>
      <c r="CA27" s="1">
        <v>0</v>
      </c>
      <c r="CB27" s="1">
        <v>0</v>
      </c>
      <c r="CC27" s="1">
        <v>0</v>
      </c>
      <c r="CD27" s="1">
        <v>0</v>
      </c>
      <c r="CE27" s="1">
        <v>0</v>
      </c>
      <c r="CF27" s="1">
        <v>0</v>
      </c>
      <c r="CG27" s="1">
        <v>0</v>
      </c>
      <c r="CH27" s="1">
        <v>0</v>
      </c>
      <c r="CI27" s="1">
        <v>0</v>
      </c>
      <c r="CJ27" s="1">
        <v>4</v>
      </c>
      <c r="CK27" s="1">
        <v>3</v>
      </c>
      <c r="CL27" s="1">
        <v>4</v>
      </c>
      <c r="CM27" s="1">
        <v>3</v>
      </c>
      <c r="CN27" s="1">
        <v>4</v>
      </c>
      <c r="CO27" s="1">
        <v>3</v>
      </c>
      <c r="CP27" s="1">
        <v>4</v>
      </c>
      <c r="CU27" s="1">
        <v>1</v>
      </c>
    </row>
    <row r="28" spans="1:99" x14ac:dyDescent="0.35">
      <c r="A28" s="1" t="s">
        <v>670</v>
      </c>
      <c r="B28" s="1">
        <v>185211012</v>
      </c>
      <c r="C28" s="1">
        <v>0</v>
      </c>
      <c r="D28" s="1">
        <v>1</v>
      </c>
      <c r="E28" s="1">
        <v>0</v>
      </c>
      <c r="F28" s="1">
        <v>0</v>
      </c>
      <c r="G28" s="1">
        <v>0</v>
      </c>
      <c r="H28" s="1">
        <v>0</v>
      </c>
      <c r="I28" s="1">
        <v>0</v>
      </c>
      <c r="J28" s="1">
        <v>0</v>
      </c>
      <c r="K28" s="1">
        <v>0</v>
      </c>
      <c r="L28" s="1">
        <v>0</v>
      </c>
      <c r="M28" s="1">
        <v>1</v>
      </c>
      <c r="N28" s="1">
        <v>0</v>
      </c>
      <c r="O28" s="1">
        <v>0</v>
      </c>
      <c r="P28" s="1" t="s">
        <v>671</v>
      </c>
      <c r="Q28" s="1">
        <v>10</v>
      </c>
      <c r="R28" s="1">
        <v>2</v>
      </c>
      <c r="S28" s="1">
        <v>5</v>
      </c>
      <c r="T28" s="1">
        <v>1</v>
      </c>
      <c r="U28" s="1">
        <v>4</v>
      </c>
      <c r="V28" s="1">
        <v>4</v>
      </c>
      <c r="W28" s="1">
        <v>3</v>
      </c>
      <c r="X28" s="1">
        <v>4</v>
      </c>
      <c r="Y28" s="1">
        <v>4</v>
      </c>
      <c r="Z28" s="1">
        <v>4</v>
      </c>
      <c r="AA28" s="1">
        <v>4</v>
      </c>
      <c r="CU28" s="1">
        <v>4</v>
      </c>
    </row>
    <row r="29" spans="1:99" x14ac:dyDescent="0.35">
      <c r="A29" s="1" t="s">
        <v>672</v>
      </c>
      <c r="B29" s="1">
        <v>185211013</v>
      </c>
    </row>
    <row r="30" spans="1:99" x14ac:dyDescent="0.35">
      <c r="A30" s="1" t="s">
        <v>673</v>
      </c>
      <c r="B30" s="1">
        <v>185211032</v>
      </c>
      <c r="C30" s="1">
        <v>1</v>
      </c>
      <c r="D30" s="1">
        <v>1</v>
      </c>
      <c r="E30" s="1">
        <v>1</v>
      </c>
      <c r="F30" s="1">
        <v>0</v>
      </c>
      <c r="G30" s="1">
        <v>0</v>
      </c>
      <c r="H30" s="1">
        <v>1</v>
      </c>
      <c r="I30" s="1">
        <v>0</v>
      </c>
      <c r="J30" s="1">
        <v>0</v>
      </c>
      <c r="K30" s="1">
        <v>0</v>
      </c>
      <c r="L30" s="1">
        <v>0</v>
      </c>
      <c r="M30" s="1">
        <v>0</v>
      </c>
      <c r="N30" s="1">
        <v>0</v>
      </c>
      <c r="O30" s="1">
        <v>0</v>
      </c>
      <c r="P30" s="1">
        <v>60</v>
      </c>
      <c r="Q30" s="1">
        <v>12</v>
      </c>
      <c r="R30" s="1">
        <v>5</v>
      </c>
      <c r="S30" s="1">
        <v>5</v>
      </c>
      <c r="T30" s="1">
        <v>1</v>
      </c>
      <c r="U30" s="1">
        <v>4</v>
      </c>
      <c r="V30" s="1">
        <v>4</v>
      </c>
      <c r="W30" s="1">
        <v>3</v>
      </c>
      <c r="X30" s="1">
        <v>4</v>
      </c>
      <c r="Y30" s="1">
        <v>4</v>
      </c>
      <c r="Z30" s="1">
        <v>4</v>
      </c>
      <c r="AA30" s="1">
        <v>4</v>
      </c>
      <c r="CU30" s="1">
        <v>3</v>
      </c>
    </row>
    <row r="31" spans="1:99" x14ac:dyDescent="0.35">
      <c r="A31" s="1" t="s">
        <v>674</v>
      </c>
      <c r="B31" s="1">
        <v>185211034</v>
      </c>
      <c r="C31" s="1">
        <v>0</v>
      </c>
      <c r="D31" s="1">
        <v>1</v>
      </c>
      <c r="E31" s="1">
        <v>0</v>
      </c>
      <c r="F31" s="1">
        <v>0</v>
      </c>
      <c r="G31" s="1">
        <v>0</v>
      </c>
      <c r="H31" s="1">
        <v>1</v>
      </c>
      <c r="I31" s="1">
        <v>0</v>
      </c>
      <c r="J31" s="1">
        <v>0</v>
      </c>
      <c r="K31" s="1">
        <v>1</v>
      </c>
      <c r="L31" s="1">
        <v>0</v>
      </c>
      <c r="M31" s="1">
        <v>0</v>
      </c>
      <c r="N31" s="1">
        <v>0</v>
      </c>
      <c r="O31" s="1">
        <v>0</v>
      </c>
      <c r="P31" s="1">
        <v>72</v>
      </c>
      <c r="Q31" s="1">
        <v>11</v>
      </c>
      <c r="R31" s="1">
        <v>5</v>
      </c>
      <c r="S31" s="1">
        <v>1</v>
      </c>
      <c r="T31" s="1">
        <v>1</v>
      </c>
      <c r="U31" s="1">
        <v>4</v>
      </c>
      <c r="V31" s="1">
        <v>3</v>
      </c>
      <c r="W31" s="1">
        <v>2</v>
      </c>
      <c r="X31" s="1">
        <v>3</v>
      </c>
      <c r="Y31" s="1">
        <v>4</v>
      </c>
      <c r="Z31" s="1">
        <v>4</v>
      </c>
      <c r="AA31" s="1">
        <v>3</v>
      </c>
      <c r="AC31" s="1">
        <v>1</v>
      </c>
      <c r="AD31" s="1">
        <v>3</v>
      </c>
      <c r="AF31" s="3">
        <v>3800000</v>
      </c>
      <c r="AG31" s="1">
        <v>13</v>
      </c>
      <c r="AT31" s="1" t="s">
        <v>93</v>
      </c>
      <c r="BP31" s="1">
        <v>3</v>
      </c>
      <c r="BQ31" s="1" t="s">
        <v>675</v>
      </c>
      <c r="BR31" s="1" t="s">
        <v>676</v>
      </c>
      <c r="BS31" s="1" t="s">
        <v>677</v>
      </c>
      <c r="BT31" s="1" t="s">
        <v>73</v>
      </c>
      <c r="BU31" s="1">
        <v>2</v>
      </c>
      <c r="BV31" s="1">
        <v>2</v>
      </c>
      <c r="BW31" s="1">
        <v>1</v>
      </c>
      <c r="BX31" s="1">
        <v>0</v>
      </c>
      <c r="BY31" s="1">
        <v>0</v>
      </c>
      <c r="BZ31" s="1">
        <v>0</v>
      </c>
      <c r="CA31" s="1">
        <v>0</v>
      </c>
      <c r="CB31" s="1">
        <v>0</v>
      </c>
      <c r="CC31" s="1">
        <v>0</v>
      </c>
      <c r="CD31" s="1">
        <v>0</v>
      </c>
      <c r="CE31" s="1">
        <v>0</v>
      </c>
      <c r="CF31" s="1">
        <v>0</v>
      </c>
      <c r="CG31" s="1">
        <v>0</v>
      </c>
      <c r="CH31" s="1">
        <v>0</v>
      </c>
      <c r="CI31" s="1">
        <v>0</v>
      </c>
      <c r="CJ31" s="1">
        <v>4</v>
      </c>
      <c r="CK31" s="1">
        <v>3</v>
      </c>
      <c r="CL31" s="1">
        <v>2</v>
      </c>
      <c r="CM31" s="1">
        <v>4</v>
      </c>
      <c r="CN31" s="1">
        <v>4</v>
      </c>
      <c r="CO31" s="1">
        <v>4</v>
      </c>
      <c r="CP31" s="1">
        <v>3</v>
      </c>
      <c r="CU31" s="1">
        <v>1</v>
      </c>
    </row>
    <row r="32" spans="1:99" x14ac:dyDescent="0.35">
      <c r="A32" s="1" t="s">
        <v>678</v>
      </c>
      <c r="B32" s="1">
        <v>185211037</v>
      </c>
      <c r="C32" s="1">
        <v>0</v>
      </c>
      <c r="D32" s="1">
        <v>1</v>
      </c>
      <c r="E32" s="1">
        <v>0</v>
      </c>
      <c r="F32" s="1">
        <v>0</v>
      </c>
      <c r="G32" s="1">
        <v>0</v>
      </c>
      <c r="H32" s="1">
        <v>0</v>
      </c>
      <c r="I32" s="1">
        <v>0</v>
      </c>
      <c r="J32" s="1">
        <v>0</v>
      </c>
      <c r="K32" s="1">
        <v>0</v>
      </c>
      <c r="L32" s="1">
        <v>0</v>
      </c>
      <c r="M32" s="1">
        <v>0</v>
      </c>
      <c r="N32" s="1">
        <v>0</v>
      </c>
      <c r="O32" s="1">
        <v>0</v>
      </c>
      <c r="P32" s="1">
        <v>20</v>
      </c>
      <c r="Q32" s="1">
        <v>10</v>
      </c>
      <c r="R32" s="1">
        <v>5</v>
      </c>
      <c r="S32" s="1">
        <v>1</v>
      </c>
      <c r="T32" s="1">
        <v>1</v>
      </c>
      <c r="U32" s="1">
        <v>4</v>
      </c>
      <c r="V32" s="1">
        <v>4</v>
      </c>
      <c r="W32" s="1">
        <v>4</v>
      </c>
      <c r="X32" s="1">
        <v>3</v>
      </c>
      <c r="Y32" s="1">
        <v>4</v>
      </c>
      <c r="Z32" s="1">
        <v>4</v>
      </c>
      <c r="AA32" s="1">
        <v>4</v>
      </c>
      <c r="AC32" s="1">
        <v>2</v>
      </c>
      <c r="AE32" s="1">
        <v>1</v>
      </c>
      <c r="AF32" s="3">
        <v>3600000</v>
      </c>
      <c r="AG32" s="1">
        <v>13</v>
      </c>
      <c r="AT32" s="1" t="s">
        <v>86</v>
      </c>
      <c r="BP32" s="1">
        <v>3</v>
      </c>
      <c r="BQ32" s="1" t="s">
        <v>679</v>
      </c>
      <c r="BR32" s="1" t="s">
        <v>680</v>
      </c>
      <c r="BT32" s="1" t="s">
        <v>79</v>
      </c>
      <c r="BU32" s="1">
        <v>1</v>
      </c>
      <c r="BV32" s="1">
        <v>2</v>
      </c>
      <c r="BW32" s="1">
        <v>1</v>
      </c>
      <c r="BX32" s="1">
        <v>0</v>
      </c>
      <c r="BY32" s="1">
        <v>0</v>
      </c>
      <c r="BZ32" s="1">
        <v>0</v>
      </c>
      <c r="CA32" s="1">
        <v>0</v>
      </c>
      <c r="CB32" s="1">
        <v>0</v>
      </c>
      <c r="CC32" s="1">
        <v>0</v>
      </c>
      <c r="CD32" s="1">
        <v>0</v>
      </c>
      <c r="CE32" s="1">
        <v>0</v>
      </c>
      <c r="CF32" s="1">
        <v>0</v>
      </c>
      <c r="CG32" s="1">
        <v>0</v>
      </c>
      <c r="CH32" s="1">
        <v>0</v>
      </c>
      <c r="CI32" s="1">
        <v>0</v>
      </c>
      <c r="CJ32" s="1">
        <v>4</v>
      </c>
      <c r="CK32" s="1">
        <v>4</v>
      </c>
      <c r="CL32" s="1">
        <v>4</v>
      </c>
      <c r="CM32" s="1">
        <v>4</v>
      </c>
      <c r="CN32" s="1">
        <v>4</v>
      </c>
      <c r="CO32" s="1">
        <v>4</v>
      </c>
      <c r="CP32" s="1">
        <v>4</v>
      </c>
      <c r="CU32" s="1">
        <v>4</v>
      </c>
    </row>
    <row r="33" spans="1:99" x14ac:dyDescent="0.35">
      <c r="A33" s="1" t="s">
        <v>681</v>
      </c>
      <c r="B33" s="1">
        <v>185211038</v>
      </c>
      <c r="C33" s="1">
        <v>0</v>
      </c>
      <c r="D33" s="1">
        <v>0</v>
      </c>
      <c r="E33" s="1">
        <v>0</v>
      </c>
      <c r="F33" s="1">
        <v>0</v>
      </c>
      <c r="G33" s="1">
        <v>0</v>
      </c>
      <c r="H33" s="1">
        <v>0</v>
      </c>
      <c r="I33" s="1">
        <v>0</v>
      </c>
      <c r="J33" s="1">
        <v>0</v>
      </c>
      <c r="K33" s="1">
        <v>0</v>
      </c>
      <c r="L33" s="1">
        <v>0</v>
      </c>
      <c r="M33" s="1">
        <v>0</v>
      </c>
      <c r="N33" s="1">
        <v>0</v>
      </c>
      <c r="O33" s="1">
        <v>0</v>
      </c>
      <c r="P33" s="1">
        <v>1</v>
      </c>
      <c r="Q33" s="1">
        <v>1</v>
      </c>
      <c r="R33" s="1">
        <v>1</v>
      </c>
    </row>
    <row r="34" spans="1:99" x14ac:dyDescent="0.35">
      <c r="A34" s="1" t="s">
        <v>682</v>
      </c>
      <c r="B34" s="1">
        <v>185211039</v>
      </c>
      <c r="C34" s="1">
        <v>0</v>
      </c>
      <c r="D34" s="1">
        <v>1</v>
      </c>
      <c r="E34" s="1">
        <v>0</v>
      </c>
      <c r="F34" s="1">
        <v>0</v>
      </c>
      <c r="G34" s="1">
        <v>0</v>
      </c>
      <c r="H34" s="1">
        <v>1</v>
      </c>
      <c r="I34" s="1">
        <v>0</v>
      </c>
      <c r="J34" s="1">
        <v>0</v>
      </c>
      <c r="K34" s="1">
        <v>0</v>
      </c>
      <c r="L34" s="1">
        <v>0</v>
      </c>
      <c r="M34" s="1">
        <v>0</v>
      </c>
      <c r="N34" s="1">
        <v>0</v>
      </c>
      <c r="O34" s="1">
        <v>0</v>
      </c>
      <c r="P34" s="1" t="s">
        <v>683</v>
      </c>
      <c r="Q34" s="1" t="s">
        <v>684</v>
      </c>
      <c r="R34" s="1" t="s">
        <v>685</v>
      </c>
      <c r="S34" s="1">
        <v>1</v>
      </c>
      <c r="T34" s="1">
        <v>3</v>
      </c>
      <c r="U34" s="1">
        <v>4</v>
      </c>
      <c r="V34" s="1">
        <v>4</v>
      </c>
      <c r="W34" s="1">
        <v>3</v>
      </c>
      <c r="X34" s="1">
        <v>4</v>
      </c>
      <c r="Y34" s="1">
        <v>4</v>
      </c>
      <c r="Z34" s="1">
        <v>4</v>
      </c>
      <c r="AA34" s="1">
        <v>4</v>
      </c>
      <c r="AC34" s="1">
        <v>1</v>
      </c>
      <c r="AD34" s="1">
        <v>5</v>
      </c>
      <c r="AF34" s="3">
        <v>4500000</v>
      </c>
      <c r="AG34" s="1">
        <v>13</v>
      </c>
      <c r="AT34" s="1" t="s">
        <v>86</v>
      </c>
      <c r="BP34" s="1">
        <v>3</v>
      </c>
      <c r="BQ34" s="1" t="s">
        <v>686</v>
      </c>
      <c r="BR34" s="1" t="s">
        <v>687</v>
      </c>
      <c r="BS34" s="1" t="s">
        <v>688</v>
      </c>
      <c r="BT34" s="1" t="s">
        <v>79</v>
      </c>
      <c r="BU34" s="1">
        <v>2</v>
      </c>
      <c r="BV34" s="1">
        <v>2</v>
      </c>
      <c r="BW34" s="1">
        <v>1</v>
      </c>
      <c r="BX34" s="1">
        <v>0</v>
      </c>
      <c r="BY34" s="1">
        <v>0</v>
      </c>
      <c r="BZ34" s="1">
        <v>0</v>
      </c>
      <c r="CA34" s="1">
        <v>0</v>
      </c>
      <c r="CB34" s="1">
        <v>0</v>
      </c>
      <c r="CC34" s="1">
        <v>0</v>
      </c>
      <c r="CD34" s="1">
        <v>0</v>
      </c>
      <c r="CE34" s="1">
        <v>0</v>
      </c>
      <c r="CF34" s="1">
        <v>0</v>
      </c>
      <c r="CG34" s="1">
        <v>0</v>
      </c>
      <c r="CH34" s="1">
        <v>0</v>
      </c>
      <c r="CI34" s="1">
        <v>0</v>
      </c>
      <c r="CJ34" s="1">
        <v>4</v>
      </c>
      <c r="CK34" s="1">
        <v>4</v>
      </c>
      <c r="CL34" s="1">
        <v>4</v>
      </c>
      <c r="CM34" s="1">
        <v>4</v>
      </c>
      <c r="CN34" s="1">
        <v>4</v>
      </c>
      <c r="CO34" s="1">
        <v>4</v>
      </c>
      <c r="CP34" s="1">
        <v>4</v>
      </c>
      <c r="CU34" s="1">
        <v>1</v>
      </c>
    </row>
    <row r="35" spans="1:99" x14ac:dyDescent="0.35">
      <c r="A35" s="1" t="s">
        <v>689</v>
      </c>
      <c r="B35" s="1">
        <v>185211043</v>
      </c>
      <c r="C35" s="1">
        <v>1</v>
      </c>
      <c r="D35" s="1">
        <v>1</v>
      </c>
      <c r="E35" s="1">
        <v>0</v>
      </c>
      <c r="F35" s="1">
        <v>0</v>
      </c>
      <c r="G35" s="1">
        <v>0</v>
      </c>
      <c r="H35" s="1">
        <v>0</v>
      </c>
      <c r="I35" s="1">
        <v>0</v>
      </c>
      <c r="J35" s="1">
        <v>0</v>
      </c>
      <c r="K35" s="1">
        <v>0</v>
      </c>
      <c r="L35" s="1">
        <v>0</v>
      </c>
      <c r="M35" s="1">
        <v>0</v>
      </c>
      <c r="N35" s="1">
        <v>0</v>
      </c>
      <c r="O35" s="1">
        <v>0</v>
      </c>
      <c r="P35" s="1">
        <v>120</v>
      </c>
      <c r="Q35" s="1">
        <v>10</v>
      </c>
      <c r="R35" s="1">
        <v>3</v>
      </c>
      <c r="S35" s="1">
        <v>1</v>
      </c>
      <c r="T35" s="1">
        <v>1</v>
      </c>
      <c r="U35" s="1">
        <v>3</v>
      </c>
      <c r="V35" s="1">
        <v>3</v>
      </c>
      <c r="W35" s="1">
        <v>3</v>
      </c>
      <c r="X35" s="1">
        <v>4</v>
      </c>
      <c r="Y35" s="1">
        <v>3</v>
      </c>
      <c r="Z35" s="1">
        <v>4</v>
      </c>
      <c r="AA35" s="1">
        <v>3</v>
      </c>
      <c r="AC35" s="1">
        <v>2</v>
      </c>
      <c r="AE35" s="1">
        <v>4</v>
      </c>
      <c r="AF35" s="3">
        <v>3900000</v>
      </c>
      <c r="AG35" s="1">
        <v>13</v>
      </c>
      <c r="AT35" s="1" t="s">
        <v>86</v>
      </c>
      <c r="BP35" s="1">
        <v>2</v>
      </c>
      <c r="BQ35" s="1" t="s">
        <v>690</v>
      </c>
      <c r="BR35" s="1" t="s">
        <v>691</v>
      </c>
      <c r="BS35" s="1" t="s">
        <v>692</v>
      </c>
      <c r="BT35" s="1" t="s">
        <v>79</v>
      </c>
      <c r="BU35" s="1">
        <v>4</v>
      </c>
      <c r="BV35" s="1">
        <v>2</v>
      </c>
      <c r="BW35" s="1">
        <v>0</v>
      </c>
      <c r="BX35" s="1">
        <v>1</v>
      </c>
      <c r="BY35" s="1">
        <v>0</v>
      </c>
      <c r="BZ35" s="1">
        <v>0</v>
      </c>
      <c r="CA35" s="1">
        <v>0</v>
      </c>
      <c r="CB35" s="1">
        <v>0</v>
      </c>
      <c r="CC35" s="1">
        <v>1</v>
      </c>
      <c r="CD35" s="1">
        <v>0</v>
      </c>
      <c r="CE35" s="1">
        <v>0</v>
      </c>
      <c r="CF35" s="1">
        <v>1</v>
      </c>
      <c r="CG35" s="1">
        <v>1</v>
      </c>
      <c r="CH35" s="1">
        <v>1</v>
      </c>
      <c r="CI35" s="1">
        <v>0</v>
      </c>
      <c r="CJ35" s="1">
        <v>4</v>
      </c>
      <c r="CK35" s="1">
        <v>1</v>
      </c>
      <c r="CL35" s="1">
        <v>4</v>
      </c>
      <c r="CM35" s="1">
        <v>4</v>
      </c>
      <c r="CN35" s="1">
        <v>4</v>
      </c>
      <c r="CO35" s="1">
        <v>4</v>
      </c>
      <c r="CP35" s="1">
        <v>4</v>
      </c>
      <c r="CU35" s="1">
        <v>1</v>
      </c>
    </row>
    <row r="36" spans="1:99" x14ac:dyDescent="0.35">
      <c r="A36" s="1" t="s">
        <v>693</v>
      </c>
      <c r="B36" s="1">
        <v>185211044</v>
      </c>
      <c r="C36" s="1">
        <v>0</v>
      </c>
      <c r="D36" s="1">
        <v>1</v>
      </c>
      <c r="E36" s="1">
        <v>0</v>
      </c>
      <c r="F36" s="1">
        <v>0</v>
      </c>
      <c r="G36" s="1">
        <v>0</v>
      </c>
      <c r="H36" s="1">
        <v>1</v>
      </c>
      <c r="I36" s="1">
        <v>0</v>
      </c>
      <c r="J36" s="1">
        <v>0</v>
      </c>
      <c r="K36" s="1">
        <v>1</v>
      </c>
      <c r="L36" s="1">
        <v>0</v>
      </c>
      <c r="M36" s="1">
        <v>0</v>
      </c>
      <c r="N36" s="1">
        <v>0</v>
      </c>
      <c r="O36" s="1">
        <v>0</v>
      </c>
      <c r="P36" s="1" t="s">
        <v>694</v>
      </c>
      <c r="Q36" s="1" t="s">
        <v>695</v>
      </c>
      <c r="R36" s="1" t="s">
        <v>696</v>
      </c>
      <c r="S36" s="1">
        <v>5</v>
      </c>
      <c r="T36" s="1">
        <v>1</v>
      </c>
      <c r="U36" s="1">
        <v>4</v>
      </c>
      <c r="V36" s="1">
        <v>3</v>
      </c>
      <c r="W36" s="1">
        <v>4</v>
      </c>
      <c r="X36" s="1">
        <v>4</v>
      </c>
      <c r="Y36" s="1">
        <v>4</v>
      </c>
      <c r="Z36" s="1">
        <v>4</v>
      </c>
      <c r="AA36" s="1">
        <v>4</v>
      </c>
      <c r="CU36" s="1">
        <v>4</v>
      </c>
    </row>
    <row r="37" spans="1:99" x14ac:dyDescent="0.35">
      <c r="A37" s="1" t="s">
        <v>697</v>
      </c>
      <c r="B37" s="1">
        <v>185211045</v>
      </c>
      <c r="C37" s="1">
        <v>1</v>
      </c>
      <c r="D37" s="1">
        <v>1</v>
      </c>
      <c r="E37" s="1">
        <v>0</v>
      </c>
      <c r="F37" s="1">
        <v>0</v>
      </c>
      <c r="G37" s="1">
        <v>0</v>
      </c>
      <c r="H37" s="1">
        <v>0</v>
      </c>
      <c r="I37" s="1">
        <v>0</v>
      </c>
      <c r="J37" s="1">
        <v>0</v>
      </c>
      <c r="K37" s="1">
        <v>0</v>
      </c>
      <c r="L37" s="1">
        <v>0</v>
      </c>
      <c r="M37" s="1">
        <v>0</v>
      </c>
      <c r="N37" s="1">
        <v>0</v>
      </c>
      <c r="O37" s="1">
        <v>0</v>
      </c>
      <c r="P37" s="1">
        <v>20</v>
      </c>
      <c r="Q37" s="1">
        <v>5</v>
      </c>
      <c r="R37" s="1">
        <v>2</v>
      </c>
      <c r="S37" s="1">
        <v>5</v>
      </c>
      <c r="T37" s="1">
        <v>1</v>
      </c>
      <c r="U37" s="1">
        <v>4</v>
      </c>
      <c r="V37" s="1">
        <v>4</v>
      </c>
      <c r="W37" s="1">
        <v>3</v>
      </c>
      <c r="X37" s="1">
        <v>3</v>
      </c>
      <c r="Y37" s="1">
        <v>4</v>
      </c>
      <c r="Z37" s="1">
        <v>4</v>
      </c>
      <c r="AA37" s="1">
        <v>4</v>
      </c>
      <c r="CU37" s="1">
        <v>4</v>
      </c>
    </row>
    <row r="38" spans="1:99" x14ac:dyDescent="0.35">
      <c r="A38" s="1" t="s">
        <v>698</v>
      </c>
      <c r="B38" s="1">
        <v>185211046</v>
      </c>
      <c r="C38" s="1">
        <v>0</v>
      </c>
      <c r="D38" s="1">
        <v>1</v>
      </c>
      <c r="E38" s="1">
        <v>0</v>
      </c>
      <c r="F38" s="1">
        <v>0</v>
      </c>
      <c r="G38" s="1">
        <v>0</v>
      </c>
      <c r="H38" s="1">
        <v>0</v>
      </c>
      <c r="I38" s="1">
        <v>0</v>
      </c>
      <c r="J38" s="1">
        <v>0</v>
      </c>
      <c r="K38" s="1">
        <v>1</v>
      </c>
      <c r="L38" s="1">
        <v>0</v>
      </c>
      <c r="M38" s="1">
        <v>0</v>
      </c>
      <c r="N38" s="1">
        <v>0</v>
      </c>
      <c r="O38" s="1">
        <v>0</v>
      </c>
      <c r="P38" s="1">
        <v>20</v>
      </c>
      <c r="Q38" s="1">
        <v>8</v>
      </c>
      <c r="R38" s="1">
        <v>2</v>
      </c>
      <c r="S38" s="1">
        <v>5</v>
      </c>
      <c r="T38" s="1">
        <v>1</v>
      </c>
      <c r="U38" s="1">
        <v>4</v>
      </c>
      <c r="V38" s="1">
        <v>3</v>
      </c>
      <c r="W38" s="1">
        <v>3</v>
      </c>
      <c r="X38" s="1">
        <v>3</v>
      </c>
      <c r="Y38" s="1">
        <v>4</v>
      </c>
      <c r="Z38" s="1">
        <v>4</v>
      </c>
      <c r="AA38" s="1">
        <v>4</v>
      </c>
      <c r="CU38" s="1">
        <v>4</v>
      </c>
    </row>
    <row r="39" spans="1:99" x14ac:dyDescent="0.35">
      <c r="A39" s="1" t="s">
        <v>699</v>
      </c>
      <c r="B39" s="1">
        <v>185211049</v>
      </c>
      <c r="C39" s="1">
        <v>0</v>
      </c>
      <c r="D39" s="1">
        <v>1</v>
      </c>
      <c r="E39" s="1">
        <v>0</v>
      </c>
      <c r="F39" s="1">
        <v>0</v>
      </c>
      <c r="G39" s="1">
        <v>0</v>
      </c>
      <c r="H39" s="1">
        <v>0</v>
      </c>
      <c r="I39" s="1">
        <v>0</v>
      </c>
      <c r="J39" s="1">
        <v>0</v>
      </c>
      <c r="K39" s="1">
        <v>1</v>
      </c>
      <c r="L39" s="1">
        <v>0</v>
      </c>
      <c r="M39" s="1">
        <v>0</v>
      </c>
      <c r="N39" s="1">
        <v>0</v>
      </c>
      <c r="O39" s="1">
        <v>0</v>
      </c>
      <c r="P39" s="1">
        <v>8</v>
      </c>
      <c r="Q39" s="1">
        <v>2</v>
      </c>
      <c r="R39" s="1">
        <v>1</v>
      </c>
      <c r="S39" s="1">
        <v>1</v>
      </c>
      <c r="T39" s="1">
        <v>1</v>
      </c>
      <c r="U39" s="1">
        <v>4</v>
      </c>
      <c r="V39" s="1">
        <v>3</v>
      </c>
      <c r="W39" s="1">
        <v>3</v>
      </c>
      <c r="X39" s="1">
        <v>3</v>
      </c>
      <c r="Y39" s="1">
        <v>3</v>
      </c>
      <c r="Z39" s="1">
        <v>4</v>
      </c>
      <c r="AA39" s="1">
        <v>3</v>
      </c>
      <c r="AC39" s="1">
        <v>1</v>
      </c>
      <c r="AD39" s="1">
        <v>0</v>
      </c>
      <c r="AF39" s="3">
        <v>3000000</v>
      </c>
      <c r="AG39" s="1">
        <v>13</v>
      </c>
      <c r="AT39" s="1" t="s">
        <v>86</v>
      </c>
      <c r="BP39" s="1">
        <v>3</v>
      </c>
      <c r="BQ39" s="1" t="s">
        <v>700</v>
      </c>
      <c r="BR39" s="1" t="s">
        <v>701</v>
      </c>
      <c r="BS39" s="1" t="s">
        <v>702</v>
      </c>
      <c r="BT39" s="1" t="s">
        <v>79</v>
      </c>
      <c r="BU39" s="1">
        <v>2</v>
      </c>
      <c r="BV39" s="1">
        <v>1</v>
      </c>
      <c r="BW39" s="1">
        <v>1</v>
      </c>
      <c r="BX39" s="1">
        <v>0</v>
      </c>
      <c r="BY39" s="1">
        <v>0</v>
      </c>
      <c r="BZ39" s="1">
        <v>0</v>
      </c>
      <c r="CA39" s="1">
        <v>0</v>
      </c>
      <c r="CB39" s="1">
        <v>0</v>
      </c>
      <c r="CC39" s="1">
        <v>0</v>
      </c>
      <c r="CD39" s="1">
        <v>0</v>
      </c>
      <c r="CE39" s="1">
        <v>0</v>
      </c>
      <c r="CF39" s="1">
        <v>0</v>
      </c>
      <c r="CG39" s="1">
        <v>0</v>
      </c>
      <c r="CH39" s="1">
        <v>0</v>
      </c>
      <c r="CI39" s="1">
        <v>0</v>
      </c>
      <c r="CJ39" s="1">
        <v>4</v>
      </c>
      <c r="CK39" s="1">
        <v>3</v>
      </c>
      <c r="CL39" s="1">
        <v>3</v>
      </c>
      <c r="CM39" s="1">
        <v>4</v>
      </c>
      <c r="CN39" s="1">
        <v>4</v>
      </c>
      <c r="CO39" s="1">
        <v>4</v>
      </c>
      <c r="CP39" s="1">
        <v>4</v>
      </c>
      <c r="CU39" s="1">
        <v>1</v>
      </c>
    </row>
    <row r="40" spans="1:99" x14ac:dyDescent="0.35">
      <c r="A40" s="1" t="s">
        <v>703</v>
      </c>
      <c r="B40" s="1">
        <v>185211050</v>
      </c>
      <c r="C40" s="1">
        <v>0</v>
      </c>
      <c r="D40" s="1">
        <v>1</v>
      </c>
      <c r="E40" s="1">
        <v>0</v>
      </c>
      <c r="F40" s="1">
        <v>0</v>
      </c>
      <c r="G40" s="1">
        <v>0</v>
      </c>
      <c r="H40" s="1">
        <v>0</v>
      </c>
      <c r="I40" s="1">
        <v>0</v>
      </c>
      <c r="J40" s="1">
        <v>0</v>
      </c>
      <c r="K40" s="1">
        <v>0</v>
      </c>
      <c r="L40" s="1">
        <v>0</v>
      </c>
      <c r="M40" s="1">
        <v>0</v>
      </c>
      <c r="N40" s="1">
        <v>0</v>
      </c>
      <c r="O40" s="1">
        <v>0</v>
      </c>
      <c r="P40" s="1" t="s">
        <v>704</v>
      </c>
      <c r="Q40" s="1" t="s">
        <v>705</v>
      </c>
      <c r="R40" s="1" t="s">
        <v>706</v>
      </c>
      <c r="S40" s="1">
        <v>1</v>
      </c>
      <c r="T40" s="1">
        <v>1</v>
      </c>
      <c r="U40" s="1">
        <v>3</v>
      </c>
      <c r="V40" s="1">
        <v>3</v>
      </c>
      <c r="W40" s="1">
        <v>4</v>
      </c>
      <c r="X40" s="1">
        <v>4</v>
      </c>
      <c r="Y40" s="1">
        <v>4</v>
      </c>
      <c r="Z40" s="1">
        <v>3</v>
      </c>
      <c r="AA40" s="1">
        <v>2</v>
      </c>
      <c r="AC40" s="1">
        <v>1</v>
      </c>
      <c r="AD40" s="1">
        <v>2</v>
      </c>
      <c r="AF40" s="3">
        <v>5300000</v>
      </c>
      <c r="AG40" s="1">
        <v>12</v>
      </c>
      <c r="AS40" s="1" t="s">
        <v>69</v>
      </c>
      <c r="BP40" s="1">
        <v>3</v>
      </c>
      <c r="BQ40" s="1" t="s">
        <v>707</v>
      </c>
      <c r="BR40" s="1" t="s">
        <v>708</v>
      </c>
      <c r="BT40" s="1" t="s">
        <v>73</v>
      </c>
      <c r="BU40" s="1">
        <v>3</v>
      </c>
      <c r="BV40" s="1">
        <v>2</v>
      </c>
      <c r="BW40" s="1">
        <v>1</v>
      </c>
      <c r="BX40" s="1">
        <v>0</v>
      </c>
      <c r="BY40" s="1">
        <v>0</v>
      </c>
      <c r="BZ40" s="1">
        <v>0</v>
      </c>
      <c r="CA40" s="1">
        <v>0</v>
      </c>
      <c r="CB40" s="1">
        <v>0</v>
      </c>
      <c r="CC40" s="1">
        <v>0</v>
      </c>
      <c r="CD40" s="1">
        <v>0</v>
      </c>
      <c r="CE40" s="1">
        <v>0</v>
      </c>
      <c r="CF40" s="1">
        <v>0</v>
      </c>
      <c r="CG40" s="1">
        <v>0</v>
      </c>
      <c r="CH40" s="1">
        <v>0</v>
      </c>
      <c r="CI40" s="1">
        <v>0</v>
      </c>
      <c r="CJ40" s="1">
        <v>4</v>
      </c>
      <c r="CK40" s="1">
        <v>4</v>
      </c>
      <c r="CL40" s="1">
        <v>4</v>
      </c>
      <c r="CM40" s="1">
        <v>4</v>
      </c>
      <c r="CN40" s="1">
        <v>4</v>
      </c>
      <c r="CO40" s="1">
        <v>4</v>
      </c>
      <c r="CP40" s="1">
        <v>4</v>
      </c>
      <c r="CU40" s="1">
        <v>1</v>
      </c>
    </row>
    <row r="41" spans="1:99" x14ac:dyDescent="0.35">
      <c r="A41" s="1" t="s">
        <v>709</v>
      </c>
      <c r="B41" s="1">
        <v>185211051</v>
      </c>
      <c r="C41" s="1">
        <v>0</v>
      </c>
      <c r="D41" s="1">
        <v>1</v>
      </c>
      <c r="E41" s="1">
        <v>0</v>
      </c>
      <c r="F41" s="1">
        <v>0</v>
      </c>
      <c r="G41" s="1">
        <v>0</v>
      </c>
      <c r="H41" s="1">
        <v>1</v>
      </c>
      <c r="I41" s="1">
        <v>0</v>
      </c>
      <c r="J41" s="1">
        <v>0</v>
      </c>
      <c r="K41" s="1">
        <v>1</v>
      </c>
      <c r="L41" s="1">
        <v>0</v>
      </c>
      <c r="M41" s="1">
        <v>0</v>
      </c>
      <c r="N41" s="1">
        <v>0</v>
      </c>
      <c r="O41" s="1">
        <v>0</v>
      </c>
      <c r="P41" s="1" t="s">
        <v>710</v>
      </c>
      <c r="Q41" s="1" t="s">
        <v>711</v>
      </c>
      <c r="R41" s="1" t="s">
        <v>712</v>
      </c>
      <c r="S41" s="1">
        <v>1</v>
      </c>
      <c r="T41" s="1">
        <v>1</v>
      </c>
      <c r="U41" s="1">
        <v>4</v>
      </c>
      <c r="V41" s="1">
        <v>3</v>
      </c>
      <c r="W41" s="1">
        <v>3</v>
      </c>
      <c r="X41" s="1">
        <v>3</v>
      </c>
      <c r="Y41" s="1">
        <v>3</v>
      </c>
      <c r="Z41" s="1">
        <v>4</v>
      </c>
      <c r="AA41" s="1">
        <v>4</v>
      </c>
      <c r="AC41" s="1">
        <v>1</v>
      </c>
      <c r="AD41" s="1">
        <v>2</v>
      </c>
      <c r="AF41" s="3">
        <v>4500000</v>
      </c>
      <c r="AG41" s="1">
        <v>13</v>
      </c>
      <c r="AT41" s="1" t="s">
        <v>392</v>
      </c>
      <c r="BP41" s="1">
        <v>6</v>
      </c>
      <c r="BQ41" s="1" t="s">
        <v>713</v>
      </c>
      <c r="BR41" s="1" t="s">
        <v>714</v>
      </c>
      <c r="BT41" s="1" t="s">
        <v>79</v>
      </c>
      <c r="BU41" s="1">
        <v>3</v>
      </c>
      <c r="BV41" s="1">
        <v>2</v>
      </c>
      <c r="BW41" s="1">
        <v>1</v>
      </c>
      <c r="BX41" s="1">
        <v>0</v>
      </c>
      <c r="BY41" s="1">
        <v>0</v>
      </c>
      <c r="BZ41" s="1">
        <v>0</v>
      </c>
      <c r="CA41" s="1">
        <v>0</v>
      </c>
      <c r="CB41" s="1">
        <v>0</v>
      </c>
      <c r="CC41" s="1">
        <v>0</v>
      </c>
      <c r="CD41" s="1">
        <v>0</v>
      </c>
      <c r="CE41" s="1">
        <v>0</v>
      </c>
      <c r="CF41" s="1">
        <v>0</v>
      </c>
      <c r="CG41" s="1">
        <v>0</v>
      </c>
      <c r="CH41" s="1">
        <v>0</v>
      </c>
      <c r="CI41" s="1">
        <v>0</v>
      </c>
      <c r="CJ41" s="1">
        <v>4</v>
      </c>
      <c r="CK41" s="1">
        <v>4</v>
      </c>
      <c r="CL41" s="1">
        <v>3</v>
      </c>
      <c r="CM41" s="1">
        <v>4</v>
      </c>
      <c r="CN41" s="1">
        <v>4</v>
      </c>
      <c r="CO41" s="1">
        <v>3</v>
      </c>
      <c r="CP41" s="1">
        <v>4</v>
      </c>
      <c r="CU41" s="1">
        <v>1</v>
      </c>
    </row>
    <row r="42" spans="1:99" x14ac:dyDescent="0.35">
      <c r="A42" s="1" t="s">
        <v>715</v>
      </c>
      <c r="B42" s="1">
        <v>185211052</v>
      </c>
      <c r="C42" s="1">
        <v>0</v>
      </c>
      <c r="D42" s="1">
        <v>1</v>
      </c>
      <c r="E42" s="1">
        <v>0</v>
      </c>
      <c r="F42" s="1">
        <v>0</v>
      </c>
      <c r="G42" s="1">
        <v>0</v>
      </c>
      <c r="H42" s="1">
        <v>0</v>
      </c>
      <c r="I42" s="1">
        <v>0</v>
      </c>
      <c r="J42" s="1">
        <v>0</v>
      </c>
      <c r="K42" s="1">
        <v>0</v>
      </c>
      <c r="L42" s="1">
        <v>0</v>
      </c>
      <c r="M42" s="1">
        <v>0</v>
      </c>
      <c r="N42" s="1">
        <v>0</v>
      </c>
      <c r="O42" s="1">
        <v>0</v>
      </c>
      <c r="P42" s="1" t="s">
        <v>117</v>
      </c>
      <c r="Q42" s="1" t="s">
        <v>117</v>
      </c>
      <c r="R42" s="1" t="s">
        <v>570</v>
      </c>
      <c r="S42" s="1">
        <v>1</v>
      </c>
      <c r="T42" s="1">
        <v>1</v>
      </c>
      <c r="U42" s="1">
        <v>3</v>
      </c>
      <c r="V42" s="1">
        <v>3</v>
      </c>
      <c r="W42" s="1">
        <v>3</v>
      </c>
      <c r="X42" s="1">
        <v>3</v>
      </c>
      <c r="Y42" s="1">
        <v>3</v>
      </c>
      <c r="Z42" s="1">
        <v>3</v>
      </c>
      <c r="AA42" s="1">
        <v>3</v>
      </c>
      <c r="AC42" s="1">
        <v>1</v>
      </c>
      <c r="AD42" s="1">
        <v>1</v>
      </c>
      <c r="AF42" s="3">
        <v>3000000</v>
      </c>
      <c r="AG42" s="1">
        <v>13</v>
      </c>
      <c r="AT42" s="1" t="s">
        <v>86</v>
      </c>
      <c r="BP42" s="1">
        <v>4</v>
      </c>
      <c r="BQ42" s="1" t="s">
        <v>716</v>
      </c>
      <c r="BR42" s="1" t="s">
        <v>717</v>
      </c>
      <c r="BT42" s="1" t="s">
        <v>79</v>
      </c>
      <c r="BU42" s="1">
        <v>2</v>
      </c>
      <c r="BV42" s="1">
        <v>1</v>
      </c>
      <c r="BW42" s="1">
        <v>0</v>
      </c>
      <c r="BX42" s="1">
        <v>0</v>
      </c>
      <c r="BY42" s="1">
        <v>1</v>
      </c>
      <c r="BZ42" s="1">
        <v>0</v>
      </c>
      <c r="CA42" s="1">
        <v>0</v>
      </c>
      <c r="CB42" s="1">
        <v>0</v>
      </c>
      <c r="CC42" s="1">
        <v>1</v>
      </c>
      <c r="CD42" s="1">
        <v>1</v>
      </c>
      <c r="CE42" s="1">
        <v>1</v>
      </c>
      <c r="CF42" s="1">
        <v>0</v>
      </c>
      <c r="CG42" s="1">
        <v>0</v>
      </c>
      <c r="CH42" s="1">
        <v>1</v>
      </c>
      <c r="CI42" s="1">
        <v>0</v>
      </c>
      <c r="CJ42" s="1">
        <v>3</v>
      </c>
      <c r="CK42" s="1">
        <v>3</v>
      </c>
      <c r="CL42" s="1">
        <v>3</v>
      </c>
      <c r="CM42" s="1">
        <v>3</v>
      </c>
      <c r="CN42" s="1">
        <v>3</v>
      </c>
      <c r="CO42" s="1">
        <v>3</v>
      </c>
      <c r="CP42" s="1">
        <v>3</v>
      </c>
      <c r="CU42" s="1">
        <v>1</v>
      </c>
    </row>
    <row r="43" spans="1:99" x14ac:dyDescent="0.35">
      <c r="A43" s="1" t="s">
        <v>718</v>
      </c>
      <c r="B43" s="1">
        <v>185211053</v>
      </c>
      <c r="C43" s="1">
        <v>1</v>
      </c>
      <c r="D43" s="1">
        <v>0</v>
      </c>
      <c r="E43" s="1">
        <v>0</v>
      </c>
      <c r="F43" s="1">
        <v>0</v>
      </c>
      <c r="G43" s="1">
        <v>0</v>
      </c>
      <c r="H43" s="1">
        <v>0</v>
      </c>
      <c r="I43" s="1">
        <v>0</v>
      </c>
      <c r="J43" s="1">
        <v>0</v>
      </c>
      <c r="K43" s="1">
        <v>0</v>
      </c>
      <c r="L43" s="1">
        <v>0</v>
      </c>
      <c r="M43" s="1">
        <v>0</v>
      </c>
      <c r="N43" s="1">
        <v>0</v>
      </c>
      <c r="O43" s="1">
        <v>0</v>
      </c>
      <c r="P43" s="1">
        <v>10</v>
      </c>
      <c r="Q43" s="1">
        <v>3</v>
      </c>
      <c r="R43" s="1">
        <v>1</v>
      </c>
      <c r="S43" s="1">
        <v>1</v>
      </c>
      <c r="T43" s="1">
        <v>1</v>
      </c>
      <c r="U43" s="1">
        <v>3</v>
      </c>
      <c r="V43" s="1">
        <v>3</v>
      </c>
      <c r="W43" s="1">
        <v>3</v>
      </c>
      <c r="X43" s="1">
        <v>3</v>
      </c>
      <c r="Y43" s="1">
        <v>3</v>
      </c>
      <c r="Z43" s="1">
        <v>3</v>
      </c>
      <c r="AA43" s="1">
        <v>3</v>
      </c>
      <c r="AC43" s="1">
        <v>2</v>
      </c>
      <c r="AE43" s="1">
        <v>3</v>
      </c>
      <c r="AF43" s="3">
        <v>3650000</v>
      </c>
      <c r="AG43" s="1">
        <v>13</v>
      </c>
      <c r="AT43" s="1" t="s">
        <v>93</v>
      </c>
      <c r="BP43" s="1">
        <v>3</v>
      </c>
      <c r="BQ43" s="1" t="s">
        <v>719</v>
      </c>
      <c r="BR43" s="1" t="s">
        <v>676</v>
      </c>
      <c r="BS43" s="1" t="s">
        <v>720</v>
      </c>
      <c r="BT43" s="1" t="s">
        <v>79</v>
      </c>
      <c r="BU43" s="1">
        <v>2</v>
      </c>
      <c r="BV43" s="1">
        <v>2</v>
      </c>
      <c r="BW43" s="1">
        <v>0</v>
      </c>
      <c r="BX43" s="1">
        <v>1</v>
      </c>
      <c r="BY43" s="1">
        <v>0</v>
      </c>
      <c r="BZ43" s="1">
        <v>0</v>
      </c>
      <c r="CA43" s="1">
        <v>0</v>
      </c>
      <c r="CB43" s="1">
        <v>0</v>
      </c>
      <c r="CC43" s="1">
        <v>0</v>
      </c>
      <c r="CD43" s="1">
        <v>0</v>
      </c>
      <c r="CE43" s="1">
        <v>0</v>
      </c>
      <c r="CF43" s="1">
        <v>0</v>
      </c>
      <c r="CG43" s="1">
        <v>0</v>
      </c>
      <c r="CH43" s="1">
        <v>0</v>
      </c>
      <c r="CI43" s="1">
        <v>0</v>
      </c>
      <c r="CJ43" s="1">
        <v>3</v>
      </c>
      <c r="CK43" s="1">
        <v>3</v>
      </c>
      <c r="CL43" s="1">
        <v>2</v>
      </c>
      <c r="CM43" s="1">
        <v>3</v>
      </c>
      <c r="CN43" s="1">
        <v>4</v>
      </c>
      <c r="CO43" s="1">
        <v>3</v>
      </c>
      <c r="CP43" s="1">
        <v>3</v>
      </c>
      <c r="CU43" s="1">
        <v>1</v>
      </c>
    </row>
    <row r="44" spans="1:99" x14ac:dyDescent="0.35">
      <c r="A44" s="1" t="s">
        <v>721</v>
      </c>
      <c r="B44" s="1">
        <v>185211054</v>
      </c>
      <c r="C44" s="1">
        <v>0</v>
      </c>
      <c r="D44" s="1">
        <v>1</v>
      </c>
      <c r="E44" s="1">
        <v>0</v>
      </c>
      <c r="F44" s="1">
        <v>0</v>
      </c>
      <c r="G44" s="1">
        <v>0</v>
      </c>
      <c r="H44" s="1">
        <v>0</v>
      </c>
      <c r="I44" s="1">
        <v>0</v>
      </c>
      <c r="J44" s="1">
        <v>0</v>
      </c>
      <c r="K44" s="1">
        <v>1</v>
      </c>
      <c r="L44" s="1">
        <v>0</v>
      </c>
      <c r="M44" s="1">
        <v>0</v>
      </c>
      <c r="N44" s="1">
        <v>0</v>
      </c>
      <c r="O44" s="1">
        <v>0</v>
      </c>
      <c r="P44" s="1" t="s">
        <v>722</v>
      </c>
      <c r="Q44" s="1">
        <v>5</v>
      </c>
      <c r="R44" s="1">
        <v>2</v>
      </c>
      <c r="S44" s="1">
        <v>1</v>
      </c>
      <c r="T44" s="1">
        <v>1</v>
      </c>
      <c r="U44" s="1">
        <v>4</v>
      </c>
      <c r="V44" s="1">
        <v>4</v>
      </c>
      <c r="W44" s="1">
        <v>4</v>
      </c>
      <c r="X44" s="1">
        <v>4</v>
      </c>
      <c r="Y44" s="1">
        <v>4</v>
      </c>
      <c r="Z44" s="1">
        <v>4</v>
      </c>
      <c r="AA44" s="1">
        <v>4</v>
      </c>
      <c r="AC44" s="1">
        <v>1</v>
      </c>
      <c r="AD44" s="1">
        <v>2</v>
      </c>
      <c r="AF44" s="3">
        <v>3250000</v>
      </c>
      <c r="AG44" s="1">
        <v>13</v>
      </c>
      <c r="AT44" s="1" t="s">
        <v>86</v>
      </c>
      <c r="BP44" s="1">
        <v>3</v>
      </c>
      <c r="BQ44" s="1" t="s">
        <v>723</v>
      </c>
      <c r="BR44" s="1" t="s">
        <v>724</v>
      </c>
      <c r="BT44" s="1" t="s">
        <v>79</v>
      </c>
      <c r="BU44" s="1">
        <v>2</v>
      </c>
      <c r="BV44" s="1">
        <v>1</v>
      </c>
      <c r="BW44" s="1">
        <v>0</v>
      </c>
      <c r="BX44" s="1">
        <v>0</v>
      </c>
      <c r="BY44" s="1">
        <v>1</v>
      </c>
      <c r="BZ44" s="1">
        <v>0</v>
      </c>
      <c r="CA44" s="1">
        <v>0</v>
      </c>
      <c r="CB44" s="1">
        <v>0</v>
      </c>
      <c r="CC44" s="1">
        <v>0</v>
      </c>
      <c r="CD44" s="1">
        <v>1</v>
      </c>
      <c r="CE44" s="1">
        <v>1</v>
      </c>
      <c r="CF44" s="1">
        <v>1</v>
      </c>
      <c r="CG44" s="1">
        <v>0</v>
      </c>
      <c r="CH44" s="1">
        <v>0</v>
      </c>
      <c r="CI44" s="1">
        <v>0</v>
      </c>
      <c r="CJ44" s="1">
        <v>4</v>
      </c>
      <c r="CK44" s="1">
        <v>3</v>
      </c>
      <c r="CL44" s="1">
        <v>4</v>
      </c>
      <c r="CM44" s="1">
        <v>4</v>
      </c>
      <c r="CN44" s="1">
        <v>4</v>
      </c>
      <c r="CO44" s="1">
        <v>4</v>
      </c>
      <c r="CP44" s="1">
        <v>4</v>
      </c>
      <c r="CU44" s="1">
        <v>1</v>
      </c>
    </row>
    <row r="45" spans="1:99" x14ac:dyDescent="0.35">
      <c r="A45" s="1" t="s">
        <v>725</v>
      </c>
      <c r="B45" s="1">
        <v>185211056</v>
      </c>
      <c r="C45" s="1">
        <v>0</v>
      </c>
      <c r="D45" s="1">
        <v>1</v>
      </c>
      <c r="E45" s="1">
        <v>0</v>
      </c>
      <c r="F45" s="1">
        <v>0</v>
      </c>
      <c r="G45" s="1">
        <v>0</v>
      </c>
      <c r="H45" s="1">
        <v>0</v>
      </c>
      <c r="I45" s="1">
        <v>0</v>
      </c>
      <c r="J45" s="1">
        <v>1</v>
      </c>
      <c r="K45" s="1">
        <v>1</v>
      </c>
      <c r="L45" s="1">
        <v>0</v>
      </c>
      <c r="M45" s="1">
        <v>0</v>
      </c>
      <c r="N45" s="1">
        <v>0</v>
      </c>
      <c r="O45" s="1">
        <v>0</v>
      </c>
      <c r="P45" s="1" t="s">
        <v>726</v>
      </c>
      <c r="Q45" s="1" t="s">
        <v>506</v>
      </c>
      <c r="R45" s="1">
        <v>8</v>
      </c>
      <c r="S45" s="1">
        <v>1</v>
      </c>
      <c r="T45" s="1">
        <v>1</v>
      </c>
      <c r="U45" s="1">
        <v>4</v>
      </c>
      <c r="V45" s="1">
        <v>4</v>
      </c>
      <c r="W45" s="1">
        <v>4</v>
      </c>
      <c r="X45" s="1">
        <v>4</v>
      </c>
      <c r="Y45" s="1">
        <v>4</v>
      </c>
      <c r="Z45" s="1">
        <v>4</v>
      </c>
      <c r="AA45" s="1">
        <v>4</v>
      </c>
      <c r="AC45" s="1">
        <v>1</v>
      </c>
      <c r="AD45" s="1">
        <v>6</v>
      </c>
      <c r="AF45" s="3">
        <v>7000000</v>
      </c>
      <c r="AG45" s="1">
        <v>11</v>
      </c>
      <c r="AR45" s="1" t="s">
        <v>118</v>
      </c>
      <c r="BP45" s="1">
        <v>3</v>
      </c>
      <c r="BQ45" s="1" t="s">
        <v>727</v>
      </c>
      <c r="BR45" s="1" t="s">
        <v>728</v>
      </c>
      <c r="BT45" s="1" t="s">
        <v>79</v>
      </c>
      <c r="BU45" s="1">
        <v>1</v>
      </c>
      <c r="BV45" s="1">
        <v>2</v>
      </c>
      <c r="BW45" s="1">
        <v>0</v>
      </c>
      <c r="BX45" s="1">
        <v>0</v>
      </c>
      <c r="BY45" s="1">
        <v>0</v>
      </c>
      <c r="BZ45" s="1">
        <v>0</v>
      </c>
      <c r="CA45" s="1">
        <v>0</v>
      </c>
      <c r="CB45" s="1">
        <v>0</v>
      </c>
      <c r="CC45" s="1">
        <v>0</v>
      </c>
      <c r="CD45" s="1">
        <v>0</v>
      </c>
      <c r="CE45" s="1">
        <v>0</v>
      </c>
      <c r="CF45" s="1">
        <v>0</v>
      </c>
      <c r="CG45" s="1">
        <v>0</v>
      </c>
      <c r="CH45" s="1">
        <v>0</v>
      </c>
      <c r="CJ45" s="1">
        <v>4</v>
      </c>
      <c r="CK45" s="1">
        <v>4</v>
      </c>
      <c r="CL45" s="1">
        <v>4</v>
      </c>
      <c r="CM45" s="1">
        <v>4</v>
      </c>
      <c r="CN45" s="1">
        <v>4</v>
      </c>
      <c r="CO45" s="1">
        <v>4</v>
      </c>
      <c r="CP45" s="1">
        <v>4</v>
      </c>
      <c r="CU45" s="1">
        <v>1</v>
      </c>
    </row>
    <row r="46" spans="1:99" x14ac:dyDescent="0.35">
      <c r="A46" s="1" t="s">
        <v>729</v>
      </c>
      <c r="B46" s="1">
        <v>185211057</v>
      </c>
      <c r="C46" s="1">
        <v>1</v>
      </c>
      <c r="D46" s="1">
        <v>1</v>
      </c>
      <c r="E46" s="1">
        <v>0</v>
      </c>
      <c r="F46" s="1">
        <v>0</v>
      </c>
      <c r="G46" s="1">
        <v>0</v>
      </c>
      <c r="H46" s="1">
        <v>0</v>
      </c>
      <c r="I46" s="1">
        <v>0</v>
      </c>
      <c r="J46" s="1">
        <v>1</v>
      </c>
      <c r="K46" s="1">
        <v>1</v>
      </c>
      <c r="L46" s="1">
        <v>1</v>
      </c>
      <c r="M46" s="1">
        <v>0</v>
      </c>
      <c r="N46" s="1">
        <v>0</v>
      </c>
      <c r="O46" s="1">
        <v>0</v>
      </c>
      <c r="P46" s="1">
        <v>7</v>
      </c>
      <c r="Q46" s="1">
        <v>2</v>
      </c>
      <c r="R46" s="1">
        <v>2</v>
      </c>
      <c r="S46" s="1">
        <v>1</v>
      </c>
      <c r="T46" s="1">
        <v>1</v>
      </c>
      <c r="U46" s="1">
        <v>3</v>
      </c>
      <c r="V46" s="1">
        <v>3</v>
      </c>
      <c r="W46" s="1">
        <v>3</v>
      </c>
      <c r="X46" s="1">
        <v>4</v>
      </c>
      <c r="Y46" s="1">
        <v>4</v>
      </c>
      <c r="Z46" s="1">
        <v>3</v>
      </c>
      <c r="AA46" s="1">
        <v>3</v>
      </c>
      <c r="AC46" s="1">
        <v>2</v>
      </c>
      <c r="AE46" s="1">
        <v>3</v>
      </c>
      <c r="AF46" s="3">
        <v>5200000</v>
      </c>
      <c r="AG46" s="1">
        <v>12</v>
      </c>
      <c r="AS46" s="1" t="s">
        <v>69</v>
      </c>
      <c r="BP46" s="1">
        <v>3</v>
      </c>
      <c r="BQ46" s="1" t="s">
        <v>70</v>
      </c>
      <c r="BR46" s="1" t="s">
        <v>730</v>
      </c>
      <c r="BS46" s="1" t="s">
        <v>731</v>
      </c>
      <c r="BT46" s="1" t="s">
        <v>73</v>
      </c>
      <c r="BU46" s="1">
        <v>3</v>
      </c>
      <c r="BV46" s="1">
        <v>2</v>
      </c>
      <c r="BW46" s="1">
        <v>0</v>
      </c>
      <c r="BX46" s="1">
        <v>1</v>
      </c>
      <c r="BY46" s="1">
        <v>0</v>
      </c>
      <c r="BZ46" s="1">
        <v>0</v>
      </c>
      <c r="CA46" s="1">
        <v>0</v>
      </c>
      <c r="CB46" s="1">
        <v>1</v>
      </c>
      <c r="CC46" s="1">
        <v>1</v>
      </c>
      <c r="CD46" s="1">
        <v>0</v>
      </c>
      <c r="CE46" s="1">
        <v>0</v>
      </c>
      <c r="CF46" s="1">
        <v>0</v>
      </c>
      <c r="CG46" s="1">
        <v>0</v>
      </c>
      <c r="CH46" s="1">
        <v>1</v>
      </c>
      <c r="CI46" s="1">
        <v>0</v>
      </c>
      <c r="CJ46" s="1">
        <v>4</v>
      </c>
      <c r="CK46" s="1">
        <v>4</v>
      </c>
      <c r="CL46" s="1">
        <v>4</v>
      </c>
      <c r="CM46" s="1">
        <v>4</v>
      </c>
      <c r="CN46" s="1">
        <v>4</v>
      </c>
      <c r="CO46" s="1">
        <v>4</v>
      </c>
      <c r="CP46" s="1">
        <v>4</v>
      </c>
      <c r="CU46" s="1">
        <v>1</v>
      </c>
    </row>
    <row r="47" spans="1:99" x14ac:dyDescent="0.35">
      <c r="A47" s="1" t="s">
        <v>732</v>
      </c>
      <c r="B47" s="1">
        <v>185211060</v>
      </c>
      <c r="C47" s="1">
        <v>0</v>
      </c>
      <c r="D47" s="1">
        <v>0</v>
      </c>
      <c r="E47" s="1">
        <v>0</v>
      </c>
      <c r="F47" s="1">
        <v>0</v>
      </c>
      <c r="G47" s="1">
        <v>0</v>
      </c>
      <c r="H47" s="1">
        <v>0</v>
      </c>
      <c r="I47" s="1">
        <v>0</v>
      </c>
      <c r="J47" s="1">
        <v>0</v>
      </c>
      <c r="K47" s="1">
        <v>1</v>
      </c>
      <c r="L47" s="1">
        <v>0</v>
      </c>
      <c r="M47" s="1">
        <v>0</v>
      </c>
      <c r="N47" s="1">
        <v>1</v>
      </c>
      <c r="O47" s="1">
        <v>0</v>
      </c>
      <c r="P47" s="1">
        <v>3</v>
      </c>
      <c r="Q47" s="1">
        <v>2</v>
      </c>
      <c r="R47" s="1">
        <v>1</v>
      </c>
      <c r="S47" s="1">
        <v>4</v>
      </c>
      <c r="T47" s="1">
        <v>3</v>
      </c>
      <c r="U47" s="1">
        <v>4</v>
      </c>
      <c r="V47" s="1">
        <v>3</v>
      </c>
      <c r="W47" s="1">
        <v>2</v>
      </c>
      <c r="X47" s="1">
        <v>4</v>
      </c>
      <c r="Y47" s="1">
        <v>4</v>
      </c>
      <c r="Z47" s="1">
        <v>4</v>
      </c>
      <c r="AA47" s="1">
        <v>4</v>
      </c>
      <c r="CQ47" s="1">
        <v>1</v>
      </c>
      <c r="CR47" s="1" t="s">
        <v>733</v>
      </c>
      <c r="CS47" s="1" t="s">
        <v>734</v>
      </c>
      <c r="CT47" s="5">
        <v>44601</v>
      </c>
      <c r="CU47" s="1">
        <v>1</v>
      </c>
    </row>
    <row r="48" spans="1:99" x14ac:dyDescent="0.35">
      <c r="A48" s="1" t="s">
        <v>735</v>
      </c>
      <c r="B48" s="1">
        <v>185211062</v>
      </c>
      <c r="S48" s="1">
        <v>3</v>
      </c>
      <c r="T48" s="1">
        <v>1</v>
      </c>
      <c r="U48" s="1">
        <v>4</v>
      </c>
      <c r="V48" s="1">
        <v>3</v>
      </c>
      <c r="W48" s="1">
        <v>2</v>
      </c>
      <c r="X48" s="1">
        <v>3</v>
      </c>
      <c r="Y48" s="1">
        <v>3</v>
      </c>
      <c r="Z48" s="1">
        <v>3</v>
      </c>
      <c r="AA48" s="1">
        <v>4</v>
      </c>
      <c r="AB48" s="1">
        <v>1</v>
      </c>
      <c r="AC48" s="1">
        <v>1</v>
      </c>
      <c r="AD48" s="1">
        <v>1</v>
      </c>
      <c r="AF48" s="3">
        <v>8000000</v>
      </c>
      <c r="AG48" s="1">
        <v>13</v>
      </c>
      <c r="AT48" s="1" t="s">
        <v>271</v>
      </c>
      <c r="BP48" s="1">
        <v>4</v>
      </c>
      <c r="BQ48" s="1" t="s">
        <v>736</v>
      </c>
      <c r="BS48" s="1" t="s">
        <v>737</v>
      </c>
      <c r="BT48" s="1" t="s">
        <v>107</v>
      </c>
      <c r="BU48" s="1">
        <v>3</v>
      </c>
      <c r="BV48" s="1">
        <v>4</v>
      </c>
      <c r="BW48" s="1">
        <v>0</v>
      </c>
      <c r="BX48" s="1">
        <v>0</v>
      </c>
      <c r="BY48" s="1">
        <v>1</v>
      </c>
      <c r="BZ48" s="1">
        <v>0</v>
      </c>
      <c r="CA48" s="1">
        <v>0</v>
      </c>
      <c r="CB48" s="1">
        <v>1</v>
      </c>
      <c r="CC48" s="1">
        <v>1</v>
      </c>
      <c r="CD48" s="1">
        <v>1</v>
      </c>
      <c r="CE48" s="1">
        <v>0</v>
      </c>
      <c r="CF48" s="1">
        <v>0</v>
      </c>
      <c r="CG48" s="1">
        <v>1</v>
      </c>
      <c r="CH48" s="1">
        <v>0</v>
      </c>
      <c r="CI48" s="1">
        <v>0</v>
      </c>
      <c r="CJ48" s="1">
        <v>4</v>
      </c>
      <c r="CK48" s="1">
        <v>4</v>
      </c>
      <c r="CL48" s="1">
        <v>2</v>
      </c>
      <c r="CM48" s="1">
        <v>4</v>
      </c>
      <c r="CN48" s="1">
        <v>4</v>
      </c>
      <c r="CO48" s="1">
        <v>4</v>
      </c>
      <c r="CP48" s="1">
        <v>4</v>
      </c>
      <c r="CU48" s="1">
        <v>1</v>
      </c>
    </row>
    <row r="49" spans="1:99" x14ac:dyDescent="0.35">
      <c r="A49" s="1" t="s">
        <v>738</v>
      </c>
      <c r="B49" s="1">
        <v>185211063</v>
      </c>
      <c r="C49" s="1">
        <v>0</v>
      </c>
      <c r="D49" s="1">
        <v>1</v>
      </c>
      <c r="E49" s="1">
        <v>0</v>
      </c>
      <c r="F49" s="1">
        <v>0</v>
      </c>
      <c r="G49" s="1">
        <v>0</v>
      </c>
      <c r="H49" s="1">
        <v>0</v>
      </c>
      <c r="I49" s="1">
        <v>0</v>
      </c>
      <c r="J49" s="1">
        <v>1</v>
      </c>
      <c r="K49" s="1">
        <v>1</v>
      </c>
      <c r="L49" s="1">
        <v>0</v>
      </c>
      <c r="M49" s="1">
        <v>0</v>
      </c>
      <c r="N49" s="1">
        <v>0</v>
      </c>
      <c r="O49" s="1">
        <v>0</v>
      </c>
      <c r="P49" s="7">
        <v>44105</v>
      </c>
      <c r="Q49" s="1">
        <v>5</v>
      </c>
      <c r="R49" s="1">
        <v>5</v>
      </c>
      <c r="S49" s="1">
        <v>1</v>
      </c>
      <c r="T49" s="1">
        <v>1</v>
      </c>
      <c r="U49" s="1">
        <v>4</v>
      </c>
      <c r="V49" s="1">
        <v>4</v>
      </c>
      <c r="W49" s="1">
        <v>4</v>
      </c>
      <c r="X49" s="1">
        <v>4</v>
      </c>
      <c r="Y49" s="1">
        <v>4</v>
      </c>
      <c r="Z49" s="1">
        <v>4</v>
      </c>
      <c r="AA49" s="1">
        <v>4</v>
      </c>
      <c r="AC49" s="1">
        <v>1</v>
      </c>
      <c r="AD49" s="1">
        <v>2</v>
      </c>
      <c r="AF49" s="3">
        <v>4000000</v>
      </c>
      <c r="AG49" s="1">
        <v>13</v>
      </c>
      <c r="AT49" s="1" t="s">
        <v>86</v>
      </c>
      <c r="BP49" s="1">
        <v>3</v>
      </c>
      <c r="BQ49" s="1" t="s">
        <v>739</v>
      </c>
      <c r="BT49" s="1" t="s">
        <v>79</v>
      </c>
      <c r="BU49" s="1">
        <v>3</v>
      </c>
      <c r="BV49" s="1">
        <v>2</v>
      </c>
      <c r="BW49" s="1">
        <v>0</v>
      </c>
      <c r="BX49" s="1">
        <v>1</v>
      </c>
      <c r="BY49" s="1">
        <v>0</v>
      </c>
      <c r="BZ49" s="1">
        <v>0</v>
      </c>
      <c r="CA49" s="1">
        <v>0</v>
      </c>
      <c r="CB49" s="1">
        <v>0</v>
      </c>
      <c r="CC49" s="1">
        <v>0</v>
      </c>
      <c r="CD49" s="1">
        <v>0</v>
      </c>
      <c r="CE49" s="1">
        <v>1</v>
      </c>
      <c r="CF49" s="1">
        <v>0</v>
      </c>
      <c r="CG49" s="1">
        <v>0</v>
      </c>
      <c r="CH49" s="1">
        <v>0</v>
      </c>
      <c r="CI49" s="1">
        <v>0</v>
      </c>
      <c r="CJ49" s="1">
        <v>3</v>
      </c>
      <c r="CK49" s="1">
        <v>3</v>
      </c>
      <c r="CL49" s="1">
        <v>3</v>
      </c>
      <c r="CM49" s="1">
        <v>3</v>
      </c>
      <c r="CN49" s="1">
        <v>3</v>
      </c>
      <c r="CO49" s="1">
        <v>3</v>
      </c>
      <c r="CP49" s="1">
        <v>3</v>
      </c>
      <c r="CU49" s="1">
        <v>4</v>
      </c>
    </row>
    <row r="50" spans="1:99" x14ac:dyDescent="0.35">
      <c r="A50" s="1" t="s">
        <v>740</v>
      </c>
      <c r="B50" s="1">
        <v>185211065</v>
      </c>
      <c r="C50" s="1">
        <v>0</v>
      </c>
      <c r="D50" s="1">
        <v>0</v>
      </c>
      <c r="E50" s="1">
        <v>1</v>
      </c>
      <c r="F50" s="1">
        <v>0</v>
      </c>
      <c r="G50" s="1">
        <v>0</v>
      </c>
      <c r="H50" s="1">
        <v>0</v>
      </c>
      <c r="I50" s="1">
        <v>0</v>
      </c>
      <c r="J50" s="1">
        <v>0</v>
      </c>
      <c r="K50" s="1">
        <v>0</v>
      </c>
      <c r="L50" s="1">
        <v>0</v>
      </c>
      <c r="M50" s="1">
        <v>0</v>
      </c>
      <c r="N50" s="1">
        <v>0</v>
      </c>
      <c r="O50" s="1">
        <v>0</v>
      </c>
      <c r="P50" s="1" t="s">
        <v>741</v>
      </c>
      <c r="Q50" s="1">
        <v>3</v>
      </c>
      <c r="R50" s="1">
        <v>1</v>
      </c>
      <c r="S50" s="1">
        <v>1</v>
      </c>
      <c r="T50" s="1">
        <v>1</v>
      </c>
      <c r="U50" s="1">
        <v>3</v>
      </c>
      <c r="V50" s="1">
        <v>2</v>
      </c>
      <c r="W50" s="1">
        <v>3</v>
      </c>
      <c r="X50" s="1">
        <v>4</v>
      </c>
      <c r="Y50" s="1">
        <v>4</v>
      </c>
      <c r="Z50" s="1">
        <v>4</v>
      </c>
      <c r="AA50" s="1">
        <v>3</v>
      </c>
      <c r="AC50" s="1">
        <v>1</v>
      </c>
      <c r="AD50" s="1">
        <v>0</v>
      </c>
      <c r="AF50" s="3">
        <v>3000000</v>
      </c>
      <c r="AG50" s="1">
        <v>13</v>
      </c>
      <c r="AT50" s="1" t="s">
        <v>83</v>
      </c>
      <c r="BP50" s="1">
        <v>3</v>
      </c>
      <c r="BQ50" s="1" t="s">
        <v>742</v>
      </c>
      <c r="BR50" s="1" t="s">
        <v>743</v>
      </c>
      <c r="BS50" s="1" t="s">
        <v>744</v>
      </c>
      <c r="BT50" s="1" t="s">
        <v>107</v>
      </c>
      <c r="BU50" s="1">
        <v>1</v>
      </c>
      <c r="BV50" s="1">
        <v>3</v>
      </c>
      <c r="BW50" s="1">
        <v>0</v>
      </c>
      <c r="BX50" s="1">
        <v>1</v>
      </c>
      <c r="BY50" s="1">
        <v>0</v>
      </c>
      <c r="BZ50" s="1">
        <v>0</v>
      </c>
      <c r="CA50" s="1">
        <v>0</v>
      </c>
      <c r="CB50" s="1">
        <v>0</v>
      </c>
      <c r="CC50" s="1">
        <v>0</v>
      </c>
      <c r="CD50" s="1">
        <v>0</v>
      </c>
      <c r="CE50" s="1">
        <v>0</v>
      </c>
      <c r="CF50" s="1">
        <v>0</v>
      </c>
      <c r="CG50" s="1">
        <v>0</v>
      </c>
      <c r="CH50" s="1">
        <v>0</v>
      </c>
      <c r="CI50" s="1">
        <v>0</v>
      </c>
      <c r="CJ50" s="1">
        <v>4</v>
      </c>
      <c r="CK50" s="1">
        <v>3</v>
      </c>
      <c r="CL50" s="1">
        <v>2</v>
      </c>
      <c r="CM50" s="1">
        <v>3</v>
      </c>
      <c r="CN50" s="1">
        <v>4</v>
      </c>
      <c r="CO50" s="1">
        <v>4</v>
      </c>
      <c r="CP50" s="1">
        <v>4</v>
      </c>
      <c r="CU50" s="1">
        <v>4</v>
      </c>
    </row>
    <row r="51" spans="1:99" x14ac:dyDescent="0.35">
      <c r="A51" s="1" t="s">
        <v>3610</v>
      </c>
      <c r="B51" s="1">
        <v>185211035</v>
      </c>
    </row>
    <row r="52" spans="1:99" x14ac:dyDescent="0.35">
      <c r="A52" s="1" t="s">
        <v>3611</v>
      </c>
      <c r="B52" s="1">
        <v>185211040</v>
      </c>
    </row>
    <row r="53" spans="1:99" x14ac:dyDescent="0.35">
      <c r="A53" s="1" t="s">
        <v>3612</v>
      </c>
      <c r="B53" s="1">
        <v>185211041</v>
      </c>
    </row>
    <row r="54" spans="1:99" x14ac:dyDescent="0.35">
      <c r="A54" s="1" t="s">
        <v>3613</v>
      </c>
      <c r="B54" s="1">
        <v>185211042</v>
      </c>
    </row>
    <row r="55" spans="1:99" x14ac:dyDescent="0.35">
      <c r="A55" s="1" t="s">
        <v>3614</v>
      </c>
      <c r="B55" s="1">
        <v>185211055</v>
      </c>
    </row>
    <row r="56" spans="1:99" x14ac:dyDescent="0.35">
      <c r="A56" s="1" t="s">
        <v>3615</v>
      </c>
      <c r="B56" s="1">
        <v>185211064</v>
      </c>
    </row>
    <row r="57" spans="1:99" x14ac:dyDescent="0.35">
      <c r="A57" s="1" t="s">
        <v>4314</v>
      </c>
      <c r="B57" s="1">
        <v>185211014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18266-BB46-42FA-8AF0-E934BD5BD947}">
  <dimension ref="A1:CU58"/>
  <sheetViews>
    <sheetView zoomScale="47" zoomScaleNormal="55" workbookViewId="0">
      <pane xSplit="2" ySplit="15" topLeftCell="CT16" activePane="bottomRight" state="frozen"/>
      <selection pane="topRight" activeCell="C1" sqref="C1"/>
      <selection pane="bottomLeft" activeCell="A16" sqref="A16"/>
      <selection pane="bottomRight" activeCell="CU30" sqref="CU30"/>
    </sheetView>
  </sheetViews>
  <sheetFormatPr defaultColWidth="8.90625" defaultRowHeight="14.5" x14ac:dyDescent="0.35"/>
  <cols>
    <col min="1" max="1" width="40.54296875" style="1" bestFit="1" customWidth="1"/>
    <col min="2" max="2" width="11.7265625" style="1" bestFit="1" customWidth="1"/>
    <col min="3" max="9" width="72.26953125" style="1" bestFit="1" customWidth="1"/>
    <col min="10" max="10" width="73" style="1" bestFit="1" customWidth="1"/>
    <col min="11" max="11" width="72.6328125" style="1" bestFit="1" customWidth="1"/>
    <col min="12" max="14" width="73" style="1" bestFit="1" customWidth="1"/>
    <col min="15" max="15" width="75.90625" style="1" bestFit="1" customWidth="1"/>
    <col min="16" max="16" width="122.36328125" style="1" bestFit="1" customWidth="1"/>
    <col min="17" max="17" width="71.81640625" style="1" bestFit="1" customWidth="1"/>
    <col min="18" max="18" width="83.08984375" style="1" bestFit="1" customWidth="1"/>
    <col min="19" max="19" width="28.54296875" style="1" bestFit="1" customWidth="1"/>
    <col min="20" max="20" width="46.90625" style="1" bestFit="1" customWidth="1"/>
    <col min="21" max="21" width="76.08984375" style="1" bestFit="1" customWidth="1"/>
    <col min="22" max="22" width="103" style="1" bestFit="1" customWidth="1"/>
    <col min="23" max="23" width="85.36328125" style="1" bestFit="1" customWidth="1"/>
    <col min="24" max="24" width="102" style="1" bestFit="1" customWidth="1"/>
    <col min="25" max="25" width="82.26953125" style="1" bestFit="1" customWidth="1"/>
    <col min="26" max="26" width="85" style="1" bestFit="1" customWidth="1"/>
    <col min="27" max="27" width="90" style="1" bestFit="1" customWidth="1"/>
    <col min="28" max="28" width="47.26953125" style="1" bestFit="1" customWidth="1"/>
    <col min="29" max="29" width="82.453125" style="1" bestFit="1" customWidth="1"/>
    <col min="30" max="30" width="49.1796875" style="1" bestFit="1" customWidth="1"/>
    <col min="31" max="31" width="56.7265625" style="1" bestFit="1" customWidth="1"/>
    <col min="32" max="32" width="136.26953125" style="1" bestFit="1" customWidth="1"/>
    <col min="33" max="33" width="43.1796875" style="1" bestFit="1" customWidth="1"/>
    <col min="34" max="35" width="51.36328125" style="1" bestFit="1" customWidth="1"/>
    <col min="36" max="37" width="51.7265625" style="1" bestFit="1" customWidth="1"/>
    <col min="38" max="38" width="51.36328125" style="1" bestFit="1" customWidth="1"/>
    <col min="39" max="52" width="51.7265625" style="1" bestFit="1" customWidth="1"/>
    <col min="53" max="55" width="51.36328125" style="1" bestFit="1" customWidth="1"/>
    <col min="56" max="64" width="51.7265625" style="1" bestFit="1" customWidth="1"/>
    <col min="65" max="67" width="51.36328125" style="1" bestFit="1" customWidth="1"/>
    <col min="68" max="68" width="65.6328125" style="1" bestFit="1" customWidth="1"/>
    <col min="69" max="69" width="49.1796875" style="1" bestFit="1" customWidth="1"/>
    <col min="70" max="70" width="58.26953125" style="1" bestFit="1" customWidth="1"/>
    <col min="71" max="71" width="51.1796875" style="1" bestFit="1" customWidth="1"/>
    <col min="72" max="72" width="62" style="1" bestFit="1" customWidth="1"/>
    <col min="73" max="73" width="249.6328125" style="1" bestFit="1" customWidth="1"/>
    <col min="74" max="74" width="74" style="1" bestFit="1" customWidth="1"/>
    <col min="75" max="75" width="132.81640625" style="1" bestFit="1" customWidth="1"/>
    <col min="76" max="83" width="133.1796875" style="1" bestFit="1" customWidth="1"/>
    <col min="84" max="84" width="133.90625" style="1" bestFit="1" customWidth="1"/>
    <col min="85" max="85" width="133.54296875" style="1" bestFit="1" customWidth="1"/>
    <col min="86" max="86" width="133.90625" style="1" bestFit="1" customWidth="1"/>
    <col min="87" max="87" width="136.81640625" style="1" bestFit="1" customWidth="1"/>
    <col min="88" max="88" width="85.54296875" style="1" bestFit="1" customWidth="1"/>
    <col min="89" max="89" width="112.453125" style="1" bestFit="1" customWidth="1"/>
    <col min="90" max="90" width="94.90625" style="1" bestFit="1" customWidth="1"/>
    <col min="91" max="91" width="111.54296875" style="1" bestFit="1" customWidth="1"/>
    <col min="92" max="92" width="91.81640625" style="1" bestFit="1" customWidth="1"/>
    <col min="93" max="93" width="94.453125" style="1" bestFit="1" customWidth="1"/>
    <col min="94" max="94" width="99.54296875" style="1" bestFit="1" customWidth="1"/>
    <col min="95" max="95" width="45.1796875" style="1" bestFit="1" customWidth="1"/>
    <col min="96" max="96" width="60.6328125" style="1" bestFit="1" customWidth="1"/>
    <col min="97" max="97" width="37.26953125" style="1" bestFit="1" customWidth="1"/>
    <col min="98" max="98" width="28.7265625" style="1" bestFit="1" customWidth="1"/>
    <col min="99" max="99" width="58.54296875" style="1" bestFit="1" customWidth="1"/>
    <col min="100" max="16384" width="8.90625" style="1"/>
  </cols>
  <sheetData>
    <row r="1" spans="1:99" s="6" customFormat="1" x14ac:dyDescent="0.35">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6" t="s">
        <v>15</v>
      </c>
      <c r="Q1" s="6" t="s">
        <v>16</v>
      </c>
      <c r="R1" s="6" t="s">
        <v>17</v>
      </c>
      <c r="S1" s="6" t="s">
        <v>18</v>
      </c>
      <c r="T1" s="6" t="s">
        <v>19</v>
      </c>
      <c r="U1" s="6" t="s">
        <v>20</v>
      </c>
      <c r="V1" s="6" t="s">
        <v>21</v>
      </c>
      <c r="W1" s="6" t="s">
        <v>22</v>
      </c>
      <c r="X1" s="6" t="s">
        <v>23</v>
      </c>
      <c r="Y1" s="6" t="s">
        <v>24</v>
      </c>
      <c r="Z1" s="6" t="s">
        <v>25</v>
      </c>
      <c r="AA1" s="6" t="s">
        <v>26</v>
      </c>
      <c r="AB1" s="6" t="s">
        <v>27</v>
      </c>
      <c r="AC1" s="6" t="s">
        <v>28</v>
      </c>
      <c r="AD1" s="6" t="s">
        <v>29</v>
      </c>
      <c r="AE1" s="6" t="s">
        <v>30</v>
      </c>
      <c r="AF1" s="6" t="s">
        <v>31</v>
      </c>
      <c r="AG1" s="6" t="s">
        <v>32</v>
      </c>
      <c r="AH1" s="6" t="s">
        <v>33</v>
      </c>
      <c r="AI1" s="6" t="s">
        <v>33</v>
      </c>
      <c r="AJ1" s="6" t="s">
        <v>34</v>
      </c>
      <c r="AK1" s="6" t="s">
        <v>34</v>
      </c>
      <c r="AL1" s="6" t="s">
        <v>33</v>
      </c>
      <c r="AM1" s="6" t="s">
        <v>34</v>
      </c>
      <c r="AN1" s="6" t="s">
        <v>34</v>
      </c>
      <c r="AO1" s="6" t="s">
        <v>34</v>
      </c>
      <c r="AP1" s="6" t="s">
        <v>34</v>
      </c>
      <c r="AQ1" s="6" t="s">
        <v>34</v>
      </c>
      <c r="AR1" s="6" t="s">
        <v>34</v>
      </c>
      <c r="AS1" s="6" t="s">
        <v>34</v>
      </c>
      <c r="AT1" s="6" t="s">
        <v>34</v>
      </c>
      <c r="AU1" s="6" t="s">
        <v>34</v>
      </c>
      <c r="AV1" s="6" t="s">
        <v>34</v>
      </c>
      <c r="AW1" s="6" t="s">
        <v>34</v>
      </c>
      <c r="AX1" s="6" t="s">
        <v>34</v>
      </c>
      <c r="AY1" s="6" t="s">
        <v>34</v>
      </c>
      <c r="AZ1" s="6" t="s">
        <v>34</v>
      </c>
      <c r="BA1" s="6" t="s">
        <v>33</v>
      </c>
      <c r="BB1" s="6" t="s">
        <v>33</v>
      </c>
      <c r="BC1" s="6" t="s">
        <v>33</v>
      </c>
      <c r="BD1" s="6" t="s">
        <v>34</v>
      </c>
      <c r="BE1" s="6" t="s">
        <v>34</v>
      </c>
      <c r="BF1" s="6" t="s">
        <v>34</v>
      </c>
      <c r="BG1" s="6" t="s">
        <v>34</v>
      </c>
      <c r="BH1" s="6" t="s">
        <v>34</v>
      </c>
      <c r="BI1" s="6" t="s">
        <v>34</v>
      </c>
      <c r="BJ1" s="6" t="s">
        <v>34</v>
      </c>
      <c r="BK1" s="6" t="s">
        <v>34</v>
      </c>
      <c r="BL1" s="6" t="s">
        <v>34</v>
      </c>
      <c r="BM1" s="6" t="s">
        <v>33</v>
      </c>
      <c r="BN1" s="6" t="s">
        <v>33</v>
      </c>
      <c r="BO1" s="6" t="s">
        <v>33</v>
      </c>
      <c r="BP1" s="6" t="s">
        <v>35</v>
      </c>
      <c r="BQ1" s="6" t="s">
        <v>36</v>
      </c>
      <c r="BR1" s="6" t="s">
        <v>37</v>
      </c>
      <c r="BS1" s="6" t="s">
        <v>38</v>
      </c>
      <c r="BT1" s="6" t="s">
        <v>39</v>
      </c>
      <c r="BU1" s="6" t="s">
        <v>40</v>
      </c>
      <c r="BV1" s="6" t="s">
        <v>41</v>
      </c>
      <c r="BW1" s="6" t="s">
        <v>42</v>
      </c>
      <c r="BX1" s="6" t="s">
        <v>43</v>
      </c>
      <c r="BY1" s="6" t="s">
        <v>44</v>
      </c>
      <c r="BZ1" s="6" t="s">
        <v>45</v>
      </c>
      <c r="CA1" s="6" t="s">
        <v>46</v>
      </c>
      <c r="CB1" s="6" t="s">
        <v>47</v>
      </c>
      <c r="CC1" s="6" t="s">
        <v>48</v>
      </c>
      <c r="CD1" s="6" t="s">
        <v>49</v>
      </c>
      <c r="CE1" s="6" t="s">
        <v>50</v>
      </c>
      <c r="CF1" s="6" t="s">
        <v>51</v>
      </c>
      <c r="CG1" s="6" t="s">
        <v>52</v>
      </c>
      <c r="CH1" s="6" t="s">
        <v>53</v>
      </c>
      <c r="CI1" s="6" t="s">
        <v>54</v>
      </c>
      <c r="CJ1" s="6" t="s">
        <v>55</v>
      </c>
      <c r="CK1" s="6" t="s">
        <v>56</v>
      </c>
      <c r="CL1" s="6" t="s">
        <v>57</v>
      </c>
      <c r="CM1" s="6" t="s">
        <v>58</v>
      </c>
      <c r="CN1" s="6" t="s">
        <v>59</v>
      </c>
      <c r="CO1" s="6" t="s">
        <v>60</v>
      </c>
      <c r="CP1" s="6" t="s">
        <v>61</v>
      </c>
      <c r="CQ1" s="6" t="s">
        <v>62</v>
      </c>
      <c r="CR1" s="6" t="s">
        <v>63</v>
      </c>
      <c r="CS1" s="6" t="s">
        <v>64</v>
      </c>
      <c r="CT1" s="6" t="s">
        <v>65</v>
      </c>
      <c r="CU1" s="6" t="s">
        <v>66</v>
      </c>
    </row>
    <row r="2" spans="1:99" x14ac:dyDescent="0.35">
      <c r="A2" s="1" t="s">
        <v>81</v>
      </c>
      <c r="B2" s="1">
        <v>175154001</v>
      </c>
      <c r="C2" s="1">
        <v>0</v>
      </c>
      <c r="D2" s="1">
        <v>1</v>
      </c>
      <c r="E2" s="1">
        <v>0</v>
      </c>
      <c r="F2" s="1">
        <v>0</v>
      </c>
      <c r="G2" s="1">
        <v>0</v>
      </c>
      <c r="H2" s="1">
        <v>0</v>
      </c>
      <c r="I2" s="1">
        <v>0</v>
      </c>
      <c r="J2" s="1">
        <v>0</v>
      </c>
      <c r="K2" s="1">
        <v>0</v>
      </c>
      <c r="L2" s="1">
        <v>0</v>
      </c>
      <c r="M2" s="1">
        <v>0</v>
      </c>
      <c r="N2" s="1">
        <v>0</v>
      </c>
      <c r="O2" s="1">
        <v>0</v>
      </c>
      <c r="P2" s="1">
        <v>10</v>
      </c>
      <c r="Q2" s="1">
        <v>6</v>
      </c>
      <c r="R2" s="1">
        <v>5</v>
      </c>
    </row>
    <row r="3" spans="1:99" x14ac:dyDescent="0.35">
      <c r="A3" s="1" t="s">
        <v>82</v>
      </c>
      <c r="B3" s="1">
        <v>175154003</v>
      </c>
      <c r="C3" s="1">
        <v>0</v>
      </c>
      <c r="D3" s="1">
        <v>1</v>
      </c>
      <c r="E3" s="1">
        <v>0</v>
      </c>
      <c r="F3" s="1">
        <v>0</v>
      </c>
      <c r="G3" s="1">
        <v>0</v>
      </c>
      <c r="H3" s="1">
        <v>0</v>
      </c>
      <c r="I3" s="1">
        <v>0</v>
      </c>
      <c r="J3" s="1">
        <v>0</v>
      </c>
      <c r="K3" s="1">
        <v>0</v>
      </c>
      <c r="L3" s="1">
        <v>0</v>
      </c>
      <c r="M3" s="1">
        <v>0</v>
      </c>
      <c r="N3" s="1">
        <v>0</v>
      </c>
      <c r="O3" s="1">
        <v>0</v>
      </c>
      <c r="P3" s="1">
        <v>200</v>
      </c>
      <c r="Q3" s="1">
        <v>30</v>
      </c>
      <c r="R3" s="1">
        <v>20</v>
      </c>
      <c r="S3" s="1">
        <v>1</v>
      </c>
      <c r="T3" s="1">
        <v>1</v>
      </c>
      <c r="U3" s="1">
        <v>4</v>
      </c>
      <c r="V3" s="1">
        <v>3</v>
      </c>
      <c r="W3" s="1">
        <v>2</v>
      </c>
      <c r="X3" s="1">
        <v>3</v>
      </c>
      <c r="Y3" s="1">
        <v>3</v>
      </c>
      <c r="Z3" s="1">
        <v>3</v>
      </c>
      <c r="AA3" s="1">
        <v>3</v>
      </c>
      <c r="AC3" s="1">
        <v>2</v>
      </c>
      <c r="AE3" s="1">
        <v>10</v>
      </c>
      <c r="AF3" s="3">
        <v>6000000</v>
      </c>
      <c r="AG3" s="1">
        <v>13</v>
      </c>
      <c r="AT3" s="1" t="s">
        <v>83</v>
      </c>
      <c r="BP3" s="1">
        <v>3</v>
      </c>
      <c r="BQ3" s="1" t="s">
        <v>84</v>
      </c>
      <c r="BU3" s="1">
        <v>1</v>
      </c>
      <c r="BV3" s="1">
        <v>2</v>
      </c>
      <c r="BW3" s="1">
        <v>1</v>
      </c>
      <c r="BX3" s="1">
        <v>0</v>
      </c>
      <c r="BY3" s="1">
        <v>0</v>
      </c>
      <c r="BZ3" s="1">
        <v>0</v>
      </c>
      <c r="CA3" s="1">
        <v>0</v>
      </c>
      <c r="CB3" s="1">
        <v>0</v>
      </c>
      <c r="CC3" s="1">
        <v>0</v>
      </c>
      <c r="CD3" s="1">
        <v>0</v>
      </c>
      <c r="CE3" s="1">
        <v>0</v>
      </c>
      <c r="CF3" s="1">
        <v>0</v>
      </c>
      <c r="CG3" s="1">
        <v>0</v>
      </c>
      <c r="CH3" s="1">
        <v>0</v>
      </c>
      <c r="CI3" s="1">
        <v>0</v>
      </c>
      <c r="CJ3" s="1">
        <v>4</v>
      </c>
      <c r="CK3" s="1">
        <v>4</v>
      </c>
      <c r="CL3" s="1">
        <v>3</v>
      </c>
      <c r="CM3" s="1">
        <v>4</v>
      </c>
      <c r="CN3" s="1">
        <v>4</v>
      </c>
      <c r="CO3" s="1">
        <v>4</v>
      </c>
      <c r="CP3" s="1">
        <v>4</v>
      </c>
    </row>
    <row r="4" spans="1:99" x14ac:dyDescent="0.35">
      <c r="A4" s="1" t="s">
        <v>85</v>
      </c>
      <c r="B4" s="1">
        <v>175154008</v>
      </c>
      <c r="C4" s="1">
        <v>0</v>
      </c>
      <c r="D4" s="1">
        <v>1</v>
      </c>
      <c r="E4" s="1">
        <v>0</v>
      </c>
      <c r="F4" s="1">
        <v>0</v>
      </c>
      <c r="G4" s="1">
        <v>0</v>
      </c>
      <c r="H4" s="1">
        <v>0</v>
      </c>
      <c r="I4" s="1">
        <v>0</v>
      </c>
      <c r="J4" s="1">
        <v>0</v>
      </c>
      <c r="K4" s="1">
        <v>1</v>
      </c>
      <c r="L4" s="1">
        <v>0</v>
      </c>
      <c r="M4" s="1">
        <v>0</v>
      </c>
      <c r="N4" s="1">
        <v>0</v>
      </c>
      <c r="O4" s="1">
        <v>0</v>
      </c>
      <c r="P4" s="1">
        <v>50</v>
      </c>
      <c r="Q4" s="1">
        <v>20</v>
      </c>
      <c r="R4" s="1">
        <v>10</v>
      </c>
      <c r="S4" s="1">
        <v>1</v>
      </c>
      <c r="T4" s="1">
        <v>1</v>
      </c>
      <c r="U4" s="1">
        <v>3</v>
      </c>
      <c r="V4" s="1">
        <v>3</v>
      </c>
      <c r="W4" s="1">
        <v>3</v>
      </c>
      <c r="X4" s="1">
        <v>3</v>
      </c>
      <c r="Y4" s="1">
        <v>3</v>
      </c>
      <c r="Z4" s="1">
        <v>3</v>
      </c>
      <c r="AA4" s="1">
        <v>3</v>
      </c>
      <c r="AC4" s="1">
        <v>2</v>
      </c>
      <c r="AE4" s="1">
        <v>1</v>
      </c>
      <c r="AF4" s="3">
        <v>4500000</v>
      </c>
      <c r="AG4" s="1">
        <v>13</v>
      </c>
      <c r="AT4" s="1" t="s">
        <v>86</v>
      </c>
      <c r="BP4" s="1">
        <v>6</v>
      </c>
      <c r="BQ4" s="1" t="s">
        <v>87</v>
      </c>
      <c r="BR4" s="1" t="s">
        <v>88</v>
      </c>
      <c r="BS4" s="1" t="s">
        <v>89</v>
      </c>
      <c r="BT4" s="1" t="s">
        <v>79</v>
      </c>
      <c r="BU4" s="1">
        <v>3</v>
      </c>
      <c r="BV4" s="1">
        <v>2</v>
      </c>
      <c r="BW4" s="1">
        <v>1</v>
      </c>
      <c r="BX4" s="1">
        <v>0</v>
      </c>
      <c r="BY4" s="1">
        <v>0</v>
      </c>
      <c r="BZ4" s="1">
        <v>0</v>
      </c>
      <c r="CA4" s="1">
        <v>0</v>
      </c>
      <c r="CB4" s="1">
        <v>0</v>
      </c>
      <c r="CC4" s="1">
        <v>0</v>
      </c>
      <c r="CD4" s="1">
        <v>0</v>
      </c>
      <c r="CE4" s="1">
        <v>0</v>
      </c>
      <c r="CF4" s="1">
        <v>0</v>
      </c>
      <c r="CG4" s="1">
        <v>0</v>
      </c>
      <c r="CH4" s="1">
        <v>0</v>
      </c>
      <c r="CI4" s="1">
        <v>0</v>
      </c>
      <c r="CJ4" s="1">
        <v>3</v>
      </c>
      <c r="CK4" s="1">
        <v>3</v>
      </c>
      <c r="CL4" s="1">
        <v>3</v>
      </c>
      <c r="CM4" s="1">
        <v>3</v>
      </c>
      <c r="CN4" s="1">
        <v>3</v>
      </c>
      <c r="CO4" s="1">
        <v>3</v>
      </c>
      <c r="CP4" s="1">
        <v>3</v>
      </c>
      <c r="CU4" s="1">
        <v>1</v>
      </c>
    </row>
    <row r="5" spans="1:99" x14ac:dyDescent="0.35">
      <c r="A5" s="1" t="s">
        <v>90</v>
      </c>
      <c r="B5" s="1">
        <v>175154009</v>
      </c>
      <c r="C5" s="1">
        <v>0</v>
      </c>
      <c r="D5" s="1">
        <v>1</v>
      </c>
      <c r="E5" s="1">
        <v>0</v>
      </c>
      <c r="F5" s="1">
        <v>0</v>
      </c>
      <c r="G5" s="1">
        <v>0</v>
      </c>
      <c r="H5" s="1">
        <v>0</v>
      </c>
      <c r="I5" s="1">
        <v>0</v>
      </c>
      <c r="J5" s="1">
        <v>0</v>
      </c>
      <c r="K5" s="1">
        <v>0</v>
      </c>
      <c r="L5" s="1">
        <v>0</v>
      </c>
      <c r="M5" s="1">
        <v>0</v>
      </c>
      <c r="N5" s="1">
        <v>0</v>
      </c>
      <c r="O5" s="1">
        <v>0</v>
      </c>
      <c r="P5" s="1">
        <v>10</v>
      </c>
      <c r="Q5" s="1">
        <v>0</v>
      </c>
      <c r="R5" s="1">
        <v>1</v>
      </c>
      <c r="S5" s="1">
        <v>5</v>
      </c>
      <c r="T5" s="1">
        <v>1</v>
      </c>
      <c r="U5" s="1">
        <v>4</v>
      </c>
      <c r="V5" s="1">
        <v>3</v>
      </c>
      <c r="W5" s="1">
        <v>3</v>
      </c>
      <c r="X5" s="1">
        <v>4</v>
      </c>
      <c r="Y5" s="1">
        <v>3</v>
      </c>
      <c r="Z5" s="1">
        <v>4</v>
      </c>
      <c r="AA5" s="1">
        <v>4</v>
      </c>
      <c r="CU5" s="1">
        <v>4</v>
      </c>
    </row>
    <row r="6" spans="1:99" x14ac:dyDescent="0.35">
      <c r="A6" s="1" t="s">
        <v>91</v>
      </c>
      <c r="B6" s="1">
        <v>175154011</v>
      </c>
      <c r="C6" s="1">
        <v>0</v>
      </c>
      <c r="D6" s="1">
        <v>1</v>
      </c>
      <c r="E6" s="1">
        <v>0</v>
      </c>
      <c r="F6" s="1">
        <v>0</v>
      </c>
      <c r="G6" s="1">
        <v>0</v>
      </c>
      <c r="H6" s="1">
        <v>0</v>
      </c>
      <c r="I6" s="1">
        <v>0</v>
      </c>
      <c r="J6" s="1">
        <v>0</v>
      </c>
      <c r="K6" s="1">
        <v>0</v>
      </c>
      <c r="L6" s="1">
        <v>0</v>
      </c>
      <c r="M6" s="1">
        <v>0</v>
      </c>
      <c r="N6" s="1">
        <v>0</v>
      </c>
      <c r="O6" s="1">
        <v>0</v>
      </c>
      <c r="P6" s="1" t="s">
        <v>92</v>
      </c>
      <c r="Q6" s="1">
        <v>8</v>
      </c>
      <c r="R6" s="1">
        <v>4</v>
      </c>
      <c r="S6" s="1">
        <v>1</v>
      </c>
      <c r="T6" s="1">
        <v>1</v>
      </c>
      <c r="U6" s="1">
        <v>3</v>
      </c>
      <c r="V6" s="1">
        <v>3</v>
      </c>
      <c r="W6" s="1">
        <v>3</v>
      </c>
      <c r="X6" s="1">
        <v>3</v>
      </c>
      <c r="Y6" s="1">
        <v>3</v>
      </c>
      <c r="Z6" s="1">
        <v>4</v>
      </c>
      <c r="AA6" s="1">
        <v>3</v>
      </c>
      <c r="AC6" s="1">
        <v>1</v>
      </c>
      <c r="AD6" s="1">
        <v>4</v>
      </c>
      <c r="AF6" s="3">
        <v>3500000</v>
      </c>
      <c r="AG6" s="1">
        <v>13</v>
      </c>
      <c r="AT6" s="1" t="s">
        <v>93</v>
      </c>
      <c r="BP6" s="1">
        <v>3</v>
      </c>
      <c r="BQ6" s="1" t="s">
        <v>94</v>
      </c>
      <c r="BR6" s="1" t="s">
        <v>95</v>
      </c>
      <c r="BS6" s="1" t="s">
        <v>96</v>
      </c>
      <c r="BT6" s="1" t="s">
        <v>79</v>
      </c>
      <c r="BU6" s="1">
        <v>1</v>
      </c>
      <c r="BV6" s="1">
        <v>2</v>
      </c>
      <c r="BW6" s="1">
        <v>1</v>
      </c>
      <c r="BX6" s="1">
        <v>0</v>
      </c>
      <c r="BY6" s="1">
        <v>0</v>
      </c>
      <c r="BZ6" s="1">
        <v>0</v>
      </c>
      <c r="CA6" s="1">
        <v>0</v>
      </c>
      <c r="CB6" s="1">
        <v>0</v>
      </c>
      <c r="CC6" s="1">
        <v>0</v>
      </c>
      <c r="CD6" s="1">
        <v>0</v>
      </c>
      <c r="CE6" s="1">
        <v>0</v>
      </c>
      <c r="CF6" s="1">
        <v>0</v>
      </c>
      <c r="CG6" s="1">
        <v>0</v>
      </c>
      <c r="CH6" s="1">
        <v>0</v>
      </c>
      <c r="CI6" s="1">
        <v>0</v>
      </c>
      <c r="CJ6" s="1">
        <v>4</v>
      </c>
      <c r="CK6" s="1">
        <v>4</v>
      </c>
      <c r="CL6" s="1">
        <v>2</v>
      </c>
      <c r="CM6" s="1">
        <v>4</v>
      </c>
      <c r="CN6" s="1">
        <v>4</v>
      </c>
      <c r="CO6" s="1">
        <v>4</v>
      </c>
      <c r="CP6" s="1">
        <v>4</v>
      </c>
      <c r="CU6" s="1">
        <v>1</v>
      </c>
    </row>
    <row r="7" spans="1:99" x14ac:dyDescent="0.35">
      <c r="A7" s="1" t="s">
        <v>97</v>
      </c>
      <c r="B7" s="1">
        <v>175154018</v>
      </c>
      <c r="C7" s="1">
        <v>0</v>
      </c>
      <c r="D7" s="1">
        <v>1</v>
      </c>
      <c r="E7" s="1">
        <v>1</v>
      </c>
      <c r="F7" s="1">
        <v>0</v>
      </c>
      <c r="G7" s="1">
        <v>0</v>
      </c>
      <c r="H7" s="1">
        <v>0</v>
      </c>
      <c r="I7" s="1">
        <v>0</v>
      </c>
      <c r="J7" s="1">
        <v>0</v>
      </c>
      <c r="K7" s="1">
        <v>0</v>
      </c>
      <c r="L7" s="1">
        <v>0</v>
      </c>
      <c r="M7" s="1">
        <v>0</v>
      </c>
      <c r="N7" s="1">
        <v>0</v>
      </c>
      <c r="O7" s="1">
        <v>0</v>
      </c>
      <c r="P7" s="1">
        <v>5</v>
      </c>
      <c r="Q7" s="1">
        <v>3</v>
      </c>
      <c r="R7" s="1">
        <v>2</v>
      </c>
    </row>
    <row r="8" spans="1:99" x14ac:dyDescent="0.35">
      <c r="A8" s="1" t="s">
        <v>98</v>
      </c>
      <c r="B8" s="1">
        <v>175154020</v>
      </c>
      <c r="C8" s="1">
        <v>0</v>
      </c>
      <c r="D8" s="1">
        <v>1</v>
      </c>
      <c r="E8" s="1">
        <v>0</v>
      </c>
      <c r="F8" s="1">
        <v>0</v>
      </c>
      <c r="G8" s="1">
        <v>0</v>
      </c>
      <c r="H8" s="1">
        <v>1</v>
      </c>
      <c r="I8" s="1">
        <v>0</v>
      </c>
      <c r="J8" s="1">
        <v>0</v>
      </c>
      <c r="K8" s="1">
        <v>0</v>
      </c>
      <c r="L8" s="1">
        <v>0</v>
      </c>
      <c r="M8" s="1">
        <v>0</v>
      </c>
      <c r="N8" s="1">
        <v>0</v>
      </c>
      <c r="O8" s="1">
        <v>0</v>
      </c>
      <c r="P8" s="1">
        <v>4</v>
      </c>
      <c r="Q8" s="1">
        <v>3</v>
      </c>
      <c r="R8" s="1">
        <v>2</v>
      </c>
      <c r="S8" s="1">
        <v>1</v>
      </c>
      <c r="T8" s="1">
        <v>1</v>
      </c>
      <c r="U8" s="1">
        <v>4</v>
      </c>
      <c r="V8" s="1">
        <v>4</v>
      </c>
      <c r="W8" s="1">
        <v>3</v>
      </c>
      <c r="X8" s="1">
        <v>4</v>
      </c>
      <c r="Y8" s="1">
        <v>3</v>
      </c>
      <c r="Z8" s="1">
        <v>4</v>
      </c>
      <c r="AA8" s="1">
        <v>4</v>
      </c>
      <c r="AC8" s="1">
        <v>1</v>
      </c>
      <c r="AD8" s="1">
        <v>1</v>
      </c>
      <c r="AF8" s="3">
        <v>5000000</v>
      </c>
      <c r="AG8" s="1">
        <v>13</v>
      </c>
      <c r="AT8" s="1" t="s">
        <v>86</v>
      </c>
      <c r="BP8" s="1">
        <v>3</v>
      </c>
      <c r="BQ8" s="1" t="s">
        <v>99</v>
      </c>
      <c r="BR8" s="1" t="s">
        <v>100</v>
      </c>
      <c r="BS8" s="1" t="s">
        <v>101</v>
      </c>
      <c r="BT8" s="1" t="s">
        <v>79</v>
      </c>
      <c r="BU8" s="1">
        <v>2</v>
      </c>
      <c r="BV8" s="1">
        <v>2</v>
      </c>
      <c r="BW8" s="1">
        <v>1</v>
      </c>
      <c r="BX8" s="1">
        <v>0</v>
      </c>
      <c r="BY8" s="1">
        <v>0</v>
      </c>
      <c r="BZ8" s="1">
        <v>0</v>
      </c>
      <c r="CA8" s="1">
        <v>0</v>
      </c>
      <c r="CB8" s="1">
        <v>0</v>
      </c>
      <c r="CC8" s="1">
        <v>0</v>
      </c>
      <c r="CD8" s="1">
        <v>0</v>
      </c>
      <c r="CE8" s="1">
        <v>0</v>
      </c>
      <c r="CF8" s="1">
        <v>0</v>
      </c>
      <c r="CG8" s="1">
        <v>0</v>
      </c>
      <c r="CH8" s="1">
        <v>0</v>
      </c>
      <c r="CI8" s="1">
        <v>0</v>
      </c>
      <c r="CJ8" s="1">
        <v>4</v>
      </c>
      <c r="CK8" s="1">
        <v>4</v>
      </c>
      <c r="CL8" s="1">
        <v>4</v>
      </c>
      <c r="CM8" s="1">
        <v>4</v>
      </c>
      <c r="CN8" s="1">
        <v>4</v>
      </c>
      <c r="CO8" s="1">
        <v>4</v>
      </c>
      <c r="CP8" s="1">
        <v>4</v>
      </c>
      <c r="CU8" s="1">
        <v>1</v>
      </c>
    </row>
    <row r="9" spans="1:99" x14ac:dyDescent="0.35">
      <c r="A9" s="1" t="s">
        <v>102</v>
      </c>
      <c r="B9" s="1">
        <v>175154021</v>
      </c>
      <c r="C9" s="1">
        <v>0</v>
      </c>
      <c r="D9" s="1">
        <v>1</v>
      </c>
      <c r="E9" s="1">
        <v>0</v>
      </c>
      <c r="F9" s="1">
        <v>0</v>
      </c>
      <c r="G9" s="1">
        <v>0</v>
      </c>
      <c r="H9" s="1">
        <v>0</v>
      </c>
      <c r="I9" s="1">
        <v>0</v>
      </c>
      <c r="J9" s="1">
        <v>1</v>
      </c>
      <c r="K9" s="1">
        <v>1</v>
      </c>
      <c r="L9" s="1">
        <v>0</v>
      </c>
      <c r="M9" s="1">
        <v>0</v>
      </c>
      <c r="N9" s="1">
        <v>0</v>
      </c>
      <c r="O9" s="1">
        <v>0</v>
      </c>
      <c r="P9" s="1">
        <v>3</v>
      </c>
      <c r="Q9" s="1">
        <v>2</v>
      </c>
      <c r="R9" s="1">
        <v>2</v>
      </c>
      <c r="S9" s="1">
        <v>1</v>
      </c>
      <c r="T9" s="1">
        <v>3</v>
      </c>
      <c r="U9" s="1">
        <v>3</v>
      </c>
      <c r="V9" s="1">
        <v>4</v>
      </c>
      <c r="W9" s="1">
        <v>3</v>
      </c>
      <c r="X9" s="1">
        <v>4</v>
      </c>
      <c r="Y9" s="1">
        <v>3</v>
      </c>
      <c r="Z9" s="1">
        <v>3</v>
      </c>
      <c r="AA9" s="1">
        <v>4</v>
      </c>
      <c r="AC9" s="1">
        <v>1</v>
      </c>
      <c r="AD9" s="1">
        <v>2</v>
      </c>
      <c r="AF9" s="3">
        <v>3000000</v>
      </c>
      <c r="AG9" s="1">
        <v>13</v>
      </c>
      <c r="AT9" s="1" t="s">
        <v>86</v>
      </c>
      <c r="BP9" s="1" t="s">
        <v>103</v>
      </c>
      <c r="BQ9" s="1" t="s">
        <v>104</v>
      </c>
      <c r="BR9" s="1" t="s">
        <v>105</v>
      </c>
      <c r="BS9" s="1" t="s">
        <v>106</v>
      </c>
      <c r="BT9" s="1" t="s">
        <v>107</v>
      </c>
      <c r="BU9" s="1">
        <v>1</v>
      </c>
      <c r="BV9" s="1">
        <v>2</v>
      </c>
      <c r="BW9" s="1">
        <v>0</v>
      </c>
      <c r="BX9" s="1">
        <v>0</v>
      </c>
      <c r="BY9" s="1">
        <v>0</v>
      </c>
      <c r="BZ9" s="1">
        <v>0</v>
      </c>
      <c r="CA9" s="1">
        <v>0</v>
      </c>
      <c r="CB9" s="1">
        <v>0</v>
      </c>
      <c r="CC9" s="1">
        <v>0</v>
      </c>
      <c r="CD9" s="1">
        <v>0</v>
      </c>
      <c r="CE9" s="1">
        <v>0</v>
      </c>
      <c r="CF9" s="1">
        <v>0</v>
      </c>
      <c r="CG9" s="1">
        <v>0</v>
      </c>
      <c r="CH9" s="1">
        <v>0</v>
      </c>
      <c r="CJ9" s="1">
        <v>4</v>
      </c>
      <c r="CK9" s="1">
        <v>4</v>
      </c>
      <c r="CL9" s="1">
        <v>3</v>
      </c>
      <c r="CM9" s="1">
        <v>4</v>
      </c>
      <c r="CN9" s="1">
        <v>4</v>
      </c>
      <c r="CO9" s="1">
        <v>4</v>
      </c>
      <c r="CP9" s="1">
        <v>4</v>
      </c>
      <c r="CU9" s="1">
        <v>1</v>
      </c>
    </row>
    <row r="10" spans="1:99" x14ac:dyDescent="0.35">
      <c r="A10" s="1" t="s">
        <v>108</v>
      </c>
      <c r="B10" s="1">
        <v>175154022</v>
      </c>
      <c r="C10" s="1">
        <v>0</v>
      </c>
      <c r="D10" s="1">
        <v>1</v>
      </c>
      <c r="E10" s="1">
        <v>0</v>
      </c>
      <c r="F10" s="1">
        <v>0</v>
      </c>
      <c r="G10" s="1">
        <v>0</v>
      </c>
      <c r="H10" s="1">
        <v>0</v>
      </c>
      <c r="I10" s="1">
        <v>0</v>
      </c>
      <c r="J10" s="1">
        <v>0</v>
      </c>
      <c r="K10" s="1">
        <v>0</v>
      </c>
      <c r="L10" s="1">
        <v>0</v>
      </c>
      <c r="M10" s="1">
        <v>0</v>
      </c>
      <c r="N10" s="1">
        <v>0</v>
      </c>
      <c r="O10" s="1">
        <v>0</v>
      </c>
      <c r="P10" s="1">
        <v>12</v>
      </c>
      <c r="Q10" s="1">
        <v>5</v>
      </c>
      <c r="R10" s="1">
        <v>5</v>
      </c>
      <c r="S10" s="1">
        <v>1</v>
      </c>
      <c r="T10" s="1">
        <v>1</v>
      </c>
      <c r="U10" s="1">
        <v>4</v>
      </c>
      <c r="V10" s="1">
        <v>4</v>
      </c>
      <c r="W10" s="1">
        <v>3</v>
      </c>
      <c r="X10" s="1">
        <v>4</v>
      </c>
      <c r="Y10" s="1">
        <v>3</v>
      </c>
      <c r="Z10" s="1">
        <v>3</v>
      </c>
      <c r="AA10" s="1">
        <v>3</v>
      </c>
      <c r="AC10" s="1">
        <v>1</v>
      </c>
      <c r="AD10" s="1">
        <v>0</v>
      </c>
      <c r="AF10" s="3">
        <v>5700000</v>
      </c>
      <c r="AG10" s="1">
        <v>13</v>
      </c>
      <c r="AT10" s="1" t="s">
        <v>109</v>
      </c>
      <c r="BP10" s="1">
        <v>3</v>
      </c>
      <c r="BQ10" s="1" t="s">
        <v>110</v>
      </c>
      <c r="BR10" s="1" t="s">
        <v>111</v>
      </c>
      <c r="BS10" s="1" t="s">
        <v>112</v>
      </c>
      <c r="BT10" s="1" t="s">
        <v>79</v>
      </c>
      <c r="BU10" s="1">
        <v>2</v>
      </c>
      <c r="BV10" s="1">
        <v>3</v>
      </c>
      <c r="BW10" s="1">
        <v>0</v>
      </c>
      <c r="BX10" s="1">
        <v>0</v>
      </c>
      <c r="BY10" s="1">
        <v>0</v>
      </c>
      <c r="BZ10" s="1">
        <v>0</v>
      </c>
      <c r="CA10" s="1">
        <v>0</v>
      </c>
      <c r="CB10" s="1">
        <v>1</v>
      </c>
      <c r="CC10" s="1">
        <v>0</v>
      </c>
      <c r="CD10" s="1">
        <v>0</v>
      </c>
      <c r="CE10" s="1">
        <v>0</v>
      </c>
      <c r="CF10" s="1">
        <v>0</v>
      </c>
      <c r="CG10" s="1">
        <v>0</v>
      </c>
      <c r="CH10" s="1">
        <v>0</v>
      </c>
      <c r="CI10" s="1">
        <v>0</v>
      </c>
      <c r="CJ10" s="1">
        <v>4</v>
      </c>
      <c r="CK10" s="1">
        <v>3</v>
      </c>
      <c r="CL10" s="1">
        <v>3</v>
      </c>
      <c r="CM10" s="1">
        <v>4</v>
      </c>
      <c r="CN10" s="1">
        <v>4</v>
      </c>
      <c r="CO10" s="1">
        <v>4</v>
      </c>
      <c r="CP10" s="1">
        <v>3</v>
      </c>
      <c r="CU10" s="1">
        <v>1</v>
      </c>
    </row>
    <row r="11" spans="1:99" x14ac:dyDescent="0.35">
      <c r="A11" s="1" t="s">
        <v>113</v>
      </c>
      <c r="B11" s="1">
        <v>175154024</v>
      </c>
      <c r="C11" s="1">
        <v>1</v>
      </c>
      <c r="D11" s="1">
        <v>1</v>
      </c>
      <c r="E11" s="1">
        <v>0</v>
      </c>
      <c r="F11" s="1">
        <v>0</v>
      </c>
      <c r="G11" s="1">
        <v>0</v>
      </c>
      <c r="H11" s="1">
        <v>1</v>
      </c>
      <c r="I11" s="1">
        <v>0</v>
      </c>
      <c r="J11" s="1">
        <v>1</v>
      </c>
      <c r="K11" s="1">
        <v>1</v>
      </c>
      <c r="L11" s="1">
        <v>0</v>
      </c>
      <c r="M11" s="1">
        <v>0</v>
      </c>
      <c r="N11" s="1">
        <v>0</v>
      </c>
      <c r="O11" s="1">
        <v>0</v>
      </c>
      <c r="P11" s="1">
        <v>25</v>
      </c>
      <c r="Q11" s="1">
        <v>15</v>
      </c>
      <c r="R11" s="1">
        <v>10</v>
      </c>
      <c r="S11" s="1">
        <v>1</v>
      </c>
      <c r="T11" s="1">
        <v>1</v>
      </c>
      <c r="U11" s="1">
        <v>4</v>
      </c>
      <c r="V11" s="1">
        <v>4</v>
      </c>
      <c r="W11" s="1">
        <v>3</v>
      </c>
      <c r="X11" s="1">
        <v>4</v>
      </c>
      <c r="Y11" s="1">
        <v>3</v>
      </c>
      <c r="Z11" s="1">
        <v>4</v>
      </c>
      <c r="AA11" s="1">
        <v>4</v>
      </c>
      <c r="AC11" s="1">
        <v>1</v>
      </c>
      <c r="AD11" s="1">
        <v>1</v>
      </c>
      <c r="AE11" s="1">
        <v>1</v>
      </c>
      <c r="AF11" s="3">
        <v>4500000</v>
      </c>
      <c r="AG11" s="1">
        <v>13</v>
      </c>
      <c r="AT11" s="1" t="s">
        <v>86</v>
      </c>
      <c r="BP11" s="1">
        <v>6</v>
      </c>
      <c r="BQ11" s="1" t="s">
        <v>114</v>
      </c>
      <c r="BR11" s="1" t="s">
        <v>115</v>
      </c>
      <c r="BS11" s="1" t="s">
        <v>78</v>
      </c>
      <c r="BT11" s="1" t="s">
        <v>79</v>
      </c>
      <c r="BU11" s="1">
        <v>2</v>
      </c>
      <c r="BV11" s="1">
        <v>2</v>
      </c>
      <c r="BW11" s="1">
        <v>1</v>
      </c>
      <c r="BX11" s="1">
        <v>0</v>
      </c>
      <c r="BY11" s="1">
        <v>0</v>
      </c>
      <c r="BZ11" s="1">
        <v>0</v>
      </c>
      <c r="CA11" s="1">
        <v>0</v>
      </c>
      <c r="CB11" s="1">
        <v>0</v>
      </c>
      <c r="CC11" s="1">
        <v>0</v>
      </c>
      <c r="CD11" s="1">
        <v>0</v>
      </c>
      <c r="CE11" s="1">
        <v>0</v>
      </c>
      <c r="CF11" s="1">
        <v>0</v>
      </c>
      <c r="CG11" s="1">
        <v>0</v>
      </c>
      <c r="CH11" s="1">
        <v>0</v>
      </c>
      <c r="CI11" s="1">
        <v>0</v>
      </c>
      <c r="CJ11" s="1">
        <v>4</v>
      </c>
      <c r="CK11" s="1">
        <v>4</v>
      </c>
      <c r="CL11" s="1">
        <v>2</v>
      </c>
      <c r="CM11" s="1">
        <v>4</v>
      </c>
      <c r="CN11" s="1">
        <v>4</v>
      </c>
      <c r="CO11" s="1">
        <v>4</v>
      </c>
      <c r="CP11" s="1">
        <v>4</v>
      </c>
      <c r="CU11" s="1">
        <v>1</v>
      </c>
    </row>
    <row r="12" spans="1:99" x14ac:dyDescent="0.35">
      <c r="A12" s="1" t="s">
        <v>116</v>
      </c>
      <c r="B12" s="1">
        <v>175154025</v>
      </c>
      <c r="C12" s="1">
        <v>0</v>
      </c>
      <c r="D12" s="1">
        <v>1</v>
      </c>
      <c r="E12" s="1">
        <v>1</v>
      </c>
      <c r="F12" s="1">
        <v>0</v>
      </c>
      <c r="G12" s="1">
        <v>0</v>
      </c>
      <c r="H12" s="1">
        <v>0</v>
      </c>
      <c r="I12" s="1">
        <v>1</v>
      </c>
      <c r="J12" s="1">
        <v>1</v>
      </c>
      <c r="K12" s="1">
        <v>1</v>
      </c>
      <c r="L12" s="1">
        <v>0</v>
      </c>
      <c r="M12" s="1">
        <v>0</v>
      </c>
      <c r="N12" s="1">
        <v>0</v>
      </c>
      <c r="O12" s="1">
        <v>0</v>
      </c>
      <c r="P12" s="1" t="s">
        <v>117</v>
      </c>
      <c r="Q12" s="9">
        <v>0.7</v>
      </c>
      <c r="R12" s="9">
        <v>0.6</v>
      </c>
      <c r="S12" s="1">
        <v>1</v>
      </c>
      <c r="T12" s="1">
        <v>3</v>
      </c>
      <c r="U12" s="1">
        <v>4</v>
      </c>
      <c r="V12" s="1">
        <v>4</v>
      </c>
      <c r="W12" s="1">
        <v>3</v>
      </c>
      <c r="X12" s="1">
        <v>4</v>
      </c>
      <c r="Y12" s="1">
        <v>3</v>
      </c>
      <c r="Z12" s="1">
        <v>3</v>
      </c>
      <c r="AA12" s="1">
        <v>3</v>
      </c>
      <c r="AC12" s="1">
        <v>1</v>
      </c>
      <c r="AD12" s="1">
        <v>1</v>
      </c>
      <c r="AF12" s="3">
        <v>4800000</v>
      </c>
      <c r="AG12" s="1">
        <v>11</v>
      </c>
      <c r="AR12" s="1" t="s">
        <v>118</v>
      </c>
      <c r="BP12" s="1">
        <v>6</v>
      </c>
      <c r="BQ12" s="1" t="s">
        <v>119</v>
      </c>
      <c r="BR12" s="1" t="s">
        <v>120</v>
      </c>
      <c r="BS12" s="1" t="s">
        <v>78</v>
      </c>
      <c r="BT12" s="1" t="s">
        <v>79</v>
      </c>
      <c r="BU12" s="1">
        <v>3</v>
      </c>
      <c r="BV12" s="1">
        <v>2</v>
      </c>
      <c r="BW12" s="1">
        <v>0</v>
      </c>
      <c r="BX12" s="1">
        <v>0</v>
      </c>
      <c r="BY12" s="1">
        <v>1</v>
      </c>
      <c r="BZ12" s="1">
        <v>0</v>
      </c>
      <c r="CA12" s="1">
        <v>0</v>
      </c>
      <c r="CB12" s="1">
        <v>0</v>
      </c>
      <c r="CC12" s="1">
        <v>1</v>
      </c>
      <c r="CD12" s="1">
        <v>1</v>
      </c>
      <c r="CE12" s="1">
        <v>1</v>
      </c>
      <c r="CF12" s="1">
        <v>0</v>
      </c>
      <c r="CG12" s="1">
        <v>0</v>
      </c>
      <c r="CH12" s="1">
        <v>0</v>
      </c>
      <c r="CI12" s="1">
        <v>0</v>
      </c>
      <c r="CJ12" s="1">
        <v>4</v>
      </c>
      <c r="CK12" s="1">
        <v>4</v>
      </c>
      <c r="CL12" s="1">
        <v>3</v>
      </c>
      <c r="CM12" s="1">
        <v>4</v>
      </c>
      <c r="CN12" s="1">
        <v>3</v>
      </c>
      <c r="CO12" s="1">
        <v>4</v>
      </c>
      <c r="CP12" s="1">
        <v>4</v>
      </c>
      <c r="CU12" s="1">
        <v>1</v>
      </c>
    </row>
    <row r="13" spans="1:99" x14ac:dyDescent="0.35">
      <c r="A13" s="1" t="s">
        <v>121</v>
      </c>
      <c r="B13" s="1">
        <v>175154026</v>
      </c>
      <c r="C13" s="1">
        <v>0</v>
      </c>
      <c r="D13" s="1">
        <v>1</v>
      </c>
      <c r="E13" s="1">
        <v>0</v>
      </c>
      <c r="F13" s="1">
        <v>0</v>
      </c>
      <c r="G13" s="1">
        <v>0</v>
      </c>
      <c r="H13" s="1">
        <v>0</v>
      </c>
      <c r="I13" s="1">
        <v>0</v>
      </c>
      <c r="J13" s="1">
        <v>0</v>
      </c>
      <c r="K13" s="1">
        <v>1</v>
      </c>
      <c r="L13" s="1">
        <v>0</v>
      </c>
      <c r="M13" s="1">
        <v>0</v>
      </c>
      <c r="N13" s="1">
        <v>0</v>
      </c>
      <c r="O13" s="1">
        <v>0</v>
      </c>
      <c r="P13" s="1" t="s">
        <v>122</v>
      </c>
      <c r="Q13" s="1" t="s">
        <v>123</v>
      </c>
      <c r="R13" s="1" t="s">
        <v>124</v>
      </c>
      <c r="S13" s="1">
        <v>1</v>
      </c>
      <c r="T13" s="1">
        <v>1</v>
      </c>
      <c r="U13" s="1">
        <v>3</v>
      </c>
      <c r="V13" s="1">
        <v>3</v>
      </c>
      <c r="W13" s="1">
        <v>2</v>
      </c>
      <c r="X13" s="1">
        <v>3</v>
      </c>
      <c r="Y13" s="1">
        <v>3</v>
      </c>
      <c r="Z13" s="1">
        <v>2</v>
      </c>
      <c r="AA13" s="1">
        <v>2</v>
      </c>
      <c r="AC13" s="1">
        <v>1</v>
      </c>
      <c r="AD13" s="1">
        <v>0</v>
      </c>
      <c r="AE13" s="1">
        <v>0</v>
      </c>
      <c r="AF13" s="3">
        <v>5395000</v>
      </c>
      <c r="AG13" s="1">
        <v>13</v>
      </c>
      <c r="AT13" s="1" t="s">
        <v>86</v>
      </c>
      <c r="BP13" s="1">
        <v>3</v>
      </c>
      <c r="BQ13" s="1" t="s">
        <v>125</v>
      </c>
      <c r="BR13" s="1" t="s">
        <v>126</v>
      </c>
      <c r="BS13" s="1" t="s">
        <v>127</v>
      </c>
      <c r="BT13" s="1" t="s">
        <v>79</v>
      </c>
      <c r="BU13" s="1">
        <v>1</v>
      </c>
      <c r="BV13" s="1">
        <v>2</v>
      </c>
      <c r="BW13" s="1">
        <v>1</v>
      </c>
      <c r="BX13" s="1">
        <v>0</v>
      </c>
      <c r="BY13" s="1">
        <v>0</v>
      </c>
      <c r="BZ13" s="1">
        <v>0</v>
      </c>
      <c r="CA13" s="1">
        <v>0</v>
      </c>
      <c r="CB13" s="1">
        <v>0</v>
      </c>
      <c r="CC13" s="1">
        <v>0</v>
      </c>
      <c r="CD13" s="1">
        <v>0</v>
      </c>
      <c r="CE13" s="1">
        <v>0</v>
      </c>
      <c r="CF13" s="1">
        <v>0</v>
      </c>
      <c r="CG13" s="1">
        <v>0</v>
      </c>
      <c r="CH13" s="1">
        <v>0</v>
      </c>
      <c r="CI13" s="1">
        <v>0</v>
      </c>
      <c r="CJ13" s="1">
        <v>4</v>
      </c>
      <c r="CK13" s="1">
        <v>4</v>
      </c>
      <c r="CL13" s="1">
        <v>2</v>
      </c>
      <c r="CM13" s="1">
        <v>4</v>
      </c>
      <c r="CN13" s="1">
        <v>3</v>
      </c>
      <c r="CO13" s="1">
        <v>3</v>
      </c>
      <c r="CP13" s="1">
        <v>3</v>
      </c>
      <c r="CU13" s="1">
        <v>1</v>
      </c>
    </row>
    <row r="14" spans="1:99" x14ac:dyDescent="0.35">
      <c r="A14" s="1" t="s">
        <v>128</v>
      </c>
      <c r="B14" s="1">
        <v>175154027</v>
      </c>
      <c r="C14" s="1">
        <v>1</v>
      </c>
      <c r="D14" s="1">
        <v>1</v>
      </c>
      <c r="E14" s="1">
        <v>0</v>
      </c>
      <c r="F14" s="1">
        <v>0</v>
      </c>
      <c r="G14" s="1">
        <v>0</v>
      </c>
      <c r="H14" s="1">
        <v>0</v>
      </c>
      <c r="I14" s="1">
        <v>0</v>
      </c>
      <c r="J14" s="1">
        <v>1</v>
      </c>
      <c r="K14" s="1">
        <v>1</v>
      </c>
      <c r="L14" s="1">
        <v>0</v>
      </c>
      <c r="M14" s="1">
        <v>1</v>
      </c>
      <c r="N14" s="1">
        <v>0</v>
      </c>
      <c r="O14" s="1">
        <v>0</v>
      </c>
      <c r="P14" s="1">
        <v>30</v>
      </c>
      <c r="Q14" s="1">
        <v>7</v>
      </c>
      <c r="R14" s="1">
        <v>4</v>
      </c>
    </row>
    <row r="15" spans="1:99" x14ac:dyDescent="0.35">
      <c r="A15" s="1" t="s">
        <v>129</v>
      </c>
      <c r="B15" s="1">
        <v>175154029</v>
      </c>
      <c r="C15" s="1">
        <v>0</v>
      </c>
      <c r="D15" s="1">
        <v>1</v>
      </c>
      <c r="E15" s="1">
        <v>0</v>
      </c>
      <c r="F15" s="1">
        <v>0</v>
      </c>
      <c r="G15" s="1">
        <v>0</v>
      </c>
      <c r="H15" s="1">
        <v>0</v>
      </c>
      <c r="I15" s="1">
        <v>0</v>
      </c>
      <c r="J15" s="1">
        <v>1</v>
      </c>
      <c r="K15" s="1">
        <v>0</v>
      </c>
      <c r="L15" s="1">
        <v>0</v>
      </c>
      <c r="M15" s="1">
        <v>1</v>
      </c>
      <c r="N15" s="1">
        <v>1</v>
      </c>
      <c r="O15" s="1">
        <v>0</v>
      </c>
      <c r="P15" s="1">
        <v>5</v>
      </c>
      <c r="Q15" s="1">
        <v>3</v>
      </c>
      <c r="R15" s="1">
        <v>3</v>
      </c>
      <c r="S15" s="1">
        <v>1</v>
      </c>
      <c r="T15" s="1">
        <v>1</v>
      </c>
      <c r="U15" s="1">
        <v>3</v>
      </c>
      <c r="V15" s="1">
        <v>3</v>
      </c>
      <c r="W15" s="1">
        <v>4</v>
      </c>
      <c r="X15" s="1">
        <v>4</v>
      </c>
      <c r="Y15" s="1">
        <v>4</v>
      </c>
      <c r="Z15" s="1">
        <v>3</v>
      </c>
      <c r="AA15" s="1">
        <v>3</v>
      </c>
      <c r="AC15" s="1">
        <v>2</v>
      </c>
      <c r="AE15" s="1">
        <v>1</v>
      </c>
      <c r="AF15" s="3">
        <v>4500000</v>
      </c>
      <c r="AG15" s="1">
        <v>11</v>
      </c>
      <c r="AR15" s="1" t="s">
        <v>130</v>
      </c>
      <c r="BP15" s="1">
        <v>3</v>
      </c>
      <c r="BQ15" s="1" t="s">
        <v>131</v>
      </c>
      <c r="BR15" s="1" t="s">
        <v>132</v>
      </c>
      <c r="BS15" s="1" t="s">
        <v>133</v>
      </c>
      <c r="BT15" s="1" t="s">
        <v>73</v>
      </c>
      <c r="BU15" s="1">
        <v>1</v>
      </c>
      <c r="BV15" s="1">
        <v>1</v>
      </c>
      <c r="BW15" s="1">
        <v>1</v>
      </c>
      <c r="BX15" s="1">
        <v>0</v>
      </c>
      <c r="BY15" s="1">
        <v>0</v>
      </c>
      <c r="BZ15" s="1">
        <v>0</v>
      </c>
      <c r="CA15" s="1">
        <v>0</v>
      </c>
      <c r="CB15" s="1">
        <v>0</v>
      </c>
      <c r="CC15" s="1">
        <v>0</v>
      </c>
      <c r="CD15" s="1">
        <v>0</v>
      </c>
      <c r="CE15" s="1">
        <v>0</v>
      </c>
      <c r="CF15" s="1">
        <v>0</v>
      </c>
      <c r="CG15" s="1">
        <v>0</v>
      </c>
      <c r="CH15" s="1">
        <v>0</v>
      </c>
      <c r="CI15" s="1">
        <v>0</v>
      </c>
      <c r="CJ15" s="1">
        <v>4</v>
      </c>
      <c r="CK15" s="1">
        <v>4</v>
      </c>
      <c r="CL15" s="1">
        <v>3</v>
      </c>
      <c r="CM15" s="1">
        <v>3</v>
      </c>
      <c r="CN15" s="1">
        <v>4</v>
      </c>
      <c r="CO15" s="1">
        <v>4</v>
      </c>
      <c r="CP15" s="1">
        <v>3</v>
      </c>
      <c r="CU15" s="1">
        <v>1</v>
      </c>
    </row>
    <row r="16" spans="1:99" x14ac:dyDescent="0.35">
      <c r="A16" s="1" t="s">
        <v>134</v>
      </c>
      <c r="B16" s="1">
        <v>175154030</v>
      </c>
      <c r="S16" s="1">
        <v>3</v>
      </c>
      <c r="T16" s="1">
        <v>1</v>
      </c>
      <c r="U16" s="1">
        <v>4</v>
      </c>
      <c r="V16" s="1">
        <v>3</v>
      </c>
      <c r="W16" s="1">
        <v>3</v>
      </c>
      <c r="X16" s="1">
        <v>3</v>
      </c>
      <c r="Y16" s="1">
        <v>3</v>
      </c>
      <c r="Z16" s="1">
        <v>4</v>
      </c>
      <c r="AA16" s="1">
        <v>3</v>
      </c>
      <c r="AB16" s="1">
        <v>3</v>
      </c>
      <c r="AC16" s="1">
        <v>2</v>
      </c>
      <c r="AE16" s="1">
        <v>8</v>
      </c>
      <c r="AF16" s="3">
        <v>3000000</v>
      </c>
      <c r="AG16" s="1">
        <v>13</v>
      </c>
      <c r="AT16" s="1" t="s">
        <v>93</v>
      </c>
      <c r="BP16" s="1">
        <v>4</v>
      </c>
      <c r="BQ16" s="1" t="s">
        <v>135</v>
      </c>
      <c r="BR16" s="1" t="s">
        <v>136</v>
      </c>
      <c r="BS16" s="1" t="s">
        <v>137</v>
      </c>
      <c r="BT16" s="1" t="s">
        <v>79</v>
      </c>
      <c r="BU16" s="1">
        <v>1</v>
      </c>
      <c r="BV16" s="1">
        <v>2</v>
      </c>
      <c r="BW16" s="1">
        <v>1</v>
      </c>
      <c r="BX16" s="1">
        <v>0</v>
      </c>
      <c r="BY16" s="1">
        <v>0</v>
      </c>
      <c r="BZ16" s="1">
        <v>0</v>
      </c>
      <c r="CA16" s="1">
        <v>0</v>
      </c>
      <c r="CB16" s="1">
        <v>0</v>
      </c>
      <c r="CC16" s="1">
        <v>0</v>
      </c>
      <c r="CD16" s="1">
        <v>0</v>
      </c>
      <c r="CE16" s="1">
        <v>0</v>
      </c>
      <c r="CF16" s="1">
        <v>0</v>
      </c>
      <c r="CG16" s="1">
        <v>0</v>
      </c>
      <c r="CH16" s="1">
        <v>0</v>
      </c>
      <c r="CI16" s="1">
        <v>0</v>
      </c>
      <c r="CJ16" s="1">
        <v>4</v>
      </c>
      <c r="CK16" s="1">
        <v>4</v>
      </c>
      <c r="CL16" s="1">
        <v>4</v>
      </c>
      <c r="CM16" s="1">
        <v>4</v>
      </c>
      <c r="CN16" s="1">
        <v>4</v>
      </c>
      <c r="CO16" s="1">
        <v>4</v>
      </c>
      <c r="CP16" s="1">
        <v>4</v>
      </c>
      <c r="CU16" s="1">
        <v>1</v>
      </c>
    </row>
    <row r="17" spans="1:99" x14ac:dyDescent="0.35">
      <c r="A17" s="1" t="s">
        <v>138</v>
      </c>
      <c r="B17" s="1">
        <v>175154032</v>
      </c>
      <c r="C17" s="1">
        <v>0</v>
      </c>
      <c r="D17" s="1">
        <v>1</v>
      </c>
      <c r="E17" s="1">
        <v>0</v>
      </c>
      <c r="F17" s="1">
        <v>0</v>
      </c>
      <c r="G17" s="1">
        <v>0</v>
      </c>
      <c r="H17" s="1">
        <v>0</v>
      </c>
      <c r="I17" s="1">
        <v>0</v>
      </c>
      <c r="J17" s="1">
        <v>0</v>
      </c>
      <c r="K17" s="1">
        <v>0</v>
      </c>
      <c r="L17" s="1">
        <v>0</v>
      </c>
      <c r="M17" s="1">
        <v>0</v>
      </c>
      <c r="N17" s="1">
        <v>0</v>
      </c>
      <c r="O17" s="1">
        <v>0</v>
      </c>
      <c r="P17" s="1">
        <v>15</v>
      </c>
      <c r="Q17" s="1">
        <v>6</v>
      </c>
      <c r="R17" s="1">
        <v>3</v>
      </c>
      <c r="S17" s="1">
        <v>5</v>
      </c>
      <c r="T17" s="1">
        <v>1</v>
      </c>
      <c r="U17" s="1">
        <v>3</v>
      </c>
      <c r="V17" s="1">
        <v>3</v>
      </c>
      <c r="W17" s="1">
        <v>2</v>
      </c>
      <c r="X17" s="1">
        <v>3</v>
      </c>
      <c r="Y17" s="1">
        <v>3</v>
      </c>
      <c r="Z17" s="1">
        <v>4</v>
      </c>
      <c r="AA17" s="1">
        <v>4</v>
      </c>
      <c r="CU17" s="1">
        <v>4</v>
      </c>
    </row>
    <row r="18" spans="1:99" x14ac:dyDescent="0.35">
      <c r="A18" s="1" t="s">
        <v>139</v>
      </c>
      <c r="B18" s="1">
        <v>175154033</v>
      </c>
      <c r="C18" s="1">
        <v>0</v>
      </c>
      <c r="D18" s="1">
        <v>1</v>
      </c>
      <c r="E18" s="1">
        <v>0</v>
      </c>
      <c r="F18" s="1">
        <v>0</v>
      </c>
      <c r="G18" s="1">
        <v>0</v>
      </c>
      <c r="H18" s="1">
        <v>0</v>
      </c>
      <c r="I18" s="1">
        <v>0</v>
      </c>
      <c r="J18" s="1">
        <v>0</v>
      </c>
      <c r="K18" s="1">
        <v>1</v>
      </c>
      <c r="L18" s="1">
        <v>0</v>
      </c>
      <c r="M18" s="1">
        <v>0</v>
      </c>
      <c r="N18" s="1">
        <v>0</v>
      </c>
      <c r="O18" s="1">
        <v>0</v>
      </c>
      <c r="P18" s="1">
        <v>500</v>
      </c>
      <c r="Q18" s="1">
        <v>10</v>
      </c>
      <c r="R18" s="1">
        <v>5</v>
      </c>
      <c r="S18" s="1">
        <v>1</v>
      </c>
      <c r="T18" s="1">
        <v>1</v>
      </c>
      <c r="U18" s="1">
        <v>4</v>
      </c>
      <c r="V18" s="1">
        <v>3</v>
      </c>
      <c r="W18" s="1">
        <v>2</v>
      </c>
      <c r="X18" s="1">
        <v>3</v>
      </c>
      <c r="Y18" s="1">
        <v>3</v>
      </c>
      <c r="Z18" s="1">
        <v>4</v>
      </c>
      <c r="AA18" s="1">
        <v>4</v>
      </c>
      <c r="AC18" s="1">
        <v>1</v>
      </c>
      <c r="AD18" s="1">
        <v>5</v>
      </c>
      <c r="AF18" s="3">
        <v>4000000</v>
      </c>
      <c r="AG18" s="1">
        <v>13</v>
      </c>
      <c r="AT18" s="1" t="s">
        <v>86</v>
      </c>
      <c r="BP18" s="1">
        <v>6</v>
      </c>
      <c r="BQ18" s="1" t="s">
        <v>140</v>
      </c>
      <c r="BR18" s="1" t="s">
        <v>141</v>
      </c>
      <c r="BS18" s="1" t="s">
        <v>142</v>
      </c>
      <c r="BT18" s="1" t="s">
        <v>79</v>
      </c>
      <c r="BU18" s="1">
        <v>1</v>
      </c>
      <c r="BV18" s="1">
        <v>2</v>
      </c>
      <c r="BW18" s="1">
        <v>1</v>
      </c>
      <c r="BX18" s="1">
        <v>0</v>
      </c>
      <c r="BY18" s="1">
        <v>0</v>
      </c>
      <c r="BZ18" s="1">
        <v>0</v>
      </c>
      <c r="CA18" s="1">
        <v>0</v>
      </c>
      <c r="CB18" s="1">
        <v>0</v>
      </c>
      <c r="CC18" s="1">
        <v>0</v>
      </c>
      <c r="CD18" s="1">
        <v>0</v>
      </c>
      <c r="CE18" s="1">
        <v>0</v>
      </c>
      <c r="CF18" s="1">
        <v>0</v>
      </c>
      <c r="CG18" s="1">
        <v>0</v>
      </c>
      <c r="CH18" s="1">
        <v>0</v>
      </c>
      <c r="CI18" s="1">
        <v>0</v>
      </c>
      <c r="CJ18" s="1">
        <v>4</v>
      </c>
      <c r="CK18" s="1">
        <v>4</v>
      </c>
      <c r="CL18" s="1">
        <v>2</v>
      </c>
      <c r="CM18" s="1">
        <v>3</v>
      </c>
      <c r="CN18" s="1">
        <v>4</v>
      </c>
      <c r="CO18" s="1">
        <v>3</v>
      </c>
      <c r="CP18" s="1">
        <v>3</v>
      </c>
      <c r="CU18" s="1">
        <v>1</v>
      </c>
    </row>
    <row r="19" spans="1:99" x14ac:dyDescent="0.35">
      <c r="A19" s="1" t="s">
        <v>143</v>
      </c>
      <c r="B19" s="1">
        <v>175154034</v>
      </c>
      <c r="S19" s="1">
        <v>3</v>
      </c>
      <c r="T19" s="1">
        <v>1</v>
      </c>
      <c r="U19" s="1">
        <v>4</v>
      </c>
      <c r="V19" s="1">
        <v>3</v>
      </c>
      <c r="W19" s="1">
        <v>2</v>
      </c>
      <c r="X19" s="1">
        <v>3</v>
      </c>
      <c r="Y19" s="1">
        <v>3</v>
      </c>
      <c r="Z19" s="1">
        <v>4</v>
      </c>
      <c r="AA19" s="1">
        <v>4</v>
      </c>
      <c r="AB19" s="1">
        <v>2</v>
      </c>
      <c r="AC19" s="1">
        <v>1</v>
      </c>
      <c r="AD19" s="1">
        <v>2</v>
      </c>
      <c r="AE19" s="1">
        <v>2</v>
      </c>
      <c r="AF19" s="3">
        <v>5000000</v>
      </c>
      <c r="AG19" s="1">
        <v>11</v>
      </c>
      <c r="AR19" s="1" t="s">
        <v>144</v>
      </c>
      <c r="BP19" s="1">
        <v>4</v>
      </c>
      <c r="BQ19" s="1" t="s">
        <v>145</v>
      </c>
      <c r="BR19" s="1" t="s">
        <v>146</v>
      </c>
      <c r="BS19" s="1" t="s">
        <v>147</v>
      </c>
      <c r="BT19" s="1" t="s">
        <v>107</v>
      </c>
      <c r="BU19" s="1">
        <v>2</v>
      </c>
      <c r="BV19" s="1">
        <v>2</v>
      </c>
      <c r="BW19" s="1">
        <v>1</v>
      </c>
      <c r="BX19" s="1">
        <v>1</v>
      </c>
      <c r="BY19" s="1">
        <v>0</v>
      </c>
      <c r="BZ19" s="1">
        <v>1</v>
      </c>
      <c r="CA19" s="1">
        <v>0</v>
      </c>
      <c r="CB19" s="1">
        <v>1</v>
      </c>
      <c r="CC19" s="1">
        <v>0</v>
      </c>
      <c r="CD19" s="1">
        <v>0</v>
      </c>
      <c r="CE19" s="1">
        <v>1</v>
      </c>
      <c r="CF19" s="1">
        <v>0</v>
      </c>
      <c r="CG19" s="1">
        <v>0</v>
      </c>
      <c r="CH19" s="1">
        <v>0</v>
      </c>
      <c r="CI19" s="1">
        <v>0</v>
      </c>
      <c r="CJ19" s="1">
        <v>4</v>
      </c>
      <c r="CK19" s="1">
        <v>4</v>
      </c>
      <c r="CL19" s="1">
        <v>3</v>
      </c>
      <c r="CM19" s="1">
        <v>2</v>
      </c>
      <c r="CN19" s="1">
        <v>4</v>
      </c>
      <c r="CO19" s="1">
        <v>4</v>
      </c>
      <c r="CP19" s="1">
        <v>4</v>
      </c>
      <c r="CU19" s="1">
        <v>1</v>
      </c>
    </row>
    <row r="20" spans="1:99" x14ac:dyDescent="0.35">
      <c r="A20" s="1" t="s">
        <v>148</v>
      </c>
      <c r="B20" s="1">
        <v>175154036</v>
      </c>
      <c r="C20" s="1">
        <v>0</v>
      </c>
      <c r="D20" s="1">
        <v>1</v>
      </c>
      <c r="E20" s="1">
        <v>0</v>
      </c>
      <c r="F20" s="1">
        <v>0</v>
      </c>
      <c r="G20" s="1">
        <v>0</v>
      </c>
      <c r="H20" s="1">
        <v>0</v>
      </c>
      <c r="I20" s="1">
        <v>0</v>
      </c>
      <c r="J20" s="1">
        <v>0</v>
      </c>
      <c r="K20" s="1">
        <v>1</v>
      </c>
      <c r="L20" s="1">
        <v>0</v>
      </c>
      <c r="M20" s="1">
        <v>0</v>
      </c>
      <c r="N20" s="1">
        <v>0</v>
      </c>
      <c r="O20" s="1">
        <v>0</v>
      </c>
      <c r="P20" s="1">
        <v>30</v>
      </c>
      <c r="Q20" s="1">
        <v>5</v>
      </c>
      <c r="R20" s="1">
        <v>5</v>
      </c>
    </row>
    <row r="21" spans="1:99" x14ac:dyDescent="0.35">
      <c r="A21" s="1" t="s">
        <v>149</v>
      </c>
      <c r="B21" s="1">
        <v>175154038</v>
      </c>
      <c r="C21" s="1">
        <v>0</v>
      </c>
      <c r="D21" s="1">
        <v>1</v>
      </c>
      <c r="E21" s="1">
        <v>0</v>
      </c>
      <c r="F21" s="1">
        <v>0</v>
      </c>
      <c r="G21" s="1">
        <v>0</v>
      </c>
      <c r="H21" s="1">
        <v>0</v>
      </c>
      <c r="I21" s="1">
        <v>0</v>
      </c>
      <c r="J21" s="1">
        <v>0</v>
      </c>
      <c r="K21" s="1">
        <v>0</v>
      </c>
      <c r="L21" s="1">
        <v>0</v>
      </c>
      <c r="M21" s="1">
        <v>0</v>
      </c>
      <c r="N21" s="1">
        <v>0</v>
      </c>
      <c r="O21" s="1">
        <v>0</v>
      </c>
      <c r="P21" s="1">
        <v>50</v>
      </c>
      <c r="Q21" s="1">
        <v>20</v>
      </c>
      <c r="R21" s="1">
        <v>15</v>
      </c>
      <c r="S21" s="1">
        <v>5</v>
      </c>
      <c r="T21" s="1">
        <v>1</v>
      </c>
      <c r="U21" s="1">
        <v>4</v>
      </c>
      <c r="V21" s="1">
        <v>3</v>
      </c>
      <c r="W21" s="1">
        <v>3</v>
      </c>
      <c r="X21" s="1">
        <v>4</v>
      </c>
      <c r="Y21" s="1">
        <v>3</v>
      </c>
      <c r="Z21" s="1">
        <v>4</v>
      </c>
      <c r="AA21" s="1">
        <v>3</v>
      </c>
      <c r="CU21" s="1">
        <v>4</v>
      </c>
    </row>
    <row r="22" spans="1:99" x14ac:dyDescent="0.35">
      <c r="A22" s="1" t="s">
        <v>150</v>
      </c>
      <c r="B22" s="1">
        <v>175154040</v>
      </c>
      <c r="C22" s="1">
        <v>0</v>
      </c>
      <c r="D22" s="1">
        <v>1</v>
      </c>
      <c r="E22" s="1">
        <v>0</v>
      </c>
      <c r="F22" s="1">
        <v>0</v>
      </c>
      <c r="G22" s="1">
        <v>0</v>
      </c>
      <c r="H22" s="1">
        <v>0</v>
      </c>
      <c r="I22" s="1">
        <v>1</v>
      </c>
      <c r="J22" s="1">
        <v>0</v>
      </c>
      <c r="K22" s="1">
        <v>1</v>
      </c>
      <c r="L22" s="1">
        <v>0</v>
      </c>
      <c r="M22" s="1">
        <v>0</v>
      </c>
      <c r="N22" s="1">
        <v>0</v>
      </c>
      <c r="O22" s="1">
        <v>0</v>
      </c>
      <c r="P22" s="1">
        <v>25</v>
      </c>
      <c r="Q22" s="1">
        <v>6</v>
      </c>
      <c r="R22" s="1">
        <v>3</v>
      </c>
      <c r="S22" s="1">
        <v>1</v>
      </c>
      <c r="T22" s="1">
        <v>1</v>
      </c>
      <c r="U22" s="1">
        <v>4</v>
      </c>
      <c r="V22" s="1">
        <v>3</v>
      </c>
      <c r="W22" s="1">
        <v>3</v>
      </c>
      <c r="X22" s="1">
        <v>3</v>
      </c>
      <c r="Y22" s="1">
        <v>3</v>
      </c>
      <c r="Z22" s="1">
        <v>3</v>
      </c>
      <c r="AA22" s="1">
        <v>3</v>
      </c>
      <c r="AC22" s="1">
        <v>1</v>
      </c>
      <c r="AD22" s="1">
        <v>3</v>
      </c>
      <c r="AF22" s="3">
        <v>5000000</v>
      </c>
      <c r="AG22" s="1">
        <v>13</v>
      </c>
      <c r="AT22" s="1" t="s">
        <v>86</v>
      </c>
      <c r="BP22" s="1">
        <v>3</v>
      </c>
      <c r="BQ22" s="1" t="s">
        <v>151</v>
      </c>
      <c r="BR22" s="1" t="s">
        <v>152</v>
      </c>
      <c r="BS22" s="1" t="s">
        <v>153</v>
      </c>
      <c r="BT22" s="1" t="s">
        <v>79</v>
      </c>
      <c r="BU22" s="1">
        <v>3</v>
      </c>
      <c r="BV22" s="1">
        <v>2</v>
      </c>
      <c r="BW22" s="1">
        <v>0</v>
      </c>
      <c r="BX22" s="1">
        <v>1</v>
      </c>
      <c r="BY22" s="1">
        <v>0</v>
      </c>
      <c r="BZ22" s="1">
        <v>0</v>
      </c>
      <c r="CA22" s="1">
        <v>0</v>
      </c>
      <c r="CB22" s="1">
        <v>0</v>
      </c>
      <c r="CC22" s="1">
        <v>0</v>
      </c>
      <c r="CD22" s="1">
        <v>0</v>
      </c>
      <c r="CE22" s="1">
        <v>0</v>
      </c>
      <c r="CF22" s="1">
        <v>0</v>
      </c>
      <c r="CG22" s="1">
        <v>0</v>
      </c>
      <c r="CH22" s="1">
        <v>0</v>
      </c>
      <c r="CI22" s="1">
        <v>0</v>
      </c>
      <c r="CJ22" s="1">
        <v>4</v>
      </c>
      <c r="CK22" s="1">
        <v>4</v>
      </c>
      <c r="CL22" s="1">
        <v>4</v>
      </c>
      <c r="CM22" s="1">
        <v>4</v>
      </c>
      <c r="CN22" s="1">
        <v>4</v>
      </c>
      <c r="CO22" s="1">
        <v>4</v>
      </c>
      <c r="CP22" s="1">
        <v>4</v>
      </c>
      <c r="CU22" s="1">
        <v>4</v>
      </c>
    </row>
    <row r="23" spans="1:99" x14ac:dyDescent="0.35">
      <c r="A23" s="1" t="s">
        <v>154</v>
      </c>
      <c r="B23" s="1">
        <v>175154042</v>
      </c>
    </row>
    <row r="24" spans="1:99" x14ac:dyDescent="0.35">
      <c r="A24" s="1" t="s">
        <v>155</v>
      </c>
      <c r="B24" s="1">
        <v>175154043</v>
      </c>
      <c r="C24" s="1">
        <v>0</v>
      </c>
      <c r="D24" s="1">
        <v>1</v>
      </c>
      <c r="E24" s="1">
        <v>0</v>
      </c>
      <c r="F24" s="1">
        <v>0</v>
      </c>
      <c r="G24" s="1">
        <v>0</v>
      </c>
      <c r="H24" s="1">
        <v>0</v>
      </c>
      <c r="I24" s="1">
        <v>0</v>
      </c>
      <c r="J24" s="1">
        <v>1</v>
      </c>
      <c r="K24" s="1">
        <v>1</v>
      </c>
      <c r="L24" s="1">
        <v>0</v>
      </c>
      <c r="M24" s="1">
        <v>0</v>
      </c>
      <c r="N24" s="1">
        <v>0</v>
      </c>
      <c r="O24" s="1">
        <v>0</v>
      </c>
      <c r="P24" s="1">
        <v>25</v>
      </c>
      <c r="Q24" s="1">
        <v>5</v>
      </c>
      <c r="R24" s="1">
        <v>3</v>
      </c>
      <c r="S24" s="1">
        <v>1</v>
      </c>
      <c r="T24" s="1">
        <v>6</v>
      </c>
      <c r="U24" s="1">
        <v>3</v>
      </c>
      <c r="V24" s="1">
        <v>3</v>
      </c>
      <c r="W24" s="1">
        <v>2</v>
      </c>
      <c r="X24" s="1">
        <v>3</v>
      </c>
      <c r="Y24" s="1">
        <v>3</v>
      </c>
      <c r="Z24" s="1">
        <v>3</v>
      </c>
      <c r="AA24" s="1">
        <v>3</v>
      </c>
      <c r="AC24" s="1">
        <v>1</v>
      </c>
      <c r="AD24" s="1">
        <v>1</v>
      </c>
      <c r="AE24" s="1">
        <v>1</v>
      </c>
      <c r="AF24" s="3">
        <v>4000000</v>
      </c>
      <c r="AG24" s="1">
        <v>13</v>
      </c>
      <c r="AT24" s="1" t="s">
        <v>86</v>
      </c>
      <c r="BP24" s="1">
        <v>3</v>
      </c>
      <c r="BQ24" s="1" t="s">
        <v>156</v>
      </c>
      <c r="BR24" s="1" t="s">
        <v>157</v>
      </c>
      <c r="BS24" s="1" t="s">
        <v>158</v>
      </c>
      <c r="BT24" s="1" t="s">
        <v>79</v>
      </c>
      <c r="BU24" s="1">
        <v>1</v>
      </c>
      <c r="BV24" s="1">
        <v>2</v>
      </c>
      <c r="BW24" s="1">
        <v>1</v>
      </c>
      <c r="BX24" s="1">
        <v>0</v>
      </c>
      <c r="BY24" s="1">
        <v>0</v>
      </c>
      <c r="BZ24" s="1">
        <v>0</v>
      </c>
      <c r="CA24" s="1">
        <v>0</v>
      </c>
      <c r="CB24" s="1">
        <v>0</v>
      </c>
      <c r="CC24" s="1">
        <v>0</v>
      </c>
      <c r="CD24" s="1">
        <v>0</v>
      </c>
      <c r="CE24" s="1">
        <v>0</v>
      </c>
      <c r="CF24" s="1">
        <v>0</v>
      </c>
      <c r="CG24" s="1">
        <v>0</v>
      </c>
      <c r="CH24" s="1">
        <v>0</v>
      </c>
      <c r="CI24" s="1">
        <v>0</v>
      </c>
      <c r="CJ24" s="1">
        <v>4</v>
      </c>
      <c r="CK24" s="1">
        <v>4</v>
      </c>
      <c r="CL24" s="1">
        <v>3</v>
      </c>
      <c r="CM24" s="1">
        <v>4</v>
      </c>
      <c r="CN24" s="1">
        <v>4</v>
      </c>
      <c r="CO24" s="1">
        <v>4</v>
      </c>
      <c r="CP24" s="1">
        <v>4</v>
      </c>
      <c r="CU24" s="1">
        <v>1</v>
      </c>
    </row>
    <row r="25" spans="1:99" x14ac:dyDescent="0.35">
      <c r="A25" s="1" t="s">
        <v>159</v>
      </c>
      <c r="B25" s="1">
        <v>175154045</v>
      </c>
      <c r="C25" s="1">
        <v>0</v>
      </c>
      <c r="D25" s="1">
        <v>1</v>
      </c>
      <c r="E25" s="1">
        <v>0</v>
      </c>
      <c r="F25" s="1">
        <v>0</v>
      </c>
      <c r="G25" s="1">
        <v>0</v>
      </c>
      <c r="H25" s="1">
        <v>0</v>
      </c>
      <c r="I25" s="1">
        <v>0</v>
      </c>
      <c r="J25" s="1">
        <v>1</v>
      </c>
      <c r="K25" s="1">
        <v>1</v>
      </c>
      <c r="L25" s="1">
        <v>0</v>
      </c>
      <c r="M25" s="1">
        <v>0</v>
      </c>
      <c r="N25" s="1">
        <v>0</v>
      </c>
      <c r="O25" s="1">
        <v>0</v>
      </c>
      <c r="P25" s="1">
        <f>+- 50</f>
        <v>-50</v>
      </c>
      <c r="Q25" s="1">
        <f>+- 20</f>
        <v>-20</v>
      </c>
      <c r="R25" s="1">
        <f>+- 15</f>
        <v>-15</v>
      </c>
      <c r="S25" s="1">
        <v>1</v>
      </c>
      <c r="T25" s="1">
        <v>1</v>
      </c>
      <c r="U25" s="1">
        <v>4</v>
      </c>
      <c r="V25" s="1">
        <v>4</v>
      </c>
      <c r="W25" s="1">
        <v>2</v>
      </c>
      <c r="X25" s="1">
        <v>4</v>
      </c>
      <c r="Y25" s="1">
        <v>4</v>
      </c>
      <c r="Z25" s="1">
        <v>4</v>
      </c>
      <c r="AA25" s="1">
        <v>4</v>
      </c>
      <c r="AC25" s="1">
        <v>1</v>
      </c>
      <c r="AD25" s="1">
        <v>3</v>
      </c>
      <c r="AF25" s="3">
        <v>4000000</v>
      </c>
      <c r="AG25" s="1">
        <v>13</v>
      </c>
      <c r="AT25" s="1" t="s">
        <v>86</v>
      </c>
      <c r="BP25" s="1">
        <v>3</v>
      </c>
      <c r="BQ25" s="1" t="s">
        <v>160</v>
      </c>
      <c r="BR25" s="1" t="s">
        <v>161</v>
      </c>
      <c r="BS25" s="1" t="s">
        <v>162</v>
      </c>
      <c r="BT25" s="1" t="s">
        <v>79</v>
      </c>
      <c r="BU25" s="1">
        <v>1</v>
      </c>
      <c r="BV25" s="1">
        <v>2</v>
      </c>
      <c r="BW25" s="1">
        <v>1</v>
      </c>
      <c r="BX25" s="1">
        <v>0</v>
      </c>
      <c r="BY25" s="1">
        <v>0</v>
      </c>
      <c r="BZ25" s="1">
        <v>0</v>
      </c>
      <c r="CA25" s="1">
        <v>0</v>
      </c>
      <c r="CB25" s="1">
        <v>0</v>
      </c>
      <c r="CC25" s="1">
        <v>0</v>
      </c>
      <c r="CD25" s="1">
        <v>0</v>
      </c>
      <c r="CE25" s="1">
        <v>0</v>
      </c>
      <c r="CF25" s="1">
        <v>0</v>
      </c>
      <c r="CG25" s="1">
        <v>0</v>
      </c>
      <c r="CH25" s="1">
        <v>0</v>
      </c>
      <c r="CI25" s="1">
        <v>0</v>
      </c>
      <c r="CJ25" s="1">
        <v>4</v>
      </c>
      <c r="CK25" s="1">
        <v>4</v>
      </c>
      <c r="CL25" s="1">
        <v>4</v>
      </c>
      <c r="CM25" s="1">
        <v>4</v>
      </c>
      <c r="CN25" s="1">
        <v>4</v>
      </c>
      <c r="CO25" s="1">
        <v>4</v>
      </c>
      <c r="CP25" s="1">
        <v>4</v>
      </c>
      <c r="CU25" s="1">
        <v>1</v>
      </c>
    </row>
    <row r="26" spans="1:99" x14ac:dyDescent="0.35">
      <c r="A26" s="1" t="s">
        <v>163</v>
      </c>
      <c r="B26" s="1">
        <v>175154046</v>
      </c>
      <c r="C26" s="1">
        <v>0</v>
      </c>
      <c r="D26" s="1">
        <v>1</v>
      </c>
      <c r="E26" s="1">
        <v>0</v>
      </c>
      <c r="F26" s="1">
        <v>0</v>
      </c>
      <c r="G26" s="1">
        <v>0</v>
      </c>
      <c r="H26" s="1">
        <v>1</v>
      </c>
      <c r="I26" s="1">
        <v>0</v>
      </c>
      <c r="J26" s="1">
        <v>0</v>
      </c>
      <c r="K26" s="1">
        <v>0</v>
      </c>
      <c r="L26" s="1">
        <v>0</v>
      </c>
      <c r="M26" s="1">
        <v>0</v>
      </c>
      <c r="N26" s="1">
        <v>0</v>
      </c>
      <c r="O26" s="1">
        <v>0</v>
      </c>
      <c r="P26" s="1">
        <v>100</v>
      </c>
      <c r="Q26" s="1">
        <v>40</v>
      </c>
      <c r="R26" s="1">
        <v>10</v>
      </c>
      <c r="S26" s="1">
        <v>1</v>
      </c>
      <c r="T26" s="1">
        <v>1</v>
      </c>
      <c r="U26" s="1">
        <v>4</v>
      </c>
      <c r="V26" s="1">
        <v>3</v>
      </c>
      <c r="W26" s="1">
        <v>3</v>
      </c>
      <c r="X26" s="1">
        <v>4</v>
      </c>
      <c r="Y26" s="1">
        <v>4</v>
      </c>
      <c r="Z26" s="1">
        <v>4</v>
      </c>
      <c r="AA26" s="1">
        <v>3</v>
      </c>
      <c r="AC26" s="1">
        <v>1</v>
      </c>
      <c r="AD26" s="1">
        <v>4</v>
      </c>
      <c r="AF26" s="3">
        <v>5335000</v>
      </c>
      <c r="AG26" s="1">
        <v>11</v>
      </c>
      <c r="AR26" s="1" t="s">
        <v>118</v>
      </c>
      <c r="BP26" s="1">
        <v>3</v>
      </c>
      <c r="BQ26" s="1" t="s">
        <v>164</v>
      </c>
      <c r="BR26" s="1" t="s">
        <v>165</v>
      </c>
      <c r="BS26" s="1" t="s">
        <v>166</v>
      </c>
      <c r="BT26" s="1" t="s">
        <v>73</v>
      </c>
      <c r="BU26" s="1">
        <v>1</v>
      </c>
      <c r="BV26" s="1">
        <v>2</v>
      </c>
      <c r="BW26" s="1">
        <v>1</v>
      </c>
      <c r="BX26" s="1">
        <v>0</v>
      </c>
      <c r="BY26" s="1">
        <v>0</v>
      </c>
      <c r="BZ26" s="1">
        <v>0</v>
      </c>
      <c r="CA26" s="1">
        <v>0</v>
      </c>
      <c r="CB26" s="1">
        <v>0</v>
      </c>
      <c r="CC26" s="1">
        <v>0</v>
      </c>
      <c r="CD26" s="1">
        <v>0</v>
      </c>
      <c r="CE26" s="1">
        <v>0</v>
      </c>
      <c r="CF26" s="1">
        <v>0</v>
      </c>
      <c r="CG26" s="1">
        <v>0</v>
      </c>
      <c r="CH26" s="1">
        <v>0</v>
      </c>
      <c r="CI26" s="1">
        <v>0</v>
      </c>
      <c r="CJ26" s="1">
        <v>4</v>
      </c>
      <c r="CK26" s="1">
        <v>4</v>
      </c>
      <c r="CL26" s="1">
        <v>4</v>
      </c>
      <c r="CM26" s="1">
        <v>4</v>
      </c>
      <c r="CN26" s="1">
        <v>4</v>
      </c>
      <c r="CO26" s="1">
        <v>4</v>
      </c>
      <c r="CP26" s="1">
        <v>4</v>
      </c>
      <c r="CU26" s="1">
        <v>1</v>
      </c>
    </row>
    <row r="27" spans="1:99" x14ac:dyDescent="0.35">
      <c r="A27" s="1" t="s">
        <v>167</v>
      </c>
      <c r="B27" s="1">
        <v>175154047</v>
      </c>
      <c r="C27" s="1">
        <v>0</v>
      </c>
      <c r="D27" s="1">
        <v>1</v>
      </c>
      <c r="E27" s="1">
        <v>1</v>
      </c>
      <c r="F27" s="1">
        <v>0</v>
      </c>
      <c r="G27" s="1">
        <v>0</v>
      </c>
      <c r="H27" s="1">
        <v>0</v>
      </c>
      <c r="I27" s="1">
        <v>0</v>
      </c>
      <c r="J27" s="1">
        <v>1</v>
      </c>
      <c r="K27" s="1">
        <v>0</v>
      </c>
      <c r="L27" s="1">
        <v>0</v>
      </c>
      <c r="M27" s="1">
        <v>0</v>
      </c>
      <c r="N27" s="1">
        <v>0</v>
      </c>
      <c r="O27" s="1">
        <v>0</v>
      </c>
      <c r="P27" s="1">
        <v>0</v>
      </c>
      <c r="Q27" s="1">
        <v>4</v>
      </c>
      <c r="R27" s="1">
        <v>3</v>
      </c>
      <c r="S27" s="1">
        <v>1</v>
      </c>
      <c r="T27" s="1">
        <v>1</v>
      </c>
      <c r="U27" s="1">
        <v>4</v>
      </c>
      <c r="V27" s="1">
        <v>4</v>
      </c>
      <c r="W27" s="1">
        <v>3</v>
      </c>
      <c r="X27" s="1">
        <v>4</v>
      </c>
      <c r="Y27" s="1">
        <v>4</v>
      </c>
      <c r="Z27" s="1">
        <v>4</v>
      </c>
      <c r="AA27" s="1">
        <v>4</v>
      </c>
      <c r="AC27" s="1">
        <v>1</v>
      </c>
      <c r="AD27" s="1">
        <v>0</v>
      </c>
      <c r="AF27" s="3">
        <v>4000000</v>
      </c>
      <c r="AG27" s="1">
        <v>13</v>
      </c>
      <c r="AT27" s="1" t="s">
        <v>86</v>
      </c>
      <c r="BP27" s="1">
        <v>3</v>
      </c>
      <c r="BQ27" s="1" t="s">
        <v>168</v>
      </c>
      <c r="BR27" s="1" t="s">
        <v>169</v>
      </c>
      <c r="BS27" s="1" t="s">
        <v>170</v>
      </c>
      <c r="BT27" s="1" t="s">
        <v>79</v>
      </c>
      <c r="BU27" s="1">
        <v>1</v>
      </c>
      <c r="BV27" s="1">
        <v>2</v>
      </c>
      <c r="BW27" s="1">
        <v>1</v>
      </c>
      <c r="BX27" s="1">
        <v>0</v>
      </c>
      <c r="BY27" s="1">
        <v>0</v>
      </c>
      <c r="BZ27" s="1">
        <v>0</v>
      </c>
      <c r="CA27" s="1">
        <v>0</v>
      </c>
      <c r="CB27" s="1">
        <v>0</v>
      </c>
      <c r="CC27" s="1">
        <v>0</v>
      </c>
      <c r="CD27" s="1">
        <v>0</v>
      </c>
      <c r="CE27" s="1">
        <v>0</v>
      </c>
      <c r="CF27" s="1">
        <v>0</v>
      </c>
      <c r="CG27" s="1">
        <v>0</v>
      </c>
      <c r="CH27" s="1">
        <v>0</v>
      </c>
      <c r="CI27" s="1">
        <v>0</v>
      </c>
      <c r="CJ27" s="1">
        <v>4</v>
      </c>
      <c r="CK27" s="1">
        <v>4</v>
      </c>
      <c r="CL27" s="1">
        <v>2</v>
      </c>
      <c r="CM27" s="1">
        <v>4</v>
      </c>
      <c r="CN27" s="1">
        <v>4</v>
      </c>
      <c r="CO27" s="1">
        <v>4</v>
      </c>
      <c r="CP27" s="1">
        <v>4</v>
      </c>
      <c r="CU27" s="1">
        <v>1</v>
      </c>
    </row>
    <row r="28" spans="1:99" x14ac:dyDescent="0.35">
      <c r="A28" s="1" t="s">
        <v>171</v>
      </c>
      <c r="B28" s="1">
        <v>175154048</v>
      </c>
      <c r="C28" s="1">
        <v>0</v>
      </c>
      <c r="D28" s="1">
        <v>1</v>
      </c>
      <c r="E28" s="1">
        <v>0</v>
      </c>
      <c r="F28" s="1">
        <v>0</v>
      </c>
      <c r="G28" s="1">
        <v>0</v>
      </c>
      <c r="H28" s="1">
        <v>0</v>
      </c>
      <c r="I28" s="1">
        <v>1</v>
      </c>
      <c r="J28" s="1">
        <v>0</v>
      </c>
      <c r="K28" s="1">
        <v>0</v>
      </c>
      <c r="L28" s="1">
        <v>0</v>
      </c>
      <c r="M28" s="1">
        <v>0</v>
      </c>
      <c r="N28" s="1">
        <v>0</v>
      </c>
      <c r="O28" s="1">
        <v>0</v>
      </c>
      <c r="P28" s="1">
        <v>22</v>
      </c>
      <c r="Q28" s="1">
        <v>4</v>
      </c>
      <c r="R28" s="1">
        <v>3</v>
      </c>
      <c r="S28" s="1">
        <v>4</v>
      </c>
      <c r="T28" s="1">
        <v>1</v>
      </c>
      <c r="U28" s="1">
        <v>4</v>
      </c>
      <c r="V28" s="1">
        <v>3</v>
      </c>
      <c r="W28" s="1">
        <v>2</v>
      </c>
      <c r="X28" s="1">
        <v>3</v>
      </c>
      <c r="Y28" s="1">
        <v>3</v>
      </c>
      <c r="Z28" s="1">
        <v>3</v>
      </c>
      <c r="AA28" s="1">
        <v>3</v>
      </c>
      <c r="CQ28" s="1">
        <v>1</v>
      </c>
      <c r="CR28" s="1" t="s">
        <v>172</v>
      </c>
      <c r="CS28" s="1" t="s">
        <v>173</v>
      </c>
      <c r="CT28" s="5">
        <v>44775</v>
      </c>
      <c r="CU28" s="1">
        <v>1</v>
      </c>
    </row>
    <row r="29" spans="1:99" x14ac:dyDescent="0.35">
      <c r="A29" s="1" t="s">
        <v>174</v>
      </c>
      <c r="B29" s="1">
        <v>175154056</v>
      </c>
      <c r="C29" s="1">
        <v>0</v>
      </c>
      <c r="D29" s="1">
        <v>1</v>
      </c>
      <c r="E29" s="1">
        <v>0</v>
      </c>
      <c r="F29" s="1">
        <v>0</v>
      </c>
      <c r="G29" s="1">
        <v>0</v>
      </c>
      <c r="H29" s="1">
        <v>0</v>
      </c>
      <c r="I29" s="1">
        <v>0</v>
      </c>
      <c r="J29" s="1">
        <v>1</v>
      </c>
      <c r="K29" s="1">
        <v>1</v>
      </c>
      <c r="L29" s="1">
        <v>0</v>
      </c>
      <c r="M29" s="1">
        <v>0</v>
      </c>
      <c r="N29" s="1">
        <v>1</v>
      </c>
      <c r="O29" s="1">
        <v>0</v>
      </c>
      <c r="P29" s="1">
        <v>10</v>
      </c>
      <c r="Q29" s="1">
        <v>7</v>
      </c>
      <c r="R29" s="1">
        <v>6</v>
      </c>
      <c r="S29" s="1">
        <v>1</v>
      </c>
      <c r="T29" s="1">
        <v>3</v>
      </c>
      <c r="U29" s="1">
        <v>4</v>
      </c>
      <c r="V29" s="1">
        <v>2</v>
      </c>
      <c r="W29" s="1">
        <v>3</v>
      </c>
      <c r="X29" s="1">
        <v>3</v>
      </c>
      <c r="Y29" s="1">
        <v>4</v>
      </c>
      <c r="Z29" s="1">
        <v>4</v>
      </c>
      <c r="AA29" s="1">
        <v>4</v>
      </c>
      <c r="AC29" s="1">
        <v>1</v>
      </c>
      <c r="AD29" s="1">
        <v>1</v>
      </c>
      <c r="AF29" s="3">
        <v>7000000</v>
      </c>
      <c r="AG29" s="1">
        <v>11</v>
      </c>
      <c r="AR29" s="1" t="s">
        <v>130</v>
      </c>
      <c r="BP29" s="1">
        <v>1</v>
      </c>
      <c r="BQ29" s="1" t="s">
        <v>175</v>
      </c>
      <c r="BR29" s="1" t="s">
        <v>176</v>
      </c>
      <c r="BS29" s="1" t="s">
        <v>177</v>
      </c>
      <c r="BT29" s="1" t="s">
        <v>79</v>
      </c>
      <c r="BU29" s="1">
        <v>3</v>
      </c>
      <c r="BV29" s="1">
        <v>2</v>
      </c>
      <c r="BW29" s="1">
        <v>0</v>
      </c>
      <c r="BX29" s="1">
        <v>0</v>
      </c>
      <c r="BY29" s="1">
        <v>1</v>
      </c>
      <c r="BZ29" s="1">
        <v>0</v>
      </c>
      <c r="CA29" s="1">
        <v>0</v>
      </c>
      <c r="CB29" s="1">
        <v>1</v>
      </c>
      <c r="CC29" s="1">
        <v>1</v>
      </c>
      <c r="CD29" s="1">
        <v>1</v>
      </c>
      <c r="CE29" s="1">
        <v>0</v>
      </c>
      <c r="CF29" s="1">
        <v>0</v>
      </c>
      <c r="CG29" s="1">
        <v>1</v>
      </c>
      <c r="CH29" s="1">
        <v>0</v>
      </c>
      <c r="CI29" s="1">
        <v>0</v>
      </c>
      <c r="CJ29" s="1">
        <v>4</v>
      </c>
      <c r="CK29" s="1">
        <v>3</v>
      </c>
      <c r="CL29" s="1">
        <v>3</v>
      </c>
      <c r="CM29" s="1">
        <v>4</v>
      </c>
      <c r="CN29" s="1">
        <v>4</v>
      </c>
      <c r="CO29" s="1">
        <v>4</v>
      </c>
      <c r="CP29" s="1">
        <v>4</v>
      </c>
      <c r="CU29" s="1">
        <v>1</v>
      </c>
    </row>
    <row r="30" spans="1:99" x14ac:dyDescent="0.35">
      <c r="A30" s="1" t="s">
        <v>178</v>
      </c>
      <c r="B30" s="1">
        <v>175154057</v>
      </c>
    </row>
    <row r="31" spans="1:99" x14ac:dyDescent="0.35">
      <c r="A31" s="1" t="s">
        <v>179</v>
      </c>
      <c r="B31" s="1">
        <v>175154058</v>
      </c>
      <c r="C31" s="1">
        <v>0</v>
      </c>
      <c r="D31" s="1">
        <v>1</v>
      </c>
      <c r="E31" s="1">
        <v>0</v>
      </c>
      <c r="F31" s="1">
        <v>0</v>
      </c>
      <c r="G31" s="1">
        <v>0</v>
      </c>
      <c r="H31" s="1">
        <v>0</v>
      </c>
      <c r="I31" s="1">
        <v>0</v>
      </c>
      <c r="J31" s="1">
        <v>0</v>
      </c>
      <c r="K31" s="1">
        <v>0</v>
      </c>
      <c r="L31" s="1">
        <v>0</v>
      </c>
      <c r="M31" s="1">
        <v>0</v>
      </c>
      <c r="N31" s="1">
        <v>0</v>
      </c>
      <c r="O31" s="1">
        <v>0</v>
      </c>
      <c r="P31" s="1" t="s">
        <v>180</v>
      </c>
      <c r="Q31" s="1" t="s">
        <v>181</v>
      </c>
      <c r="R31" s="1">
        <v>10</v>
      </c>
      <c r="S31" s="1">
        <v>1</v>
      </c>
      <c r="T31" s="1">
        <v>1</v>
      </c>
      <c r="U31" s="1">
        <v>4</v>
      </c>
      <c r="V31" s="1">
        <v>4</v>
      </c>
      <c r="W31" s="1">
        <v>4</v>
      </c>
      <c r="X31" s="1">
        <v>3</v>
      </c>
      <c r="Y31" s="1">
        <v>3</v>
      </c>
      <c r="Z31" s="1">
        <v>4</v>
      </c>
      <c r="AA31" s="1">
        <v>4</v>
      </c>
      <c r="AC31" s="1">
        <v>2</v>
      </c>
      <c r="AE31" s="1">
        <v>3</v>
      </c>
      <c r="AF31" s="3">
        <v>4700000</v>
      </c>
      <c r="AG31" s="1">
        <v>11</v>
      </c>
      <c r="AR31" s="1" t="s">
        <v>130</v>
      </c>
      <c r="BP31" s="1">
        <v>3</v>
      </c>
      <c r="BQ31" s="1" t="s">
        <v>182</v>
      </c>
      <c r="BR31" s="1" t="s">
        <v>183</v>
      </c>
      <c r="BS31" s="1" t="s">
        <v>184</v>
      </c>
      <c r="BT31" s="1" t="s">
        <v>79</v>
      </c>
      <c r="BU31" s="1">
        <v>1</v>
      </c>
      <c r="BV31" s="1">
        <v>2</v>
      </c>
      <c r="BW31" s="1">
        <v>1</v>
      </c>
      <c r="BX31" s="1">
        <v>0</v>
      </c>
      <c r="BY31" s="1">
        <v>0</v>
      </c>
      <c r="BZ31" s="1">
        <v>0</v>
      </c>
      <c r="CA31" s="1">
        <v>0</v>
      </c>
      <c r="CB31" s="1">
        <v>0</v>
      </c>
      <c r="CC31" s="1">
        <v>0</v>
      </c>
      <c r="CD31" s="1">
        <v>0</v>
      </c>
      <c r="CE31" s="1">
        <v>0</v>
      </c>
      <c r="CF31" s="1">
        <v>0</v>
      </c>
      <c r="CG31" s="1">
        <v>0</v>
      </c>
      <c r="CH31" s="1">
        <v>0</v>
      </c>
      <c r="CI31" s="1">
        <v>0</v>
      </c>
      <c r="CJ31" s="1">
        <v>4</v>
      </c>
      <c r="CK31" s="1">
        <v>4</v>
      </c>
      <c r="CL31" s="1">
        <v>4</v>
      </c>
      <c r="CM31" s="1">
        <v>4</v>
      </c>
      <c r="CN31" s="1">
        <v>4</v>
      </c>
      <c r="CO31" s="1">
        <v>4</v>
      </c>
      <c r="CP31" s="1">
        <v>4</v>
      </c>
      <c r="CU31" s="1">
        <v>1</v>
      </c>
    </row>
    <row r="32" spans="1:99" x14ac:dyDescent="0.35">
      <c r="A32" s="1" t="s">
        <v>185</v>
      </c>
      <c r="B32" s="1">
        <v>175154059</v>
      </c>
      <c r="C32" s="1">
        <v>0</v>
      </c>
      <c r="D32" s="1">
        <v>0</v>
      </c>
      <c r="E32" s="1">
        <v>0</v>
      </c>
      <c r="F32" s="1">
        <v>0</v>
      </c>
      <c r="G32" s="1">
        <v>0</v>
      </c>
      <c r="H32" s="1">
        <v>0</v>
      </c>
      <c r="I32" s="1">
        <v>0</v>
      </c>
      <c r="J32" s="1">
        <v>0</v>
      </c>
      <c r="K32" s="1">
        <v>1</v>
      </c>
      <c r="L32" s="1">
        <v>0</v>
      </c>
      <c r="M32" s="1">
        <v>0</v>
      </c>
      <c r="N32" s="1">
        <v>0</v>
      </c>
      <c r="O32" s="1">
        <v>0</v>
      </c>
      <c r="P32" s="1">
        <v>1</v>
      </c>
      <c r="Q32" s="1" t="s">
        <v>186</v>
      </c>
      <c r="R32" s="1">
        <f>+- 10</f>
        <v>-10</v>
      </c>
      <c r="S32" s="1">
        <v>1</v>
      </c>
      <c r="T32" s="1">
        <v>1</v>
      </c>
      <c r="U32" s="1">
        <v>4</v>
      </c>
      <c r="V32" s="1">
        <v>3</v>
      </c>
      <c r="W32" s="1">
        <v>2</v>
      </c>
      <c r="X32" s="1">
        <v>4</v>
      </c>
      <c r="Y32" s="1">
        <v>3</v>
      </c>
      <c r="Z32" s="1">
        <v>3</v>
      </c>
      <c r="AA32" s="1">
        <v>3</v>
      </c>
      <c r="AC32" s="1">
        <v>1</v>
      </c>
      <c r="AD32" s="1">
        <v>3</v>
      </c>
      <c r="AF32" s="3">
        <v>2400000</v>
      </c>
      <c r="AG32" s="1">
        <v>13</v>
      </c>
      <c r="AT32" s="1" t="s">
        <v>86</v>
      </c>
      <c r="BP32" s="1">
        <v>2</v>
      </c>
      <c r="BQ32" s="1" t="s">
        <v>187</v>
      </c>
      <c r="BR32" s="1" t="s">
        <v>188</v>
      </c>
      <c r="BS32" s="1" t="s">
        <v>189</v>
      </c>
      <c r="BT32" s="1" t="s">
        <v>79</v>
      </c>
      <c r="BU32" s="1">
        <v>1</v>
      </c>
      <c r="BV32" s="1">
        <v>3</v>
      </c>
      <c r="BW32" s="1">
        <v>0</v>
      </c>
      <c r="BX32" s="1">
        <v>1</v>
      </c>
      <c r="BY32" s="1">
        <v>1</v>
      </c>
      <c r="BZ32" s="1">
        <v>0</v>
      </c>
      <c r="CA32" s="1">
        <v>0</v>
      </c>
      <c r="CB32" s="1">
        <v>0</v>
      </c>
      <c r="CC32" s="1">
        <v>0</v>
      </c>
      <c r="CD32" s="1">
        <v>0</v>
      </c>
      <c r="CE32" s="1">
        <v>1</v>
      </c>
      <c r="CF32" s="1">
        <v>1</v>
      </c>
      <c r="CG32" s="1">
        <v>0</v>
      </c>
      <c r="CH32" s="1">
        <v>0</v>
      </c>
      <c r="CI32" s="1">
        <v>0</v>
      </c>
      <c r="CJ32" s="1">
        <v>4</v>
      </c>
      <c r="CK32" s="1">
        <v>4</v>
      </c>
      <c r="CL32" s="1">
        <v>3</v>
      </c>
      <c r="CM32" s="1">
        <v>4</v>
      </c>
      <c r="CN32" s="1">
        <v>4</v>
      </c>
      <c r="CO32" s="1">
        <v>3</v>
      </c>
      <c r="CP32" s="1">
        <v>4</v>
      </c>
      <c r="CU32" s="1">
        <v>4</v>
      </c>
    </row>
    <row r="33" spans="1:99" x14ac:dyDescent="0.35">
      <c r="A33" s="1" t="s">
        <v>190</v>
      </c>
      <c r="B33" s="1">
        <v>175154060</v>
      </c>
      <c r="C33" s="1">
        <v>0</v>
      </c>
      <c r="D33" s="1">
        <v>1</v>
      </c>
      <c r="E33" s="1">
        <v>0</v>
      </c>
      <c r="F33" s="1">
        <v>0</v>
      </c>
      <c r="G33" s="1">
        <v>0</v>
      </c>
      <c r="H33" s="1">
        <v>0</v>
      </c>
      <c r="I33" s="1">
        <v>0</v>
      </c>
      <c r="J33" s="1">
        <v>0</v>
      </c>
      <c r="K33" s="1">
        <v>0</v>
      </c>
      <c r="L33" s="1">
        <v>0</v>
      </c>
      <c r="M33" s="1">
        <v>0</v>
      </c>
      <c r="N33" s="1">
        <v>0</v>
      </c>
      <c r="O33" s="1">
        <v>0</v>
      </c>
      <c r="P33" s="1">
        <v>20</v>
      </c>
      <c r="Q33" s="1">
        <v>5</v>
      </c>
      <c r="R33" s="1">
        <v>3</v>
      </c>
      <c r="S33" s="1">
        <v>1</v>
      </c>
      <c r="T33" s="1">
        <v>1</v>
      </c>
      <c r="U33" s="1">
        <v>3</v>
      </c>
      <c r="V33" s="1">
        <v>3</v>
      </c>
      <c r="W33" s="1">
        <v>3</v>
      </c>
      <c r="X33" s="1">
        <v>3</v>
      </c>
      <c r="Y33" s="1">
        <v>3</v>
      </c>
      <c r="Z33" s="1">
        <v>4</v>
      </c>
      <c r="AA33" s="1">
        <v>4</v>
      </c>
      <c r="AC33" s="1">
        <v>1</v>
      </c>
      <c r="AD33" s="1">
        <v>2</v>
      </c>
      <c r="AF33" s="3">
        <v>5250000</v>
      </c>
      <c r="AG33" s="1">
        <v>11</v>
      </c>
      <c r="AR33" s="1" t="s">
        <v>130</v>
      </c>
      <c r="BP33" s="1">
        <v>3</v>
      </c>
      <c r="BQ33" s="1" t="s">
        <v>191</v>
      </c>
      <c r="BR33" s="1" t="s">
        <v>192</v>
      </c>
      <c r="BS33" s="1" t="s">
        <v>193</v>
      </c>
      <c r="BT33" s="1" t="s">
        <v>79</v>
      </c>
      <c r="BU33" s="1">
        <v>1</v>
      </c>
      <c r="BV33" s="1">
        <v>2</v>
      </c>
      <c r="BW33" s="1">
        <v>1</v>
      </c>
      <c r="BX33" s="1">
        <v>0</v>
      </c>
      <c r="BY33" s="1">
        <v>0</v>
      </c>
      <c r="BZ33" s="1">
        <v>0</v>
      </c>
      <c r="CA33" s="1">
        <v>0</v>
      </c>
      <c r="CB33" s="1">
        <v>0</v>
      </c>
      <c r="CC33" s="1">
        <v>0</v>
      </c>
      <c r="CD33" s="1">
        <v>0</v>
      </c>
      <c r="CE33" s="1">
        <v>0</v>
      </c>
      <c r="CF33" s="1">
        <v>0</v>
      </c>
      <c r="CG33" s="1">
        <v>0</v>
      </c>
      <c r="CH33" s="1">
        <v>0</v>
      </c>
      <c r="CI33" s="1">
        <v>0</v>
      </c>
      <c r="CJ33" s="1">
        <v>3</v>
      </c>
      <c r="CK33" s="1">
        <v>4</v>
      </c>
      <c r="CL33" s="1">
        <v>3</v>
      </c>
      <c r="CM33" s="1">
        <v>4</v>
      </c>
      <c r="CN33" s="1">
        <v>4</v>
      </c>
      <c r="CO33" s="1">
        <v>4</v>
      </c>
      <c r="CP33" s="1">
        <v>4</v>
      </c>
      <c r="CU33" s="1">
        <v>1</v>
      </c>
    </row>
    <row r="34" spans="1:99" x14ac:dyDescent="0.35">
      <c r="A34" s="1" t="s">
        <v>3553</v>
      </c>
      <c r="B34" s="1">
        <v>175154004</v>
      </c>
    </row>
    <row r="35" spans="1:99" x14ac:dyDescent="0.35">
      <c r="A35" s="1" t="s">
        <v>3554</v>
      </c>
      <c r="B35" s="1">
        <v>175154005</v>
      </c>
    </row>
    <row r="36" spans="1:99" x14ac:dyDescent="0.35">
      <c r="A36" s="1" t="s">
        <v>3555</v>
      </c>
      <c r="B36" s="1">
        <v>175154006</v>
      </c>
    </row>
    <row r="37" spans="1:99" x14ac:dyDescent="0.35">
      <c r="A37" s="1" t="s">
        <v>3556</v>
      </c>
      <c r="B37" s="1">
        <v>175154007</v>
      </c>
    </row>
    <row r="38" spans="1:99" x14ac:dyDescent="0.35">
      <c r="A38" s="1" t="s">
        <v>3557</v>
      </c>
      <c r="B38" s="1">
        <v>175154010</v>
      </c>
    </row>
    <row r="39" spans="1:99" x14ac:dyDescent="0.35">
      <c r="A39" s="1" t="s">
        <v>3558</v>
      </c>
      <c r="B39" s="1">
        <v>175154014</v>
      </c>
    </row>
    <row r="40" spans="1:99" x14ac:dyDescent="0.35">
      <c r="A40" s="1" t="s">
        <v>3559</v>
      </c>
      <c r="B40" s="1">
        <v>175154017</v>
      </c>
    </row>
    <row r="41" spans="1:99" x14ac:dyDescent="0.35">
      <c r="A41" s="1" t="s">
        <v>3560</v>
      </c>
      <c r="B41" s="1">
        <v>175154019</v>
      </c>
    </row>
    <row r="42" spans="1:99" x14ac:dyDescent="0.35">
      <c r="A42" s="1" t="s">
        <v>3561</v>
      </c>
      <c r="B42" s="1">
        <v>175154028</v>
      </c>
    </row>
    <row r="43" spans="1:99" x14ac:dyDescent="0.35">
      <c r="A43" s="1" t="s">
        <v>3562</v>
      </c>
      <c r="B43" s="1">
        <v>175154031</v>
      </c>
    </row>
    <row r="44" spans="1:99" x14ac:dyDescent="0.35">
      <c r="A44" s="1" t="s">
        <v>3563</v>
      </c>
      <c r="B44" s="1">
        <v>175154035</v>
      </c>
    </row>
    <row r="45" spans="1:99" x14ac:dyDescent="0.35">
      <c r="A45" s="1" t="s">
        <v>3564</v>
      </c>
      <c r="B45" s="1">
        <v>175154037</v>
      </c>
    </row>
    <row r="46" spans="1:99" x14ac:dyDescent="0.35">
      <c r="A46" s="1" t="s">
        <v>3565</v>
      </c>
      <c r="B46" s="1">
        <v>175154039</v>
      </c>
    </row>
    <row r="47" spans="1:99" x14ac:dyDescent="0.35">
      <c r="A47" s="1" t="s">
        <v>3566</v>
      </c>
      <c r="B47" s="1">
        <v>175154041</v>
      </c>
    </row>
    <row r="48" spans="1:99" x14ac:dyDescent="0.35">
      <c r="A48" s="1" t="s">
        <v>3567</v>
      </c>
      <c r="B48" s="1">
        <v>175154044</v>
      </c>
    </row>
    <row r="49" spans="1:2" x14ac:dyDescent="0.35">
      <c r="A49" s="1" t="s">
        <v>3568</v>
      </c>
      <c r="B49" s="1">
        <v>175154049</v>
      </c>
    </row>
    <row r="50" spans="1:2" x14ac:dyDescent="0.35">
      <c r="A50" s="1" t="s">
        <v>3569</v>
      </c>
      <c r="B50" s="1">
        <v>175154050</v>
      </c>
    </row>
    <row r="51" spans="1:2" x14ac:dyDescent="0.35">
      <c r="A51" s="1" t="s">
        <v>3570</v>
      </c>
      <c r="B51" s="1">
        <v>175154051</v>
      </c>
    </row>
    <row r="52" spans="1:2" x14ac:dyDescent="0.35">
      <c r="A52" s="1" t="s">
        <v>3571</v>
      </c>
      <c r="B52" s="1">
        <v>175154052</v>
      </c>
    </row>
    <row r="53" spans="1:2" x14ac:dyDescent="0.35">
      <c r="A53" s="1" t="s">
        <v>3572</v>
      </c>
      <c r="B53" s="1">
        <v>175154053</v>
      </c>
    </row>
    <row r="54" spans="1:2" x14ac:dyDescent="0.35">
      <c r="A54" s="1" t="s">
        <v>3573</v>
      </c>
      <c r="B54" s="1">
        <v>175154054</v>
      </c>
    </row>
    <row r="55" spans="1:2" x14ac:dyDescent="0.35">
      <c r="A55" s="1" t="s">
        <v>3574</v>
      </c>
      <c r="B55" s="1">
        <v>175154055</v>
      </c>
    </row>
    <row r="56" spans="1:2" x14ac:dyDescent="0.35">
      <c r="A56" s="1" t="s">
        <v>3575</v>
      </c>
      <c r="B56" s="1">
        <v>175154061</v>
      </c>
    </row>
    <row r="57" spans="1:2" x14ac:dyDescent="0.35">
      <c r="A57" s="1" t="s">
        <v>3576</v>
      </c>
      <c r="B57" s="1">
        <v>175154062</v>
      </c>
    </row>
    <row r="58" spans="1:2" x14ac:dyDescent="0.35">
      <c r="A58" s="1" t="s">
        <v>3577</v>
      </c>
      <c r="B58" s="1">
        <v>175154063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AEAD4C-01C3-48E4-B9EA-0DA7C2BAF11F}">
  <dimension ref="A1:CU33"/>
  <sheetViews>
    <sheetView zoomScale="55" zoomScaleNormal="55" workbookViewId="0">
      <pane xSplit="2" ySplit="15" topLeftCell="CU16" activePane="bottomRight" state="frozen"/>
      <selection pane="topRight" activeCell="C1" sqref="C1"/>
      <selection pane="bottomLeft" activeCell="A16" sqref="A16"/>
      <selection pane="bottomRight" activeCell="CU8" sqref="CU8"/>
    </sheetView>
  </sheetViews>
  <sheetFormatPr defaultColWidth="8.90625" defaultRowHeight="14.5" x14ac:dyDescent="0.35"/>
  <cols>
    <col min="1" max="1" width="37.90625" style="1" bestFit="1" customWidth="1"/>
    <col min="2" max="2" width="10" style="1" customWidth="1"/>
    <col min="3" max="9" width="64.08984375" style="1" bestFit="1" customWidth="1"/>
    <col min="10" max="14" width="65.08984375" style="1" bestFit="1" customWidth="1"/>
    <col min="15" max="15" width="67.54296875" style="1" bestFit="1" customWidth="1"/>
    <col min="16" max="16" width="110" style="1" bestFit="1" customWidth="1"/>
    <col min="17" max="17" width="63.90625" style="1" bestFit="1" customWidth="1"/>
    <col min="18" max="18" width="73" style="1" bestFit="1" customWidth="1"/>
    <col min="19" max="19" width="25" style="1" bestFit="1" customWidth="1"/>
    <col min="20" max="20" width="41.26953125" style="1" bestFit="1" customWidth="1"/>
    <col min="21" max="21" width="67.08984375" style="1" bestFit="1" customWidth="1"/>
    <col min="22" max="22" width="90.453125" style="1" bestFit="1" customWidth="1"/>
    <col min="23" max="23" width="74.90625" style="1" bestFit="1" customWidth="1"/>
    <col min="24" max="24" width="89.36328125" style="1" bestFit="1" customWidth="1"/>
    <col min="25" max="25" width="72.453125" style="1" bestFit="1" customWidth="1"/>
    <col min="26" max="26" width="75.1796875" style="1" bestFit="1" customWidth="1"/>
    <col min="27" max="27" width="79" style="1" bestFit="1" customWidth="1"/>
    <col min="28" max="28" width="43.08984375" style="1" bestFit="1" customWidth="1"/>
    <col min="29" max="29" width="73.1796875" style="1" bestFit="1" customWidth="1"/>
    <col min="30" max="30" width="43.36328125" style="1" bestFit="1" customWidth="1"/>
    <col min="31" max="31" width="50.54296875" style="1" bestFit="1" customWidth="1"/>
    <col min="32" max="32" width="120.26953125" style="1" bestFit="1" customWidth="1"/>
    <col min="33" max="33" width="39.08984375" style="1" bestFit="1" customWidth="1"/>
    <col min="34" max="35" width="45.7265625" style="1" bestFit="1" customWidth="1"/>
    <col min="36" max="37" width="46.1796875" style="1" bestFit="1" customWidth="1"/>
    <col min="38" max="38" width="45.7265625" style="1" bestFit="1" customWidth="1"/>
    <col min="39" max="52" width="46.1796875" style="1" bestFit="1" customWidth="1"/>
    <col min="53" max="55" width="45.7265625" style="1" bestFit="1" customWidth="1"/>
    <col min="56" max="64" width="46.1796875" style="1" bestFit="1" customWidth="1"/>
    <col min="65" max="67" width="45.7265625" style="1" bestFit="1" customWidth="1"/>
    <col min="68" max="68" width="58.90625" style="1" bestFit="1" customWidth="1"/>
    <col min="69" max="69" width="43.26953125" style="1" bestFit="1" customWidth="1"/>
    <col min="70" max="70" width="45.36328125" style="1" bestFit="1" customWidth="1"/>
    <col min="71" max="71" width="45.26953125" style="1" bestFit="1" customWidth="1"/>
    <col min="72" max="72" width="55.453125" style="1" bestFit="1" customWidth="1"/>
    <col min="73" max="73" width="217.453125" style="1" bestFit="1" customWidth="1"/>
    <col min="74" max="74" width="65.08984375" style="1" bestFit="1" customWidth="1"/>
    <col min="75" max="83" width="117.26953125" style="1" bestFit="1" customWidth="1"/>
    <col min="84" max="86" width="118.26953125" style="1" bestFit="1" customWidth="1"/>
    <col min="87" max="87" width="169.54296875" style="1" bestFit="1" customWidth="1"/>
    <col min="88" max="88" width="76.6328125" style="1" bestFit="1" customWidth="1"/>
    <col min="89" max="89" width="100.26953125" style="1" bestFit="1" customWidth="1"/>
    <col min="90" max="90" width="84.36328125" style="1" bestFit="1" customWidth="1"/>
    <col min="91" max="91" width="98.6328125" style="1" bestFit="1" customWidth="1"/>
    <col min="92" max="92" width="81.90625" style="1" bestFit="1" customWidth="1"/>
    <col min="93" max="93" width="84.7265625" style="1" bestFit="1" customWidth="1"/>
    <col min="94" max="94" width="88.54296875" style="1" bestFit="1" customWidth="1"/>
    <col min="95" max="95" width="40.54296875" style="1" bestFit="1" customWidth="1"/>
    <col min="96" max="96" width="53.36328125" style="1" bestFit="1" customWidth="1"/>
    <col min="97" max="97" width="23.90625" style="1" bestFit="1" customWidth="1"/>
    <col min="98" max="98" width="24.7265625" style="1" bestFit="1" customWidth="1"/>
    <col min="99" max="99" width="123.26953125" style="1" bestFit="1" customWidth="1"/>
    <col min="100" max="16384" width="8.90625" style="1"/>
  </cols>
  <sheetData>
    <row r="1" spans="1:99" s="6" customFormat="1" x14ac:dyDescent="0.35">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6" t="s">
        <v>15</v>
      </c>
      <c r="Q1" s="6" t="s">
        <v>16</v>
      </c>
      <c r="R1" s="6" t="s">
        <v>17</v>
      </c>
      <c r="S1" s="6" t="s">
        <v>18</v>
      </c>
      <c r="T1" s="6" t="s">
        <v>19</v>
      </c>
      <c r="U1" s="6" t="s">
        <v>20</v>
      </c>
      <c r="V1" s="6" t="s">
        <v>21</v>
      </c>
      <c r="W1" s="6" t="s">
        <v>22</v>
      </c>
      <c r="X1" s="6" t="s">
        <v>23</v>
      </c>
      <c r="Y1" s="6" t="s">
        <v>24</v>
      </c>
      <c r="Z1" s="6" t="s">
        <v>25</v>
      </c>
      <c r="AA1" s="6" t="s">
        <v>26</v>
      </c>
      <c r="AB1" s="6" t="s">
        <v>27</v>
      </c>
      <c r="AC1" s="6" t="s">
        <v>28</v>
      </c>
      <c r="AD1" s="6" t="s">
        <v>29</v>
      </c>
      <c r="AE1" s="6" t="s">
        <v>30</v>
      </c>
      <c r="AF1" s="6" t="s">
        <v>31</v>
      </c>
      <c r="AG1" s="6" t="s">
        <v>32</v>
      </c>
      <c r="AH1" s="6" t="s">
        <v>33</v>
      </c>
      <c r="AI1" s="6" t="s">
        <v>33</v>
      </c>
      <c r="AJ1" s="6" t="s">
        <v>34</v>
      </c>
      <c r="AK1" s="6" t="s">
        <v>34</v>
      </c>
      <c r="AL1" s="6" t="s">
        <v>33</v>
      </c>
      <c r="AM1" s="6" t="s">
        <v>34</v>
      </c>
      <c r="AN1" s="6" t="s">
        <v>34</v>
      </c>
      <c r="AO1" s="6" t="s">
        <v>34</v>
      </c>
      <c r="AP1" s="6" t="s">
        <v>34</v>
      </c>
      <c r="AQ1" s="6" t="s">
        <v>34</v>
      </c>
      <c r="AR1" s="6" t="s">
        <v>34</v>
      </c>
      <c r="AS1" s="6" t="s">
        <v>34</v>
      </c>
      <c r="AT1" s="6" t="s">
        <v>34</v>
      </c>
      <c r="AU1" s="6" t="s">
        <v>34</v>
      </c>
      <c r="AV1" s="6" t="s">
        <v>34</v>
      </c>
      <c r="AW1" s="6" t="s">
        <v>34</v>
      </c>
      <c r="AX1" s="6" t="s">
        <v>34</v>
      </c>
      <c r="AY1" s="6" t="s">
        <v>34</v>
      </c>
      <c r="AZ1" s="6" t="s">
        <v>34</v>
      </c>
      <c r="BA1" s="6" t="s">
        <v>33</v>
      </c>
      <c r="BB1" s="6" t="s">
        <v>33</v>
      </c>
      <c r="BC1" s="6" t="s">
        <v>33</v>
      </c>
      <c r="BD1" s="6" t="s">
        <v>34</v>
      </c>
      <c r="BE1" s="6" t="s">
        <v>34</v>
      </c>
      <c r="BF1" s="6" t="s">
        <v>34</v>
      </c>
      <c r="BG1" s="6" t="s">
        <v>34</v>
      </c>
      <c r="BH1" s="6" t="s">
        <v>34</v>
      </c>
      <c r="BI1" s="6" t="s">
        <v>34</v>
      </c>
      <c r="BJ1" s="6" t="s">
        <v>34</v>
      </c>
      <c r="BK1" s="6" t="s">
        <v>34</v>
      </c>
      <c r="BL1" s="6" t="s">
        <v>34</v>
      </c>
      <c r="BM1" s="6" t="s">
        <v>33</v>
      </c>
      <c r="BN1" s="6" t="s">
        <v>33</v>
      </c>
      <c r="BO1" s="6" t="s">
        <v>33</v>
      </c>
      <c r="BP1" s="6" t="s">
        <v>35</v>
      </c>
      <c r="BQ1" s="6" t="s">
        <v>36</v>
      </c>
      <c r="BR1" s="6" t="s">
        <v>37</v>
      </c>
      <c r="BS1" s="6" t="s">
        <v>38</v>
      </c>
      <c r="BT1" s="6" t="s">
        <v>39</v>
      </c>
      <c r="BU1" s="6" t="s">
        <v>40</v>
      </c>
      <c r="BV1" s="6" t="s">
        <v>41</v>
      </c>
      <c r="BW1" s="6" t="s">
        <v>42</v>
      </c>
      <c r="BX1" s="6" t="s">
        <v>43</v>
      </c>
      <c r="BY1" s="6" t="s">
        <v>44</v>
      </c>
      <c r="BZ1" s="6" t="s">
        <v>45</v>
      </c>
      <c r="CA1" s="6" t="s">
        <v>46</v>
      </c>
      <c r="CB1" s="6" t="s">
        <v>47</v>
      </c>
      <c r="CC1" s="6" t="s">
        <v>48</v>
      </c>
      <c r="CD1" s="6" t="s">
        <v>49</v>
      </c>
      <c r="CE1" s="6" t="s">
        <v>50</v>
      </c>
      <c r="CF1" s="6" t="s">
        <v>51</v>
      </c>
      <c r="CG1" s="6" t="s">
        <v>52</v>
      </c>
      <c r="CH1" s="6" t="s">
        <v>53</v>
      </c>
      <c r="CI1" s="6" t="s">
        <v>54</v>
      </c>
      <c r="CJ1" s="6" t="s">
        <v>55</v>
      </c>
      <c r="CK1" s="6" t="s">
        <v>56</v>
      </c>
      <c r="CL1" s="6" t="s">
        <v>57</v>
      </c>
      <c r="CM1" s="6" t="s">
        <v>58</v>
      </c>
      <c r="CN1" s="6" t="s">
        <v>59</v>
      </c>
      <c r="CO1" s="6" t="s">
        <v>60</v>
      </c>
      <c r="CP1" s="6" t="s">
        <v>61</v>
      </c>
      <c r="CQ1" s="6" t="s">
        <v>62</v>
      </c>
      <c r="CR1" s="6" t="s">
        <v>63</v>
      </c>
      <c r="CS1" s="6" t="s">
        <v>64</v>
      </c>
      <c r="CT1" s="6" t="s">
        <v>65</v>
      </c>
      <c r="CU1" s="6" t="s">
        <v>66</v>
      </c>
    </row>
    <row r="2" spans="1:99" x14ac:dyDescent="0.35">
      <c r="A2" s="1" t="s">
        <v>523</v>
      </c>
      <c r="B2" s="1">
        <v>165254001</v>
      </c>
      <c r="C2" s="1">
        <v>0</v>
      </c>
      <c r="D2" s="1">
        <v>0</v>
      </c>
      <c r="E2" s="1">
        <v>0</v>
      </c>
      <c r="F2" s="1">
        <v>0</v>
      </c>
      <c r="G2" s="1">
        <v>0</v>
      </c>
      <c r="H2" s="1">
        <v>0</v>
      </c>
      <c r="I2" s="1">
        <v>0</v>
      </c>
      <c r="J2" s="1">
        <v>0</v>
      </c>
      <c r="K2" s="1">
        <v>1</v>
      </c>
      <c r="L2" s="1">
        <v>0</v>
      </c>
      <c r="M2" s="1">
        <v>0</v>
      </c>
      <c r="N2" s="1">
        <v>0</v>
      </c>
      <c r="O2" s="1">
        <v>0</v>
      </c>
      <c r="P2" s="1">
        <v>2</v>
      </c>
      <c r="Q2" s="1">
        <v>0</v>
      </c>
      <c r="R2" s="1">
        <v>0</v>
      </c>
      <c r="S2" s="1">
        <v>1</v>
      </c>
      <c r="T2" s="1">
        <v>1</v>
      </c>
      <c r="U2" s="1">
        <v>3</v>
      </c>
      <c r="V2" s="1">
        <v>3</v>
      </c>
      <c r="W2" s="1">
        <v>3</v>
      </c>
      <c r="X2" s="1">
        <v>3</v>
      </c>
      <c r="Y2" s="1">
        <v>4</v>
      </c>
      <c r="Z2" s="1">
        <v>3</v>
      </c>
      <c r="AA2" s="1">
        <v>3</v>
      </c>
      <c r="AC2" s="1">
        <v>1</v>
      </c>
      <c r="AD2" s="1">
        <v>3</v>
      </c>
      <c r="AF2" s="3">
        <v>3000000</v>
      </c>
      <c r="AG2" s="1">
        <v>13</v>
      </c>
      <c r="AT2" s="1" t="s">
        <v>86</v>
      </c>
      <c r="BP2" s="1">
        <v>7</v>
      </c>
      <c r="BQ2" s="1" t="s">
        <v>524</v>
      </c>
      <c r="BR2" s="1" t="s">
        <v>525</v>
      </c>
      <c r="BS2" s="1" t="s">
        <v>526</v>
      </c>
      <c r="BT2" s="1" t="s">
        <v>79</v>
      </c>
      <c r="BU2" s="1">
        <v>3</v>
      </c>
      <c r="BV2" s="1">
        <v>2</v>
      </c>
      <c r="BW2" s="1">
        <v>0</v>
      </c>
      <c r="BX2" s="1">
        <v>1</v>
      </c>
      <c r="BY2" s="1">
        <v>0</v>
      </c>
      <c r="BZ2" s="1">
        <v>0</v>
      </c>
      <c r="CA2" s="1">
        <v>0</v>
      </c>
      <c r="CB2" s="1">
        <v>0</v>
      </c>
      <c r="CC2" s="1">
        <v>0</v>
      </c>
      <c r="CD2" s="1">
        <v>0</v>
      </c>
      <c r="CE2" s="1">
        <v>0</v>
      </c>
      <c r="CF2" s="1">
        <v>1</v>
      </c>
      <c r="CG2" s="1">
        <v>0</v>
      </c>
      <c r="CH2" s="1">
        <v>0</v>
      </c>
      <c r="CI2" s="1">
        <v>0</v>
      </c>
      <c r="CJ2" s="1">
        <v>4</v>
      </c>
      <c r="CK2" s="1">
        <v>4</v>
      </c>
      <c r="CL2" s="1">
        <v>4</v>
      </c>
      <c r="CM2" s="1">
        <v>4</v>
      </c>
      <c r="CN2" s="1">
        <v>4</v>
      </c>
      <c r="CO2" s="1">
        <v>4</v>
      </c>
      <c r="CP2" s="1">
        <v>4</v>
      </c>
      <c r="CU2" s="1">
        <v>1</v>
      </c>
    </row>
    <row r="3" spans="1:99" x14ac:dyDescent="0.35">
      <c r="A3" s="1" t="s">
        <v>527</v>
      </c>
      <c r="B3" s="1">
        <v>165254006</v>
      </c>
      <c r="C3" s="1">
        <v>0</v>
      </c>
      <c r="D3" s="1">
        <v>0</v>
      </c>
      <c r="E3" s="1">
        <v>0</v>
      </c>
      <c r="F3" s="1">
        <v>0</v>
      </c>
      <c r="G3" s="1">
        <v>0</v>
      </c>
      <c r="H3" s="1">
        <v>0</v>
      </c>
      <c r="I3" s="1">
        <v>0</v>
      </c>
      <c r="J3" s="1">
        <v>1</v>
      </c>
      <c r="K3" s="1">
        <v>1</v>
      </c>
      <c r="L3" s="1">
        <v>0</v>
      </c>
      <c r="M3" s="1">
        <v>1</v>
      </c>
      <c r="N3" s="1">
        <v>1</v>
      </c>
      <c r="O3" s="1">
        <v>0</v>
      </c>
      <c r="P3" s="1">
        <v>3</v>
      </c>
      <c r="Q3" s="1">
        <v>3</v>
      </c>
      <c r="R3" s="1">
        <v>3</v>
      </c>
      <c r="S3" s="1">
        <v>5</v>
      </c>
      <c r="T3" s="1">
        <v>1</v>
      </c>
      <c r="U3" s="1">
        <v>3</v>
      </c>
      <c r="V3" s="1">
        <v>3</v>
      </c>
      <c r="W3" s="1">
        <v>3</v>
      </c>
      <c r="X3" s="1">
        <v>3</v>
      </c>
      <c r="Y3" s="1">
        <v>3</v>
      </c>
      <c r="Z3" s="1">
        <v>3</v>
      </c>
      <c r="AA3" s="1">
        <v>3</v>
      </c>
      <c r="CU3" s="1">
        <v>4</v>
      </c>
    </row>
    <row r="4" spans="1:99" x14ac:dyDescent="0.35">
      <c r="A4" s="1" t="s">
        <v>528</v>
      </c>
      <c r="B4" s="1">
        <v>175254002</v>
      </c>
      <c r="C4" s="1">
        <v>0</v>
      </c>
      <c r="D4" s="1">
        <v>1</v>
      </c>
      <c r="E4" s="1">
        <v>0</v>
      </c>
      <c r="F4" s="1">
        <v>0</v>
      </c>
      <c r="G4" s="1">
        <v>0</v>
      </c>
      <c r="H4" s="1">
        <v>0</v>
      </c>
      <c r="I4" s="1">
        <v>0</v>
      </c>
      <c r="J4" s="1">
        <v>1</v>
      </c>
      <c r="K4" s="1">
        <v>1</v>
      </c>
      <c r="L4" s="1">
        <v>0</v>
      </c>
      <c r="M4" s="1">
        <v>0</v>
      </c>
      <c r="N4" s="1">
        <v>0</v>
      </c>
      <c r="O4" s="1">
        <v>0</v>
      </c>
      <c r="P4" s="1">
        <v>5</v>
      </c>
      <c r="Q4" s="1">
        <v>1</v>
      </c>
      <c r="R4" s="1">
        <v>1</v>
      </c>
      <c r="S4" s="1">
        <v>1</v>
      </c>
      <c r="T4" s="1">
        <v>1</v>
      </c>
      <c r="U4" s="1">
        <v>4</v>
      </c>
      <c r="V4" s="1">
        <v>4</v>
      </c>
      <c r="W4" s="1">
        <v>3</v>
      </c>
      <c r="X4" s="1">
        <v>4</v>
      </c>
      <c r="Y4" s="1">
        <v>4</v>
      </c>
      <c r="Z4" s="1">
        <v>3</v>
      </c>
      <c r="AA4" s="1">
        <v>4</v>
      </c>
      <c r="AC4" s="1">
        <v>1</v>
      </c>
      <c r="AD4" s="1">
        <v>2</v>
      </c>
      <c r="AF4" s="3">
        <v>2000000</v>
      </c>
      <c r="AG4" s="1">
        <v>13</v>
      </c>
      <c r="AT4" s="1" t="s">
        <v>86</v>
      </c>
      <c r="BP4" s="1" t="s">
        <v>529</v>
      </c>
      <c r="BQ4" s="1" t="s">
        <v>530</v>
      </c>
      <c r="BR4" s="1" t="s">
        <v>531</v>
      </c>
      <c r="BS4" s="1" t="s">
        <v>532</v>
      </c>
      <c r="BT4" s="1" t="s">
        <v>79</v>
      </c>
      <c r="BU4" s="1">
        <v>1</v>
      </c>
      <c r="BV4" s="1">
        <v>2</v>
      </c>
      <c r="BW4" s="1">
        <v>1</v>
      </c>
      <c r="BX4" s="1">
        <v>0</v>
      </c>
      <c r="BY4" s="1">
        <v>1</v>
      </c>
      <c r="BZ4" s="1">
        <v>0</v>
      </c>
      <c r="CA4" s="1">
        <v>0</v>
      </c>
      <c r="CB4" s="1">
        <v>0</v>
      </c>
      <c r="CC4" s="1">
        <v>0</v>
      </c>
      <c r="CD4" s="1">
        <v>0</v>
      </c>
      <c r="CE4" s="1">
        <v>1</v>
      </c>
      <c r="CF4" s="1">
        <v>0</v>
      </c>
      <c r="CG4" s="1">
        <v>0</v>
      </c>
      <c r="CH4" s="1">
        <v>1</v>
      </c>
      <c r="CI4" s="1">
        <v>0</v>
      </c>
      <c r="CJ4" s="1">
        <v>4</v>
      </c>
      <c r="CK4" s="1">
        <v>3</v>
      </c>
      <c r="CL4" s="1">
        <v>2</v>
      </c>
      <c r="CM4" s="1">
        <v>4</v>
      </c>
      <c r="CN4" s="1">
        <v>4</v>
      </c>
      <c r="CO4" s="1">
        <v>4</v>
      </c>
      <c r="CP4" s="1">
        <v>4</v>
      </c>
      <c r="CU4" s="1">
        <v>1</v>
      </c>
    </row>
    <row r="5" spans="1:99" x14ac:dyDescent="0.35">
      <c r="A5" s="1" t="s">
        <v>533</v>
      </c>
      <c r="B5" s="1">
        <v>175254003</v>
      </c>
      <c r="C5" s="1">
        <v>0</v>
      </c>
      <c r="D5" s="1">
        <v>1</v>
      </c>
      <c r="E5" s="1">
        <v>1</v>
      </c>
      <c r="F5" s="1">
        <v>0</v>
      </c>
      <c r="G5" s="1">
        <v>0</v>
      </c>
      <c r="H5" s="1">
        <v>0</v>
      </c>
      <c r="I5" s="1">
        <v>0</v>
      </c>
      <c r="J5" s="1">
        <v>0</v>
      </c>
      <c r="K5" s="1">
        <v>0</v>
      </c>
      <c r="L5" s="1">
        <v>0</v>
      </c>
      <c r="M5" s="1">
        <v>0</v>
      </c>
      <c r="N5" s="1">
        <v>0</v>
      </c>
      <c r="O5" s="1">
        <v>0</v>
      </c>
      <c r="P5" s="1">
        <v>20</v>
      </c>
      <c r="Q5" s="1">
        <v>5</v>
      </c>
      <c r="R5" s="1">
        <v>7</v>
      </c>
      <c r="S5" s="1">
        <v>1</v>
      </c>
      <c r="T5" s="1">
        <v>1</v>
      </c>
      <c r="U5" s="1">
        <v>4</v>
      </c>
      <c r="V5" s="1">
        <v>4</v>
      </c>
      <c r="W5" s="1">
        <v>3</v>
      </c>
      <c r="X5" s="1">
        <v>4</v>
      </c>
      <c r="Y5" s="1">
        <v>4</v>
      </c>
      <c r="Z5" s="1">
        <v>4</v>
      </c>
      <c r="AA5" s="1">
        <v>4</v>
      </c>
      <c r="AC5" s="1">
        <v>2</v>
      </c>
      <c r="AE5" s="1">
        <v>1</v>
      </c>
      <c r="AF5" s="3">
        <v>4500000</v>
      </c>
      <c r="AG5" s="1">
        <v>13</v>
      </c>
      <c r="AT5" s="1" t="s">
        <v>209</v>
      </c>
      <c r="BP5" s="1">
        <v>3</v>
      </c>
      <c r="BQ5" s="1" t="s">
        <v>534</v>
      </c>
      <c r="BR5" s="1" t="s">
        <v>535</v>
      </c>
      <c r="BS5" s="1" t="s">
        <v>536</v>
      </c>
      <c r="BT5" s="1" t="s">
        <v>79</v>
      </c>
      <c r="BU5" s="1">
        <v>3</v>
      </c>
      <c r="BV5" s="1">
        <v>2</v>
      </c>
      <c r="BW5" s="1">
        <v>0</v>
      </c>
      <c r="BX5" s="1">
        <v>0</v>
      </c>
      <c r="BY5" s="1">
        <v>0</v>
      </c>
      <c r="BZ5" s="1">
        <v>0</v>
      </c>
      <c r="CA5" s="1">
        <v>0</v>
      </c>
      <c r="CB5" s="1">
        <v>0</v>
      </c>
      <c r="CC5" s="1">
        <v>0</v>
      </c>
      <c r="CD5" s="1">
        <v>0</v>
      </c>
      <c r="CE5" s="1">
        <v>0</v>
      </c>
      <c r="CF5" s="1">
        <v>0</v>
      </c>
      <c r="CG5" s="1">
        <v>1</v>
      </c>
      <c r="CH5" s="1">
        <v>0</v>
      </c>
      <c r="CI5" s="1">
        <v>0</v>
      </c>
      <c r="CJ5" s="1">
        <v>4</v>
      </c>
      <c r="CK5" s="1">
        <v>4</v>
      </c>
      <c r="CL5" s="1">
        <v>4</v>
      </c>
      <c r="CM5" s="1">
        <v>4</v>
      </c>
      <c r="CN5" s="1">
        <v>4</v>
      </c>
      <c r="CO5" s="1">
        <v>4</v>
      </c>
      <c r="CP5" s="1">
        <v>4</v>
      </c>
      <c r="CU5" s="1">
        <v>4</v>
      </c>
    </row>
    <row r="6" spans="1:99" x14ac:dyDescent="0.35">
      <c r="A6" s="1" t="s">
        <v>537</v>
      </c>
      <c r="B6" s="1">
        <v>175254004</v>
      </c>
      <c r="C6" s="1">
        <v>0</v>
      </c>
      <c r="D6" s="1">
        <v>1</v>
      </c>
      <c r="E6" s="1">
        <v>0</v>
      </c>
      <c r="F6" s="1">
        <v>0</v>
      </c>
      <c r="G6" s="1">
        <v>0</v>
      </c>
      <c r="H6" s="1">
        <v>0</v>
      </c>
      <c r="I6" s="1">
        <v>0</v>
      </c>
      <c r="J6" s="1">
        <v>0</v>
      </c>
      <c r="K6" s="1">
        <v>0</v>
      </c>
      <c r="L6" s="1">
        <v>0</v>
      </c>
      <c r="M6" s="1">
        <v>1</v>
      </c>
      <c r="N6" s="1">
        <v>0</v>
      </c>
      <c r="O6" s="1">
        <v>0</v>
      </c>
      <c r="P6" s="1">
        <v>50</v>
      </c>
      <c r="Q6" s="1">
        <v>15</v>
      </c>
      <c r="R6" s="1">
        <v>6</v>
      </c>
      <c r="S6" s="1">
        <v>1</v>
      </c>
      <c r="T6" s="1">
        <v>1</v>
      </c>
      <c r="U6" s="1">
        <v>4</v>
      </c>
      <c r="V6" s="1">
        <v>4</v>
      </c>
      <c r="W6" s="1">
        <v>4</v>
      </c>
      <c r="X6" s="1">
        <v>4</v>
      </c>
      <c r="Y6" s="1">
        <v>4</v>
      </c>
      <c r="Z6" s="1">
        <v>4</v>
      </c>
      <c r="AA6" s="1">
        <v>4</v>
      </c>
      <c r="AC6" s="1">
        <v>2</v>
      </c>
      <c r="AE6" s="1">
        <v>1</v>
      </c>
      <c r="AF6" s="3">
        <v>5000000</v>
      </c>
      <c r="AG6" s="1">
        <v>11</v>
      </c>
      <c r="AR6" s="1" t="s">
        <v>118</v>
      </c>
      <c r="BP6" s="1">
        <v>3</v>
      </c>
      <c r="BQ6" s="1" t="s">
        <v>538</v>
      </c>
      <c r="BR6" s="1" t="s">
        <v>539</v>
      </c>
      <c r="BS6" s="1" t="s">
        <v>540</v>
      </c>
      <c r="BT6" s="1" t="s">
        <v>79</v>
      </c>
      <c r="BU6" s="1">
        <v>2</v>
      </c>
      <c r="BV6" s="1">
        <v>2</v>
      </c>
      <c r="BW6" s="1">
        <v>0</v>
      </c>
      <c r="BX6" s="1">
        <v>0</v>
      </c>
      <c r="BY6" s="1">
        <v>1</v>
      </c>
      <c r="BZ6" s="1">
        <v>0</v>
      </c>
      <c r="CA6" s="1">
        <v>0</v>
      </c>
      <c r="CB6" s="1">
        <v>1</v>
      </c>
      <c r="CC6" s="1">
        <v>0</v>
      </c>
      <c r="CD6" s="1">
        <v>1</v>
      </c>
      <c r="CE6" s="1">
        <v>0</v>
      </c>
      <c r="CF6" s="1">
        <v>0</v>
      </c>
      <c r="CG6" s="1">
        <v>0</v>
      </c>
      <c r="CH6" s="1">
        <v>0</v>
      </c>
      <c r="CI6" s="1">
        <v>0</v>
      </c>
      <c r="CJ6" s="1">
        <v>4</v>
      </c>
      <c r="CK6" s="1">
        <v>4</v>
      </c>
      <c r="CL6" s="1">
        <v>4</v>
      </c>
      <c r="CM6" s="1">
        <v>4</v>
      </c>
      <c r="CN6" s="1">
        <v>4</v>
      </c>
      <c r="CO6" s="1">
        <v>4</v>
      </c>
      <c r="CP6" s="1">
        <v>4</v>
      </c>
      <c r="CU6" s="1">
        <v>4</v>
      </c>
    </row>
    <row r="7" spans="1:99" x14ac:dyDescent="0.35">
      <c r="A7" s="1" t="s">
        <v>541</v>
      </c>
      <c r="B7" s="1">
        <v>175254005</v>
      </c>
      <c r="C7" s="1">
        <v>0</v>
      </c>
      <c r="D7" s="1">
        <v>1</v>
      </c>
      <c r="E7" s="1">
        <v>0</v>
      </c>
      <c r="F7" s="1">
        <v>0</v>
      </c>
      <c r="G7" s="1">
        <v>0</v>
      </c>
      <c r="H7" s="1">
        <v>0</v>
      </c>
      <c r="I7" s="1">
        <v>0</v>
      </c>
      <c r="J7" s="1">
        <v>1</v>
      </c>
      <c r="K7" s="1">
        <v>1</v>
      </c>
      <c r="L7" s="1">
        <v>0</v>
      </c>
      <c r="M7" s="1">
        <v>0</v>
      </c>
      <c r="N7" s="1">
        <v>0</v>
      </c>
      <c r="O7" s="1">
        <v>0</v>
      </c>
      <c r="P7" s="1">
        <v>10</v>
      </c>
      <c r="Q7" s="1">
        <v>3</v>
      </c>
      <c r="R7" s="1">
        <v>1</v>
      </c>
      <c r="S7" s="1">
        <v>1</v>
      </c>
      <c r="T7" s="1">
        <v>1</v>
      </c>
      <c r="U7" s="1">
        <v>4</v>
      </c>
      <c r="V7" s="1">
        <v>3</v>
      </c>
      <c r="W7" s="1">
        <v>3</v>
      </c>
      <c r="X7" s="1">
        <v>4</v>
      </c>
      <c r="Y7" s="1">
        <v>3</v>
      </c>
      <c r="Z7" s="1">
        <v>4</v>
      </c>
      <c r="AA7" s="1">
        <v>3</v>
      </c>
      <c r="AC7" s="1">
        <v>1</v>
      </c>
      <c r="AD7" s="1">
        <v>3</v>
      </c>
      <c r="AE7" s="1">
        <v>3</v>
      </c>
      <c r="AF7" s="3">
        <v>3750000</v>
      </c>
      <c r="AG7" s="1">
        <v>13</v>
      </c>
      <c r="AT7" s="1" t="s">
        <v>93</v>
      </c>
      <c r="BP7" s="1">
        <v>3</v>
      </c>
      <c r="BQ7" s="1" t="s">
        <v>542</v>
      </c>
      <c r="BR7" s="1" t="s">
        <v>543</v>
      </c>
      <c r="BT7" s="1" t="s">
        <v>79</v>
      </c>
      <c r="BU7" s="1">
        <v>2</v>
      </c>
      <c r="BV7" s="1">
        <v>3</v>
      </c>
      <c r="BW7" s="1">
        <v>1</v>
      </c>
      <c r="BX7" s="1">
        <v>0</v>
      </c>
      <c r="BY7" s="1">
        <v>0</v>
      </c>
      <c r="BZ7" s="1">
        <v>0</v>
      </c>
      <c r="CA7" s="1">
        <v>0</v>
      </c>
      <c r="CB7" s="1">
        <v>0</v>
      </c>
      <c r="CC7" s="1">
        <v>0</v>
      </c>
      <c r="CD7" s="1">
        <v>0</v>
      </c>
      <c r="CE7" s="1">
        <v>0</v>
      </c>
      <c r="CF7" s="1">
        <v>0</v>
      </c>
      <c r="CG7" s="1">
        <v>0</v>
      </c>
      <c r="CH7" s="1">
        <v>0</v>
      </c>
      <c r="CI7" s="1">
        <v>0</v>
      </c>
      <c r="CJ7" s="1">
        <v>4</v>
      </c>
      <c r="CK7" s="1">
        <v>3</v>
      </c>
      <c r="CL7" s="1">
        <v>3</v>
      </c>
      <c r="CM7" s="1">
        <v>4</v>
      </c>
      <c r="CN7" s="1">
        <v>4</v>
      </c>
      <c r="CO7" s="1">
        <v>4</v>
      </c>
      <c r="CP7" s="1">
        <v>4</v>
      </c>
      <c r="CU7" s="1">
        <v>1</v>
      </c>
    </row>
    <row r="8" spans="1:99" x14ac:dyDescent="0.35">
      <c r="A8" s="1" t="s">
        <v>544</v>
      </c>
      <c r="B8" s="1">
        <v>175254006</v>
      </c>
      <c r="C8" s="1">
        <v>1</v>
      </c>
      <c r="D8" s="1">
        <v>1</v>
      </c>
      <c r="E8" s="1">
        <v>0</v>
      </c>
      <c r="F8" s="1">
        <v>0</v>
      </c>
      <c r="G8" s="1">
        <v>0</v>
      </c>
      <c r="H8" s="1">
        <v>0</v>
      </c>
      <c r="I8" s="1">
        <v>0</v>
      </c>
      <c r="J8" s="1">
        <v>0</v>
      </c>
      <c r="K8" s="1">
        <v>1</v>
      </c>
      <c r="L8" s="1">
        <v>0</v>
      </c>
      <c r="M8" s="1">
        <v>0</v>
      </c>
      <c r="N8" s="1">
        <v>0</v>
      </c>
      <c r="O8" s="1">
        <v>0</v>
      </c>
      <c r="P8" s="1" t="s">
        <v>545</v>
      </c>
      <c r="Q8" s="1" t="s">
        <v>186</v>
      </c>
      <c r="R8" s="1" t="s">
        <v>117</v>
      </c>
      <c r="S8" s="1">
        <v>1</v>
      </c>
      <c r="T8" s="1">
        <v>1</v>
      </c>
      <c r="U8" s="1">
        <v>4</v>
      </c>
      <c r="V8" s="1">
        <v>4</v>
      </c>
      <c r="W8" s="1">
        <v>3</v>
      </c>
      <c r="X8" s="1">
        <v>3</v>
      </c>
      <c r="Y8" s="1">
        <v>4</v>
      </c>
      <c r="Z8" s="1">
        <v>4</v>
      </c>
      <c r="AA8" s="1">
        <v>4</v>
      </c>
      <c r="AC8" s="1">
        <v>2</v>
      </c>
      <c r="AE8" s="1">
        <v>5</v>
      </c>
      <c r="AF8" s="3">
        <v>4500000</v>
      </c>
      <c r="AG8" s="1">
        <v>13</v>
      </c>
      <c r="AT8" s="1" t="s">
        <v>86</v>
      </c>
      <c r="BP8" s="1">
        <v>3</v>
      </c>
      <c r="BQ8" s="1" t="s">
        <v>546</v>
      </c>
      <c r="BR8" s="1" t="s">
        <v>547</v>
      </c>
      <c r="BS8" s="1" t="s">
        <v>548</v>
      </c>
      <c r="BT8" s="1" t="s">
        <v>79</v>
      </c>
      <c r="BU8" s="1">
        <v>3</v>
      </c>
      <c r="BV8" s="1">
        <v>3</v>
      </c>
      <c r="BW8" s="1">
        <v>0</v>
      </c>
      <c r="BX8" s="1">
        <v>1</v>
      </c>
      <c r="BY8" s="1">
        <v>0</v>
      </c>
      <c r="BZ8" s="1">
        <v>0</v>
      </c>
      <c r="CA8" s="1">
        <v>0</v>
      </c>
      <c r="CB8" s="1">
        <v>0</v>
      </c>
      <c r="CC8" s="1">
        <v>0</v>
      </c>
      <c r="CD8" s="1">
        <v>0</v>
      </c>
      <c r="CE8" s="1">
        <v>0</v>
      </c>
      <c r="CF8" s="1">
        <v>0</v>
      </c>
      <c r="CG8" s="1">
        <v>0</v>
      </c>
      <c r="CH8" s="1">
        <v>0</v>
      </c>
      <c r="CI8" s="1">
        <v>0</v>
      </c>
      <c r="CJ8" s="1">
        <v>4</v>
      </c>
      <c r="CK8" s="1">
        <v>3</v>
      </c>
      <c r="CL8" s="1">
        <v>3</v>
      </c>
      <c r="CM8" s="1">
        <v>4</v>
      </c>
      <c r="CN8" s="1">
        <v>4</v>
      </c>
      <c r="CO8" s="1">
        <v>4</v>
      </c>
      <c r="CP8" s="1">
        <v>4</v>
      </c>
      <c r="CU8" s="1">
        <v>1</v>
      </c>
    </row>
    <row r="9" spans="1:99" x14ac:dyDescent="0.35">
      <c r="A9" s="1" t="s">
        <v>549</v>
      </c>
      <c r="B9" s="1">
        <v>175254007</v>
      </c>
      <c r="C9" s="1">
        <v>0</v>
      </c>
      <c r="D9" s="1">
        <v>0</v>
      </c>
      <c r="E9" s="1">
        <v>1</v>
      </c>
      <c r="F9" s="1">
        <v>0</v>
      </c>
      <c r="G9" s="1">
        <v>0</v>
      </c>
      <c r="H9" s="1">
        <v>0</v>
      </c>
      <c r="I9" s="1">
        <v>0</v>
      </c>
      <c r="J9" s="1">
        <v>0</v>
      </c>
      <c r="K9" s="1">
        <v>0</v>
      </c>
      <c r="L9" s="1">
        <v>0</v>
      </c>
      <c r="M9" s="1">
        <v>1</v>
      </c>
      <c r="N9" s="1">
        <v>0</v>
      </c>
      <c r="O9" s="1">
        <v>0</v>
      </c>
      <c r="P9" s="1">
        <v>1</v>
      </c>
      <c r="Q9" s="1">
        <v>1</v>
      </c>
      <c r="R9" s="1">
        <v>1</v>
      </c>
      <c r="S9" s="1">
        <v>1</v>
      </c>
      <c r="T9" s="1">
        <v>5</v>
      </c>
      <c r="U9" s="1">
        <v>3</v>
      </c>
      <c r="V9" s="1">
        <v>3</v>
      </c>
      <c r="W9" s="1">
        <v>3</v>
      </c>
      <c r="X9" s="1">
        <v>3</v>
      </c>
      <c r="Y9" s="1">
        <v>4</v>
      </c>
      <c r="Z9" s="1">
        <v>4</v>
      </c>
      <c r="AA9" s="1">
        <v>3</v>
      </c>
      <c r="AC9" s="1">
        <v>1</v>
      </c>
      <c r="AD9" s="1">
        <v>3</v>
      </c>
      <c r="AF9" s="3">
        <v>3500000</v>
      </c>
      <c r="AG9" s="1">
        <v>13</v>
      </c>
      <c r="AT9" s="1" t="s">
        <v>209</v>
      </c>
      <c r="BQ9" s="1" t="s">
        <v>550</v>
      </c>
      <c r="BR9" s="1" t="s">
        <v>551</v>
      </c>
      <c r="BS9" s="1" t="s">
        <v>552</v>
      </c>
      <c r="BT9" s="1" t="s">
        <v>79</v>
      </c>
      <c r="BU9" s="1">
        <v>1</v>
      </c>
      <c r="BV9" s="1">
        <v>2</v>
      </c>
      <c r="BW9" s="1">
        <v>1</v>
      </c>
      <c r="BX9" s="1">
        <v>0</v>
      </c>
      <c r="BY9" s="1">
        <v>0</v>
      </c>
      <c r="BZ9" s="1">
        <v>0</v>
      </c>
      <c r="CA9" s="1">
        <v>0</v>
      </c>
      <c r="CB9" s="1">
        <v>0</v>
      </c>
      <c r="CC9" s="1">
        <v>0</v>
      </c>
      <c r="CD9" s="1">
        <v>0</v>
      </c>
      <c r="CE9" s="1">
        <v>0</v>
      </c>
      <c r="CF9" s="1">
        <v>0</v>
      </c>
      <c r="CG9" s="1">
        <v>0</v>
      </c>
      <c r="CH9" s="1">
        <v>0</v>
      </c>
      <c r="CI9" s="1">
        <v>0</v>
      </c>
      <c r="CJ9" s="1">
        <v>4</v>
      </c>
      <c r="CK9" s="1">
        <v>3</v>
      </c>
      <c r="CL9" s="1">
        <v>3</v>
      </c>
      <c r="CM9" s="1">
        <v>4</v>
      </c>
      <c r="CN9" s="1">
        <v>4</v>
      </c>
      <c r="CO9" s="1">
        <v>4</v>
      </c>
      <c r="CP9" s="1">
        <v>4</v>
      </c>
      <c r="CU9" s="1">
        <v>1</v>
      </c>
    </row>
    <row r="10" spans="1:99" x14ac:dyDescent="0.35">
      <c r="A10" s="1" t="s">
        <v>553</v>
      </c>
      <c r="B10" s="1">
        <v>175254008</v>
      </c>
    </row>
    <row r="11" spans="1:99" x14ac:dyDescent="0.35">
      <c r="A11" s="1" t="s">
        <v>554</v>
      </c>
      <c r="B11" s="1">
        <v>175254010</v>
      </c>
      <c r="C11" s="1">
        <v>0</v>
      </c>
      <c r="D11" s="1">
        <v>1</v>
      </c>
      <c r="E11" s="1">
        <v>0</v>
      </c>
      <c r="F11" s="1">
        <v>0</v>
      </c>
      <c r="G11" s="1">
        <v>0</v>
      </c>
      <c r="H11" s="1">
        <v>0</v>
      </c>
      <c r="I11" s="1">
        <v>0</v>
      </c>
      <c r="J11" s="1">
        <v>0</v>
      </c>
      <c r="K11" s="1">
        <v>0</v>
      </c>
      <c r="L11" s="1">
        <v>0</v>
      </c>
      <c r="M11" s="1">
        <v>0</v>
      </c>
      <c r="N11" s="1">
        <v>0</v>
      </c>
      <c r="O11" s="1">
        <v>0</v>
      </c>
      <c r="P11" s="1" t="s">
        <v>289</v>
      </c>
      <c r="Q11" s="1" t="s">
        <v>555</v>
      </c>
      <c r="R11" s="1" t="s">
        <v>117</v>
      </c>
      <c r="S11" s="1">
        <v>1</v>
      </c>
      <c r="T11" s="1">
        <v>1</v>
      </c>
      <c r="U11" s="1">
        <v>4</v>
      </c>
      <c r="V11" s="1">
        <v>4</v>
      </c>
      <c r="W11" s="1">
        <v>3</v>
      </c>
      <c r="X11" s="1">
        <v>3</v>
      </c>
      <c r="Y11" s="1">
        <v>4</v>
      </c>
      <c r="Z11" s="1">
        <v>4</v>
      </c>
      <c r="AA11" s="1">
        <v>4</v>
      </c>
      <c r="AC11" s="1">
        <v>1</v>
      </c>
      <c r="AD11" s="1">
        <v>2</v>
      </c>
      <c r="AE11" s="1">
        <v>2</v>
      </c>
      <c r="AF11" s="3">
        <v>3850000</v>
      </c>
      <c r="AG11" s="1">
        <v>13</v>
      </c>
      <c r="AT11" s="1" t="s">
        <v>86</v>
      </c>
      <c r="BP11" s="1">
        <v>3</v>
      </c>
      <c r="BQ11" s="1" t="s">
        <v>556</v>
      </c>
      <c r="BR11" s="1" t="s">
        <v>557</v>
      </c>
      <c r="BS11" s="1" t="s">
        <v>558</v>
      </c>
      <c r="BT11" s="1" t="s">
        <v>73</v>
      </c>
      <c r="BU11" s="1">
        <v>2</v>
      </c>
      <c r="BV11" s="1">
        <v>2</v>
      </c>
      <c r="BW11" s="1">
        <v>1</v>
      </c>
      <c r="BX11" s="1">
        <v>0</v>
      </c>
      <c r="BY11" s="1">
        <v>0</v>
      </c>
      <c r="BZ11" s="1">
        <v>0</v>
      </c>
      <c r="CA11" s="1">
        <v>0</v>
      </c>
      <c r="CB11" s="1">
        <v>0</v>
      </c>
      <c r="CC11" s="1">
        <v>0</v>
      </c>
      <c r="CD11" s="1">
        <v>0</v>
      </c>
      <c r="CE11" s="1">
        <v>0</v>
      </c>
      <c r="CF11" s="1">
        <v>0</v>
      </c>
      <c r="CG11" s="1">
        <v>0</v>
      </c>
      <c r="CH11" s="1">
        <v>0</v>
      </c>
      <c r="CI11" s="1">
        <v>0</v>
      </c>
      <c r="CJ11" s="1">
        <v>4</v>
      </c>
      <c r="CK11" s="1">
        <v>2</v>
      </c>
      <c r="CL11" s="1">
        <v>3</v>
      </c>
      <c r="CM11" s="1">
        <v>4</v>
      </c>
      <c r="CN11" s="1">
        <v>4</v>
      </c>
      <c r="CO11" s="1">
        <v>3</v>
      </c>
      <c r="CP11" s="1">
        <v>4</v>
      </c>
      <c r="CU11" s="1">
        <v>4</v>
      </c>
    </row>
    <row r="12" spans="1:99" x14ac:dyDescent="0.35">
      <c r="A12" s="1" t="s">
        <v>559</v>
      </c>
      <c r="B12" s="1">
        <v>175254012</v>
      </c>
      <c r="C12" s="1">
        <v>0</v>
      </c>
      <c r="D12" s="1">
        <v>1</v>
      </c>
      <c r="E12" s="1">
        <v>0</v>
      </c>
      <c r="F12" s="1">
        <v>0</v>
      </c>
      <c r="G12" s="1">
        <v>0</v>
      </c>
      <c r="H12" s="1">
        <v>0</v>
      </c>
      <c r="I12" s="1">
        <v>0</v>
      </c>
      <c r="J12" s="1">
        <v>0</v>
      </c>
      <c r="K12" s="1">
        <v>0</v>
      </c>
      <c r="L12" s="1">
        <v>0</v>
      </c>
      <c r="M12" s="1">
        <v>0</v>
      </c>
      <c r="N12" s="1">
        <v>0</v>
      </c>
      <c r="O12" s="1">
        <v>0</v>
      </c>
      <c r="P12" s="1">
        <v>50</v>
      </c>
      <c r="Q12" s="1">
        <v>20</v>
      </c>
      <c r="R12" s="1">
        <v>6</v>
      </c>
      <c r="S12" s="1">
        <v>1</v>
      </c>
      <c r="T12" s="1">
        <v>1</v>
      </c>
      <c r="U12" s="1">
        <v>3</v>
      </c>
      <c r="V12" s="1">
        <v>3</v>
      </c>
      <c r="W12" s="1">
        <v>2</v>
      </c>
      <c r="X12" s="1">
        <v>3</v>
      </c>
      <c r="Y12" s="1">
        <v>3</v>
      </c>
      <c r="Z12" s="1">
        <v>3</v>
      </c>
      <c r="AA12" s="1">
        <v>3</v>
      </c>
      <c r="AC12" s="1">
        <v>1</v>
      </c>
      <c r="AD12" s="1">
        <v>5</v>
      </c>
      <c r="AF12" s="3">
        <v>3000000</v>
      </c>
      <c r="AG12" s="1">
        <v>13</v>
      </c>
      <c r="AT12" s="1" t="s">
        <v>86</v>
      </c>
      <c r="BP12" s="1" t="s">
        <v>560</v>
      </c>
      <c r="BQ12" s="1" t="s">
        <v>561</v>
      </c>
      <c r="BR12" s="1" t="s">
        <v>562</v>
      </c>
      <c r="BS12" s="1" t="s">
        <v>563</v>
      </c>
      <c r="BT12" s="1" t="s">
        <v>107</v>
      </c>
      <c r="BU12" s="1">
        <v>4</v>
      </c>
      <c r="BV12" s="1">
        <v>2</v>
      </c>
      <c r="BW12" s="1">
        <v>0</v>
      </c>
      <c r="BX12" s="1">
        <v>0</v>
      </c>
      <c r="BY12" s="1">
        <v>0</v>
      </c>
      <c r="BZ12" s="1">
        <v>0</v>
      </c>
      <c r="CA12" s="1">
        <v>0</v>
      </c>
      <c r="CB12" s="1">
        <v>0</v>
      </c>
      <c r="CC12" s="1">
        <v>0</v>
      </c>
      <c r="CD12" s="1">
        <v>0</v>
      </c>
      <c r="CE12" s="1">
        <v>0</v>
      </c>
      <c r="CF12" s="1">
        <v>1</v>
      </c>
      <c r="CG12" s="1">
        <v>1</v>
      </c>
      <c r="CH12" s="1">
        <v>1</v>
      </c>
      <c r="CI12" s="1">
        <v>0</v>
      </c>
      <c r="CJ12" s="1">
        <v>3</v>
      </c>
      <c r="CK12" s="1">
        <v>3</v>
      </c>
      <c r="CL12" s="1">
        <v>4</v>
      </c>
      <c r="CM12" s="1">
        <v>4</v>
      </c>
      <c r="CN12" s="1">
        <v>4</v>
      </c>
      <c r="CO12" s="1">
        <v>3</v>
      </c>
      <c r="CP12" s="1">
        <v>4</v>
      </c>
      <c r="CU12" s="1">
        <v>1</v>
      </c>
    </row>
    <row r="13" spans="1:99" x14ac:dyDescent="0.35">
      <c r="A13" s="1" t="s">
        <v>564</v>
      </c>
      <c r="B13" s="1">
        <v>175254013</v>
      </c>
      <c r="C13" s="1">
        <v>0</v>
      </c>
      <c r="D13" s="1">
        <v>1</v>
      </c>
      <c r="E13" s="1">
        <v>0</v>
      </c>
      <c r="F13" s="1">
        <v>0</v>
      </c>
      <c r="G13" s="1">
        <v>0</v>
      </c>
      <c r="H13" s="1">
        <v>1</v>
      </c>
      <c r="I13" s="1">
        <v>0</v>
      </c>
      <c r="J13" s="1">
        <v>0</v>
      </c>
      <c r="K13" s="1">
        <v>0</v>
      </c>
      <c r="L13" s="1">
        <v>0</v>
      </c>
      <c r="M13" s="1">
        <v>1</v>
      </c>
      <c r="N13" s="1">
        <v>0</v>
      </c>
      <c r="O13" s="1">
        <v>0</v>
      </c>
      <c r="P13" s="1" t="s">
        <v>565</v>
      </c>
      <c r="Q13" s="1">
        <v>12</v>
      </c>
      <c r="R13" s="1">
        <v>3</v>
      </c>
      <c r="S13" s="1">
        <v>1</v>
      </c>
      <c r="T13" s="1">
        <v>1</v>
      </c>
      <c r="U13" s="1">
        <v>4</v>
      </c>
      <c r="V13" s="1">
        <v>3</v>
      </c>
      <c r="W13" s="1">
        <v>3</v>
      </c>
      <c r="X13" s="1">
        <v>3</v>
      </c>
      <c r="Y13" s="1">
        <v>3</v>
      </c>
      <c r="Z13" s="1">
        <v>4</v>
      </c>
      <c r="AA13" s="1">
        <v>4</v>
      </c>
      <c r="AC13" s="1">
        <v>2</v>
      </c>
      <c r="AE13" s="1">
        <v>3</v>
      </c>
      <c r="AF13" s="3">
        <v>4500000</v>
      </c>
      <c r="AG13" s="1">
        <v>13</v>
      </c>
      <c r="AT13" s="1" t="s">
        <v>86</v>
      </c>
      <c r="BP13" s="1">
        <v>3</v>
      </c>
      <c r="BQ13" s="1" t="s">
        <v>566</v>
      </c>
      <c r="BR13" s="1" t="s">
        <v>567</v>
      </c>
      <c r="BS13" s="1" t="s">
        <v>568</v>
      </c>
      <c r="BT13" s="1" t="s">
        <v>79</v>
      </c>
      <c r="BU13" s="1">
        <v>2</v>
      </c>
      <c r="BV13" s="1">
        <v>2</v>
      </c>
      <c r="BW13" s="1">
        <v>0</v>
      </c>
      <c r="BX13" s="1">
        <v>0</v>
      </c>
      <c r="BY13" s="1">
        <v>0</v>
      </c>
      <c r="BZ13" s="1">
        <v>0</v>
      </c>
      <c r="CA13" s="1">
        <v>0</v>
      </c>
      <c r="CB13" s="1">
        <v>0</v>
      </c>
      <c r="CC13" s="1">
        <v>0</v>
      </c>
      <c r="CD13" s="1">
        <v>0</v>
      </c>
      <c r="CE13" s="1">
        <v>0</v>
      </c>
      <c r="CF13" s="1">
        <v>0</v>
      </c>
      <c r="CG13" s="1">
        <v>0</v>
      </c>
      <c r="CH13" s="1">
        <v>1</v>
      </c>
      <c r="CI13" s="1">
        <v>0</v>
      </c>
      <c r="CJ13" s="1">
        <v>4</v>
      </c>
      <c r="CK13" s="1">
        <v>4</v>
      </c>
      <c r="CL13" s="1">
        <v>4</v>
      </c>
      <c r="CM13" s="1">
        <v>4</v>
      </c>
      <c r="CN13" s="1">
        <v>4</v>
      </c>
      <c r="CO13" s="1">
        <v>4</v>
      </c>
      <c r="CP13" s="1">
        <v>4</v>
      </c>
      <c r="CU13" s="1">
        <v>1</v>
      </c>
    </row>
    <row r="14" spans="1:99" x14ac:dyDescent="0.35">
      <c r="A14" s="1" t="s">
        <v>569</v>
      </c>
      <c r="B14" s="1">
        <v>175254014</v>
      </c>
      <c r="C14" s="1">
        <v>1</v>
      </c>
      <c r="D14" s="1">
        <v>1</v>
      </c>
      <c r="E14" s="1">
        <v>0</v>
      </c>
      <c r="F14" s="1">
        <v>0</v>
      </c>
      <c r="G14" s="1">
        <v>0</v>
      </c>
      <c r="H14" s="1">
        <v>0</v>
      </c>
      <c r="I14" s="1">
        <v>0</v>
      </c>
      <c r="J14" s="1">
        <v>0</v>
      </c>
      <c r="K14" s="1">
        <v>0</v>
      </c>
      <c r="L14" s="1">
        <v>0</v>
      </c>
      <c r="M14" s="1">
        <v>0</v>
      </c>
      <c r="N14" s="1">
        <v>0</v>
      </c>
      <c r="O14" s="1">
        <v>0</v>
      </c>
      <c r="P14" s="1" t="s">
        <v>570</v>
      </c>
      <c r="Q14" s="1">
        <v>3</v>
      </c>
      <c r="R14" s="1">
        <v>3</v>
      </c>
      <c r="S14" s="1">
        <v>1</v>
      </c>
      <c r="T14" s="1">
        <v>1</v>
      </c>
      <c r="U14" s="1">
        <v>4</v>
      </c>
      <c r="V14" s="1">
        <v>4</v>
      </c>
      <c r="W14" s="1">
        <v>3</v>
      </c>
      <c r="X14" s="1">
        <v>4</v>
      </c>
      <c r="Y14" s="1">
        <v>4</v>
      </c>
      <c r="Z14" s="1">
        <v>4</v>
      </c>
      <c r="AA14" s="1">
        <v>3</v>
      </c>
      <c r="AC14" s="1">
        <v>1</v>
      </c>
      <c r="AD14" s="1">
        <v>2</v>
      </c>
      <c r="AF14" s="3">
        <v>3600000</v>
      </c>
      <c r="AG14" s="1">
        <v>13</v>
      </c>
      <c r="AT14" s="1" t="s">
        <v>209</v>
      </c>
      <c r="BP14" s="1">
        <v>3</v>
      </c>
      <c r="BQ14" s="1" t="s">
        <v>571</v>
      </c>
      <c r="BR14" s="1" t="s">
        <v>572</v>
      </c>
      <c r="BS14" s="1" t="s">
        <v>573</v>
      </c>
      <c r="BT14" s="1" t="s">
        <v>79</v>
      </c>
      <c r="BU14" s="1">
        <v>2</v>
      </c>
      <c r="BV14" s="1">
        <v>2</v>
      </c>
      <c r="BW14" s="1">
        <v>0</v>
      </c>
      <c r="BX14" s="1">
        <v>0</v>
      </c>
      <c r="BY14" s="1">
        <v>1</v>
      </c>
      <c r="BZ14" s="1">
        <v>0</v>
      </c>
      <c r="CA14" s="1">
        <v>0</v>
      </c>
      <c r="CB14" s="1">
        <v>0</v>
      </c>
      <c r="CC14" s="1">
        <v>0</v>
      </c>
      <c r="CD14" s="1">
        <v>0</v>
      </c>
      <c r="CE14" s="1">
        <v>0</v>
      </c>
      <c r="CF14" s="1">
        <v>0</v>
      </c>
      <c r="CG14" s="1">
        <v>0</v>
      </c>
      <c r="CH14" s="1">
        <v>1</v>
      </c>
      <c r="CI14" s="1">
        <v>0</v>
      </c>
      <c r="CJ14" s="1">
        <v>4</v>
      </c>
      <c r="CK14" s="1">
        <v>3</v>
      </c>
      <c r="CL14" s="1">
        <v>4</v>
      </c>
      <c r="CM14" s="1">
        <v>4</v>
      </c>
      <c r="CN14" s="1">
        <v>4</v>
      </c>
      <c r="CO14" s="1">
        <v>4</v>
      </c>
      <c r="CP14" s="1">
        <v>3</v>
      </c>
      <c r="CU14" s="1">
        <v>1</v>
      </c>
    </row>
    <row r="15" spans="1:99" x14ac:dyDescent="0.35">
      <c r="A15" s="1" t="s">
        <v>574</v>
      </c>
      <c r="B15" s="1">
        <v>175254015</v>
      </c>
      <c r="C15" s="1">
        <v>0</v>
      </c>
      <c r="D15" s="1">
        <v>1</v>
      </c>
      <c r="E15" s="1">
        <v>0</v>
      </c>
      <c r="F15" s="1">
        <v>0</v>
      </c>
      <c r="G15" s="1">
        <v>0</v>
      </c>
      <c r="H15" s="1">
        <v>0</v>
      </c>
      <c r="I15" s="1">
        <v>0</v>
      </c>
      <c r="J15" s="1">
        <v>0</v>
      </c>
      <c r="K15" s="1">
        <v>1</v>
      </c>
      <c r="L15" s="1">
        <v>0</v>
      </c>
      <c r="M15" s="1">
        <v>1</v>
      </c>
      <c r="N15" s="1">
        <v>0</v>
      </c>
      <c r="O15" s="1">
        <v>0</v>
      </c>
      <c r="P15" s="1">
        <v>15</v>
      </c>
      <c r="Q15" s="1">
        <v>5</v>
      </c>
      <c r="R15" s="1">
        <v>5</v>
      </c>
      <c r="S15" s="1">
        <v>5</v>
      </c>
      <c r="T15" s="1">
        <v>1</v>
      </c>
      <c r="U15" s="1">
        <v>3</v>
      </c>
      <c r="V15" s="1">
        <v>4</v>
      </c>
      <c r="W15" s="1">
        <v>3</v>
      </c>
      <c r="X15" s="1">
        <v>4</v>
      </c>
      <c r="Y15" s="1">
        <v>4</v>
      </c>
      <c r="Z15" s="1">
        <v>4</v>
      </c>
      <c r="AA15" s="1">
        <v>3</v>
      </c>
      <c r="CU15" s="1" t="s">
        <v>575</v>
      </c>
    </row>
    <row r="16" spans="1:99" x14ac:dyDescent="0.35">
      <c r="A16" s="1" t="s">
        <v>576</v>
      </c>
      <c r="B16" s="1">
        <v>175254016</v>
      </c>
      <c r="C16" s="1">
        <v>0</v>
      </c>
      <c r="D16" s="1">
        <v>1</v>
      </c>
      <c r="E16" s="1">
        <v>0</v>
      </c>
      <c r="F16" s="1">
        <v>0</v>
      </c>
      <c r="G16" s="1">
        <v>0</v>
      </c>
      <c r="H16" s="1">
        <v>0</v>
      </c>
      <c r="I16" s="1">
        <v>0</v>
      </c>
      <c r="J16" s="1">
        <v>1</v>
      </c>
      <c r="K16" s="1">
        <v>1</v>
      </c>
      <c r="L16" s="1">
        <v>0</v>
      </c>
      <c r="M16" s="1">
        <v>1</v>
      </c>
      <c r="N16" s="1">
        <v>0</v>
      </c>
      <c r="O16" s="1">
        <v>0</v>
      </c>
      <c r="P16" s="1">
        <v>2</v>
      </c>
      <c r="Q16" s="1">
        <v>1</v>
      </c>
      <c r="R16" s="1">
        <v>1</v>
      </c>
      <c r="S16" s="1">
        <v>1</v>
      </c>
      <c r="T16" s="1">
        <v>1</v>
      </c>
      <c r="U16" s="1">
        <v>4</v>
      </c>
      <c r="V16" s="1">
        <v>3</v>
      </c>
      <c r="W16" s="1">
        <v>2</v>
      </c>
      <c r="X16" s="1">
        <v>3</v>
      </c>
      <c r="Y16" s="1">
        <v>4</v>
      </c>
      <c r="Z16" s="1">
        <v>4</v>
      </c>
      <c r="AA16" s="1">
        <v>4</v>
      </c>
      <c r="AC16" s="1">
        <v>1</v>
      </c>
      <c r="AD16" s="1">
        <v>0</v>
      </c>
      <c r="AE16" s="1">
        <v>0</v>
      </c>
      <c r="AF16" s="3">
        <v>2500000</v>
      </c>
      <c r="AG16" s="1">
        <v>13</v>
      </c>
      <c r="AT16" s="1" t="s">
        <v>427</v>
      </c>
      <c r="BP16" s="1">
        <v>3</v>
      </c>
      <c r="BQ16" s="1" t="s">
        <v>577</v>
      </c>
      <c r="BR16" s="1" t="s">
        <v>578</v>
      </c>
      <c r="BS16" s="1" t="s">
        <v>579</v>
      </c>
      <c r="BT16" s="1" t="s">
        <v>79</v>
      </c>
      <c r="BU16" s="1">
        <v>2</v>
      </c>
      <c r="BV16" s="1">
        <v>1</v>
      </c>
      <c r="BW16" s="1">
        <v>1</v>
      </c>
      <c r="BX16" s="1">
        <v>0</v>
      </c>
      <c r="BY16" s="1">
        <v>0</v>
      </c>
      <c r="BZ16" s="1">
        <v>0</v>
      </c>
      <c r="CA16" s="1">
        <v>0</v>
      </c>
      <c r="CB16" s="1">
        <v>0</v>
      </c>
      <c r="CC16" s="1">
        <v>0</v>
      </c>
      <c r="CD16" s="1">
        <v>0</v>
      </c>
      <c r="CE16" s="1">
        <v>0</v>
      </c>
      <c r="CF16" s="1">
        <v>0</v>
      </c>
      <c r="CG16" s="1">
        <v>0</v>
      </c>
      <c r="CH16" s="1">
        <v>0</v>
      </c>
      <c r="CI16" s="1">
        <v>0</v>
      </c>
      <c r="CJ16" s="1">
        <v>4</v>
      </c>
      <c r="CK16" s="1">
        <v>4</v>
      </c>
      <c r="CL16" s="1">
        <v>4</v>
      </c>
      <c r="CM16" s="1">
        <v>4</v>
      </c>
      <c r="CN16" s="1">
        <v>4</v>
      </c>
      <c r="CO16" s="1">
        <v>4</v>
      </c>
      <c r="CP16" s="1">
        <v>4</v>
      </c>
      <c r="CU16" s="1">
        <v>1</v>
      </c>
    </row>
    <row r="17" spans="1:99" x14ac:dyDescent="0.35">
      <c r="A17" s="1" t="s">
        <v>580</v>
      </c>
      <c r="B17" s="1">
        <v>175254017</v>
      </c>
      <c r="C17" s="1">
        <v>0</v>
      </c>
      <c r="D17" s="1">
        <v>1</v>
      </c>
      <c r="E17" s="1">
        <v>1</v>
      </c>
      <c r="F17" s="1">
        <v>0</v>
      </c>
      <c r="G17" s="1">
        <v>0</v>
      </c>
      <c r="H17" s="1">
        <v>0</v>
      </c>
      <c r="I17" s="1">
        <v>0</v>
      </c>
      <c r="J17" s="1">
        <v>0</v>
      </c>
      <c r="K17" s="1">
        <v>0</v>
      </c>
      <c r="L17" s="1">
        <v>1</v>
      </c>
      <c r="M17" s="1">
        <v>1</v>
      </c>
      <c r="N17" s="1">
        <v>0</v>
      </c>
      <c r="O17" s="1">
        <v>0</v>
      </c>
      <c r="P17" s="1">
        <v>15</v>
      </c>
      <c r="Q17" s="1">
        <v>8</v>
      </c>
      <c r="R17" s="1">
        <v>8</v>
      </c>
      <c r="S17" s="1">
        <v>1</v>
      </c>
      <c r="T17" s="1">
        <v>1</v>
      </c>
      <c r="U17" s="1">
        <v>4</v>
      </c>
      <c r="V17" s="1">
        <v>4</v>
      </c>
      <c r="W17" s="1">
        <v>4</v>
      </c>
      <c r="X17" s="1">
        <v>4</v>
      </c>
      <c r="Y17" s="1">
        <v>4</v>
      </c>
      <c r="Z17" s="1">
        <v>4</v>
      </c>
      <c r="AA17" s="1">
        <v>4</v>
      </c>
      <c r="AC17" s="1">
        <v>2</v>
      </c>
      <c r="AE17" s="1">
        <v>3</v>
      </c>
      <c r="AF17" s="3">
        <v>4830000</v>
      </c>
      <c r="AG17" s="1">
        <v>11</v>
      </c>
      <c r="AR17" s="1" t="s">
        <v>130</v>
      </c>
      <c r="BP17" s="1">
        <v>3</v>
      </c>
      <c r="BQ17" s="1" t="s">
        <v>581</v>
      </c>
      <c r="BR17" s="1" t="s">
        <v>582</v>
      </c>
      <c r="BS17" s="1" t="s">
        <v>583</v>
      </c>
      <c r="BT17" s="1" t="s">
        <v>73</v>
      </c>
      <c r="BU17" s="1">
        <v>1</v>
      </c>
      <c r="BV17" s="1">
        <v>2</v>
      </c>
      <c r="BW17" s="1">
        <v>1</v>
      </c>
      <c r="BX17" s="1">
        <v>0</v>
      </c>
      <c r="BY17" s="1">
        <v>0</v>
      </c>
      <c r="BZ17" s="1">
        <v>0</v>
      </c>
      <c r="CA17" s="1">
        <v>0</v>
      </c>
      <c r="CB17" s="1">
        <v>0</v>
      </c>
      <c r="CC17" s="1">
        <v>0</v>
      </c>
      <c r="CD17" s="1">
        <v>0</v>
      </c>
      <c r="CE17" s="1">
        <v>0</v>
      </c>
      <c r="CF17" s="1">
        <v>0</v>
      </c>
      <c r="CG17" s="1">
        <v>0</v>
      </c>
      <c r="CH17" s="1">
        <v>0</v>
      </c>
      <c r="CI17" s="1">
        <v>0</v>
      </c>
      <c r="CJ17" s="1">
        <v>4</v>
      </c>
      <c r="CK17" s="1">
        <v>4</v>
      </c>
      <c r="CL17" s="1">
        <v>4</v>
      </c>
      <c r="CM17" s="1">
        <v>4</v>
      </c>
      <c r="CN17" s="1">
        <v>4</v>
      </c>
      <c r="CO17" s="1">
        <v>4</v>
      </c>
      <c r="CP17" s="1">
        <v>4</v>
      </c>
      <c r="CU17" s="1">
        <v>1</v>
      </c>
    </row>
    <row r="18" spans="1:99" x14ac:dyDescent="0.35">
      <c r="A18" s="1" t="s">
        <v>584</v>
      </c>
      <c r="B18" s="1">
        <v>175254018</v>
      </c>
      <c r="C18" s="1">
        <v>0</v>
      </c>
      <c r="D18" s="1">
        <v>1</v>
      </c>
      <c r="E18" s="1">
        <v>1</v>
      </c>
      <c r="F18" s="1">
        <v>0</v>
      </c>
      <c r="G18" s="1">
        <v>0</v>
      </c>
      <c r="H18" s="1">
        <v>0</v>
      </c>
      <c r="I18" s="1">
        <v>0</v>
      </c>
      <c r="J18" s="1">
        <v>1</v>
      </c>
      <c r="K18" s="1">
        <v>1</v>
      </c>
      <c r="L18" s="1">
        <v>0</v>
      </c>
      <c r="M18" s="1">
        <v>1</v>
      </c>
      <c r="N18" s="1">
        <v>1</v>
      </c>
      <c r="O18" s="1">
        <v>0</v>
      </c>
      <c r="P18" s="1" t="s">
        <v>117</v>
      </c>
      <c r="Q18" s="1">
        <v>1</v>
      </c>
      <c r="R18" s="1">
        <v>1</v>
      </c>
    </row>
    <row r="19" spans="1:99" x14ac:dyDescent="0.35">
      <c r="A19" s="1" t="s">
        <v>585</v>
      </c>
      <c r="B19" s="1">
        <v>175254019</v>
      </c>
      <c r="C19" s="1">
        <v>1</v>
      </c>
      <c r="D19" s="1">
        <v>1</v>
      </c>
      <c r="E19" s="1">
        <v>0</v>
      </c>
      <c r="F19" s="1">
        <v>0</v>
      </c>
      <c r="G19" s="1">
        <v>0</v>
      </c>
      <c r="H19" s="1">
        <v>1</v>
      </c>
      <c r="I19" s="1">
        <v>0</v>
      </c>
      <c r="J19" s="1">
        <v>1</v>
      </c>
      <c r="K19" s="1">
        <v>1</v>
      </c>
      <c r="L19" s="1">
        <v>0</v>
      </c>
      <c r="M19" s="1">
        <v>0</v>
      </c>
      <c r="N19" s="1">
        <v>0</v>
      </c>
      <c r="O19" s="1">
        <v>0</v>
      </c>
      <c r="P19" s="1" t="s">
        <v>586</v>
      </c>
      <c r="Q19" s="1">
        <v>13</v>
      </c>
      <c r="R19" s="1">
        <v>5</v>
      </c>
      <c r="S19" s="1">
        <v>1</v>
      </c>
      <c r="T19" s="1">
        <v>1</v>
      </c>
      <c r="U19" s="1">
        <v>4</v>
      </c>
      <c r="V19" s="1">
        <v>3</v>
      </c>
      <c r="W19" s="1">
        <v>3</v>
      </c>
      <c r="X19" s="1">
        <v>3</v>
      </c>
      <c r="Y19" s="1">
        <v>4</v>
      </c>
      <c r="Z19" s="1">
        <v>4</v>
      </c>
      <c r="AA19" s="1">
        <v>3</v>
      </c>
      <c r="AC19" s="1">
        <v>1</v>
      </c>
      <c r="AD19" s="1">
        <v>5</v>
      </c>
      <c r="AF19" s="3">
        <v>3920000</v>
      </c>
      <c r="AG19" s="1">
        <v>13</v>
      </c>
      <c r="AT19" s="1" t="s">
        <v>86</v>
      </c>
      <c r="BP19" s="1">
        <v>3</v>
      </c>
      <c r="BQ19" s="1" t="s">
        <v>587</v>
      </c>
      <c r="BR19" s="1" t="s">
        <v>588</v>
      </c>
      <c r="BS19" s="1" t="s">
        <v>589</v>
      </c>
      <c r="BT19" s="1" t="s">
        <v>79</v>
      </c>
      <c r="BU19" s="1">
        <v>1</v>
      </c>
      <c r="BV19" s="1">
        <v>2</v>
      </c>
      <c r="BW19" s="1">
        <v>1</v>
      </c>
      <c r="BX19" s="1">
        <v>0</v>
      </c>
      <c r="BY19" s="1">
        <v>0</v>
      </c>
      <c r="BZ19" s="1">
        <v>0</v>
      </c>
      <c r="CA19" s="1">
        <v>0</v>
      </c>
      <c r="CB19" s="1">
        <v>0</v>
      </c>
      <c r="CC19" s="1">
        <v>0</v>
      </c>
      <c r="CD19" s="1">
        <v>0</v>
      </c>
      <c r="CE19" s="1">
        <v>0</v>
      </c>
      <c r="CF19" s="1">
        <v>0</v>
      </c>
      <c r="CG19" s="1">
        <v>0</v>
      </c>
      <c r="CH19" s="1">
        <v>0</v>
      </c>
      <c r="CI19" s="1">
        <v>0</v>
      </c>
      <c r="CJ19" s="1">
        <v>4</v>
      </c>
      <c r="CK19" s="1">
        <v>3</v>
      </c>
      <c r="CL19" s="1">
        <v>3</v>
      </c>
      <c r="CM19" s="1">
        <v>3</v>
      </c>
      <c r="CN19" s="1">
        <v>4</v>
      </c>
      <c r="CO19" s="1">
        <v>4</v>
      </c>
      <c r="CP19" s="1">
        <v>3</v>
      </c>
      <c r="CU19" s="1">
        <v>1</v>
      </c>
    </row>
    <row r="20" spans="1:99" x14ac:dyDescent="0.35">
      <c r="A20" s="1" t="s">
        <v>590</v>
      </c>
      <c r="B20" s="1">
        <v>175254020</v>
      </c>
      <c r="C20" s="1">
        <v>0</v>
      </c>
      <c r="D20" s="1">
        <v>0</v>
      </c>
      <c r="E20" s="1">
        <v>0</v>
      </c>
      <c r="F20" s="1">
        <v>0</v>
      </c>
      <c r="G20" s="1">
        <v>0</v>
      </c>
      <c r="H20" s="1">
        <v>0</v>
      </c>
      <c r="I20" s="1">
        <v>0</v>
      </c>
      <c r="J20" s="1">
        <v>0</v>
      </c>
      <c r="K20" s="1">
        <v>1</v>
      </c>
      <c r="L20" s="1">
        <v>0</v>
      </c>
      <c r="M20" s="1">
        <v>0</v>
      </c>
      <c r="N20" s="1">
        <v>0</v>
      </c>
      <c r="O20" s="1">
        <v>0</v>
      </c>
      <c r="P20" s="1">
        <v>5</v>
      </c>
      <c r="Q20" s="1">
        <v>2</v>
      </c>
      <c r="R20" s="1">
        <v>2</v>
      </c>
      <c r="S20" s="1">
        <v>1</v>
      </c>
      <c r="T20" s="1">
        <v>1</v>
      </c>
      <c r="U20" s="1">
        <v>3</v>
      </c>
      <c r="V20" s="1">
        <v>3</v>
      </c>
      <c r="W20" s="1">
        <v>3</v>
      </c>
      <c r="X20" s="1">
        <v>3</v>
      </c>
      <c r="Y20" s="1">
        <v>4</v>
      </c>
      <c r="Z20" s="1">
        <v>4</v>
      </c>
      <c r="AA20" s="1">
        <v>3</v>
      </c>
      <c r="AC20" s="1">
        <v>1</v>
      </c>
      <c r="AD20" s="1">
        <v>2</v>
      </c>
      <c r="AF20" s="3">
        <v>3200000</v>
      </c>
      <c r="AG20" s="1">
        <v>13</v>
      </c>
      <c r="AT20" s="1" t="s">
        <v>209</v>
      </c>
      <c r="BP20" s="1">
        <v>3</v>
      </c>
      <c r="BQ20" s="1" t="s">
        <v>591</v>
      </c>
      <c r="BR20" s="1" t="s">
        <v>592</v>
      </c>
      <c r="BS20" s="1" t="s">
        <v>593</v>
      </c>
      <c r="BT20" s="1" t="s">
        <v>79</v>
      </c>
      <c r="BU20" s="1">
        <v>3</v>
      </c>
      <c r="BV20" s="1">
        <v>2</v>
      </c>
      <c r="BW20" s="1">
        <v>0</v>
      </c>
      <c r="BX20" s="1">
        <v>0</v>
      </c>
      <c r="BY20" s="1">
        <v>0</v>
      </c>
      <c r="BZ20" s="1">
        <v>0</v>
      </c>
      <c r="CA20" s="1">
        <v>0</v>
      </c>
      <c r="CB20" s="1">
        <v>0</v>
      </c>
      <c r="CC20" s="1">
        <v>0</v>
      </c>
      <c r="CD20" s="1">
        <v>0</v>
      </c>
      <c r="CE20" s="1">
        <v>0</v>
      </c>
      <c r="CF20" s="1">
        <v>0</v>
      </c>
      <c r="CG20" s="1">
        <v>0</v>
      </c>
      <c r="CH20" s="1">
        <v>1</v>
      </c>
      <c r="CI20" s="1">
        <v>0</v>
      </c>
      <c r="CJ20" s="1">
        <v>4</v>
      </c>
      <c r="CK20" s="1">
        <v>3</v>
      </c>
      <c r="CL20" s="1">
        <v>2</v>
      </c>
      <c r="CM20" s="1">
        <v>4</v>
      </c>
      <c r="CN20" s="1">
        <v>4</v>
      </c>
      <c r="CO20" s="1">
        <v>4</v>
      </c>
      <c r="CP20" s="1">
        <v>4</v>
      </c>
      <c r="CU20" s="1">
        <v>1</v>
      </c>
    </row>
    <row r="21" spans="1:99" x14ac:dyDescent="0.35">
      <c r="A21" s="1" t="s">
        <v>595</v>
      </c>
      <c r="B21" s="1">
        <v>175254021</v>
      </c>
      <c r="C21" s="1">
        <v>1</v>
      </c>
      <c r="D21" s="1">
        <v>1</v>
      </c>
      <c r="E21" s="1">
        <v>0</v>
      </c>
      <c r="F21" s="1">
        <v>0</v>
      </c>
      <c r="G21" s="1">
        <v>0</v>
      </c>
      <c r="H21" s="1">
        <v>1</v>
      </c>
      <c r="I21" s="1">
        <v>0</v>
      </c>
      <c r="J21" s="1">
        <v>0</v>
      </c>
      <c r="K21" s="1">
        <v>1</v>
      </c>
      <c r="L21" s="1">
        <v>0</v>
      </c>
      <c r="M21" s="1">
        <v>0</v>
      </c>
      <c r="N21" s="1">
        <v>0</v>
      </c>
      <c r="O21" s="1">
        <v>0</v>
      </c>
      <c r="P21" s="1" t="s">
        <v>186</v>
      </c>
      <c r="Q21" s="1" t="s">
        <v>570</v>
      </c>
      <c r="R21" s="1">
        <v>3</v>
      </c>
      <c r="S21" s="1">
        <v>5</v>
      </c>
      <c r="T21" s="1">
        <v>1</v>
      </c>
      <c r="U21" s="1">
        <v>3</v>
      </c>
      <c r="V21" s="1">
        <v>3</v>
      </c>
      <c r="W21" s="1">
        <v>2</v>
      </c>
      <c r="X21" s="1">
        <v>3</v>
      </c>
      <c r="Y21" s="1">
        <v>3</v>
      </c>
      <c r="Z21" s="1">
        <v>3</v>
      </c>
      <c r="AA21" s="1">
        <v>3</v>
      </c>
      <c r="CU21" s="1">
        <v>4</v>
      </c>
    </row>
    <row r="22" spans="1:99" x14ac:dyDescent="0.35">
      <c r="A22" s="1" t="s">
        <v>596</v>
      </c>
      <c r="B22" s="1">
        <v>175254022</v>
      </c>
      <c r="C22" s="1">
        <v>0</v>
      </c>
      <c r="D22" s="1">
        <v>1</v>
      </c>
      <c r="E22" s="1">
        <v>0</v>
      </c>
      <c r="F22" s="1">
        <v>0</v>
      </c>
      <c r="G22" s="1">
        <v>0</v>
      </c>
      <c r="H22" s="1">
        <v>0</v>
      </c>
      <c r="I22" s="1">
        <v>0</v>
      </c>
      <c r="J22" s="1">
        <v>0</v>
      </c>
      <c r="K22" s="1">
        <v>1</v>
      </c>
      <c r="L22" s="1">
        <v>0</v>
      </c>
      <c r="M22" s="1">
        <v>1</v>
      </c>
      <c r="N22" s="1">
        <v>0</v>
      </c>
      <c r="O22" s="1">
        <v>0</v>
      </c>
      <c r="P22" s="1">
        <v>15</v>
      </c>
      <c r="Q22" s="1">
        <v>1</v>
      </c>
      <c r="R22" s="1">
        <v>1</v>
      </c>
      <c r="S22" s="1">
        <v>1</v>
      </c>
      <c r="T22" s="1">
        <v>1</v>
      </c>
      <c r="U22" s="1">
        <v>4</v>
      </c>
      <c r="V22" s="1">
        <v>3</v>
      </c>
      <c r="W22" s="1">
        <v>4</v>
      </c>
      <c r="X22" s="1">
        <v>3</v>
      </c>
      <c r="Y22" s="1">
        <v>4</v>
      </c>
      <c r="Z22" s="1">
        <v>3</v>
      </c>
      <c r="AA22" s="1">
        <v>2</v>
      </c>
      <c r="AC22" s="1">
        <v>1</v>
      </c>
      <c r="AD22" s="1">
        <v>1</v>
      </c>
      <c r="AF22" s="3">
        <v>3400000</v>
      </c>
      <c r="AG22" s="1">
        <v>14</v>
      </c>
      <c r="AU22" s="1" t="s">
        <v>597</v>
      </c>
      <c r="BP22" s="1">
        <v>3</v>
      </c>
      <c r="BQ22" s="1" t="s">
        <v>598</v>
      </c>
      <c r="BR22" s="1" t="s">
        <v>599</v>
      </c>
      <c r="BS22" s="1" t="s">
        <v>600</v>
      </c>
      <c r="BT22" s="1" t="s">
        <v>73</v>
      </c>
      <c r="BU22" s="1">
        <v>5</v>
      </c>
      <c r="BV22" s="1">
        <v>2</v>
      </c>
      <c r="BW22" s="1">
        <v>0</v>
      </c>
      <c r="BX22" s="1">
        <v>1</v>
      </c>
      <c r="BY22" s="1">
        <v>0</v>
      </c>
      <c r="BZ22" s="1">
        <v>0</v>
      </c>
      <c r="CA22" s="1">
        <v>0</v>
      </c>
      <c r="CB22" s="1">
        <v>0</v>
      </c>
      <c r="CC22" s="1">
        <v>0</v>
      </c>
      <c r="CD22" s="1">
        <v>0</v>
      </c>
      <c r="CE22" s="1">
        <v>0</v>
      </c>
      <c r="CF22" s="1">
        <v>0</v>
      </c>
      <c r="CG22" s="1">
        <v>0</v>
      </c>
      <c r="CH22" s="1">
        <v>1</v>
      </c>
      <c r="CI22" s="1">
        <v>0</v>
      </c>
      <c r="CJ22" s="1">
        <v>4</v>
      </c>
      <c r="CK22" s="1">
        <v>1</v>
      </c>
      <c r="CL22" s="1">
        <v>4</v>
      </c>
      <c r="CM22" s="1">
        <v>4</v>
      </c>
      <c r="CN22" s="1">
        <v>4</v>
      </c>
      <c r="CO22" s="1">
        <v>1</v>
      </c>
      <c r="CP22" s="1">
        <v>2</v>
      </c>
      <c r="CU22" s="1">
        <v>1</v>
      </c>
    </row>
    <row r="23" spans="1:99" x14ac:dyDescent="0.35">
      <c r="A23" s="1" t="s">
        <v>602</v>
      </c>
      <c r="B23" s="1">
        <v>175254023</v>
      </c>
      <c r="C23" s="1">
        <v>0</v>
      </c>
      <c r="D23" s="1">
        <v>1</v>
      </c>
      <c r="E23" s="1">
        <v>0</v>
      </c>
      <c r="F23" s="1">
        <v>0</v>
      </c>
      <c r="G23" s="1">
        <v>0</v>
      </c>
      <c r="H23" s="1">
        <v>0</v>
      </c>
      <c r="I23" s="1">
        <v>0</v>
      </c>
      <c r="J23" s="1">
        <v>0</v>
      </c>
      <c r="K23" s="1">
        <v>1</v>
      </c>
      <c r="L23" s="1">
        <v>0</v>
      </c>
      <c r="M23" s="1">
        <v>0</v>
      </c>
      <c r="N23" s="1">
        <v>0</v>
      </c>
      <c r="O23" s="1">
        <v>0</v>
      </c>
      <c r="P23" s="1" t="s">
        <v>180</v>
      </c>
      <c r="Q23" s="1">
        <v>10</v>
      </c>
      <c r="R23" s="1">
        <v>10</v>
      </c>
      <c r="S23" s="1">
        <v>1</v>
      </c>
      <c r="T23" s="1">
        <v>1</v>
      </c>
      <c r="U23" s="1">
        <v>4</v>
      </c>
      <c r="V23" s="1">
        <v>3</v>
      </c>
      <c r="W23" s="1">
        <v>3</v>
      </c>
      <c r="X23" s="1">
        <v>4</v>
      </c>
      <c r="Y23" s="1">
        <v>3</v>
      </c>
      <c r="Z23" s="1">
        <v>4</v>
      </c>
      <c r="AA23" s="1">
        <v>4</v>
      </c>
      <c r="AC23" s="1">
        <v>1</v>
      </c>
      <c r="AD23" s="1">
        <v>2</v>
      </c>
      <c r="AF23" s="3">
        <v>3200000</v>
      </c>
      <c r="AG23" s="1">
        <v>13</v>
      </c>
      <c r="AT23" s="1" t="s">
        <v>93</v>
      </c>
      <c r="BP23" s="1">
        <v>3</v>
      </c>
      <c r="BQ23" s="1" t="s">
        <v>603</v>
      </c>
      <c r="BR23" s="1" t="s">
        <v>604</v>
      </c>
      <c r="BS23" s="1" t="s">
        <v>605</v>
      </c>
      <c r="BT23" s="1" t="s">
        <v>79</v>
      </c>
      <c r="BU23" s="1">
        <v>1</v>
      </c>
      <c r="BV23" s="1">
        <v>3</v>
      </c>
      <c r="BW23" s="1">
        <v>1</v>
      </c>
      <c r="BX23" s="1">
        <v>0</v>
      </c>
      <c r="BY23" s="1">
        <v>0</v>
      </c>
      <c r="BZ23" s="1">
        <v>0</v>
      </c>
      <c r="CA23" s="1">
        <v>0</v>
      </c>
      <c r="CB23" s="1">
        <v>0</v>
      </c>
      <c r="CC23" s="1">
        <v>0</v>
      </c>
      <c r="CD23" s="1">
        <v>0</v>
      </c>
      <c r="CE23" s="1">
        <v>0</v>
      </c>
      <c r="CF23" s="1">
        <v>0</v>
      </c>
      <c r="CG23" s="1">
        <v>0</v>
      </c>
      <c r="CH23" s="1">
        <v>0</v>
      </c>
      <c r="CI23" s="1">
        <v>0</v>
      </c>
      <c r="CJ23" s="1">
        <v>4</v>
      </c>
      <c r="CK23" s="1">
        <v>4</v>
      </c>
      <c r="CL23" s="1">
        <v>3</v>
      </c>
      <c r="CM23" s="1">
        <v>4</v>
      </c>
      <c r="CN23" s="1">
        <v>4</v>
      </c>
      <c r="CO23" s="1">
        <v>4</v>
      </c>
      <c r="CP23" s="1">
        <v>4</v>
      </c>
      <c r="CU23" s="1">
        <v>1</v>
      </c>
    </row>
    <row r="24" spans="1:99" x14ac:dyDescent="0.35">
      <c r="A24" s="1" t="s">
        <v>606</v>
      </c>
      <c r="B24" s="1">
        <v>175254024</v>
      </c>
      <c r="C24" s="1">
        <v>1</v>
      </c>
      <c r="D24" s="1">
        <v>1</v>
      </c>
      <c r="E24" s="1">
        <v>0</v>
      </c>
      <c r="F24" s="1">
        <v>0</v>
      </c>
      <c r="G24" s="1">
        <v>0</v>
      </c>
      <c r="H24" s="1">
        <v>0</v>
      </c>
      <c r="I24" s="1">
        <v>0</v>
      </c>
      <c r="J24" s="1">
        <v>0</v>
      </c>
      <c r="K24" s="1">
        <v>0</v>
      </c>
      <c r="L24" s="1">
        <v>0</v>
      </c>
      <c r="M24" s="1">
        <v>1</v>
      </c>
      <c r="N24" s="1">
        <v>0</v>
      </c>
      <c r="O24" s="1">
        <v>0</v>
      </c>
      <c r="P24" s="1">
        <v>10</v>
      </c>
      <c r="Q24" s="1">
        <v>4</v>
      </c>
      <c r="R24" s="1">
        <v>2</v>
      </c>
      <c r="S24" s="1">
        <v>1</v>
      </c>
      <c r="T24" s="1">
        <v>1</v>
      </c>
      <c r="U24" s="1">
        <v>3</v>
      </c>
      <c r="V24" s="1">
        <v>3</v>
      </c>
      <c r="W24" s="1">
        <v>3</v>
      </c>
      <c r="X24" s="1">
        <v>3</v>
      </c>
      <c r="Y24" s="1">
        <v>3</v>
      </c>
      <c r="Z24" s="1">
        <v>3</v>
      </c>
      <c r="AA24" s="1">
        <v>3</v>
      </c>
      <c r="AC24" s="1">
        <v>1</v>
      </c>
      <c r="AD24" s="1">
        <v>0</v>
      </c>
      <c r="AE24" s="1">
        <v>0</v>
      </c>
      <c r="AF24" s="3">
        <v>2200000</v>
      </c>
      <c r="AG24" s="1">
        <v>13</v>
      </c>
      <c r="AT24" s="1" t="s">
        <v>86</v>
      </c>
      <c r="BP24" s="1">
        <v>3</v>
      </c>
      <c r="BQ24" s="1" t="s">
        <v>607</v>
      </c>
      <c r="BR24" s="1" t="s">
        <v>608</v>
      </c>
      <c r="BS24" s="1" t="s">
        <v>609</v>
      </c>
      <c r="BT24" s="1" t="s">
        <v>79</v>
      </c>
      <c r="BU24" s="1">
        <v>3</v>
      </c>
      <c r="BV24" s="1">
        <v>2</v>
      </c>
      <c r="BW24" s="1">
        <v>0</v>
      </c>
      <c r="BX24" s="1">
        <v>1</v>
      </c>
      <c r="BY24" s="1">
        <v>0</v>
      </c>
      <c r="BZ24" s="1">
        <v>0</v>
      </c>
      <c r="CA24" s="1">
        <v>0</v>
      </c>
      <c r="CB24" s="1">
        <v>0</v>
      </c>
      <c r="CC24" s="1">
        <v>0</v>
      </c>
      <c r="CD24" s="1">
        <v>0</v>
      </c>
      <c r="CE24" s="1">
        <v>0</v>
      </c>
      <c r="CF24" s="1">
        <v>1</v>
      </c>
      <c r="CG24" s="1">
        <v>0</v>
      </c>
      <c r="CH24" s="1">
        <v>1</v>
      </c>
      <c r="CI24" s="1">
        <v>0</v>
      </c>
      <c r="CJ24" s="1">
        <v>4</v>
      </c>
      <c r="CK24" s="1">
        <v>4</v>
      </c>
      <c r="CL24" s="1">
        <v>4</v>
      </c>
      <c r="CM24" s="1">
        <v>4</v>
      </c>
      <c r="CN24" s="1">
        <v>4</v>
      </c>
      <c r="CO24" s="1">
        <v>4</v>
      </c>
      <c r="CP24" s="1">
        <v>4</v>
      </c>
      <c r="CU24" s="1">
        <v>4</v>
      </c>
    </row>
    <row r="25" spans="1:99" x14ac:dyDescent="0.35">
      <c r="A25" s="1" t="s">
        <v>610</v>
      </c>
      <c r="B25" s="1">
        <v>175254025</v>
      </c>
      <c r="C25" s="1">
        <v>0</v>
      </c>
      <c r="D25" s="1">
        <v>1</v>
      </c>
      <c r="E25" s="1">
        <v>1</v>
      </c>
      <c r="F25" s="1">
        <v>0</v>
      </c>
      <c r="G25" s="1">
        <v>0</v>
      </c>
      <c r="H25" s="1">
        <v>0</v>
      </c>
      <c r="I25" s="1">
        <v>0</v>
      </c>
      <c r="J25" s="1">
        <v>0</v>
      </c>
      <c r="K25" s="1">
        <v>0</v>
      </c>
      <c r="L25" s="1">
        <v>0</v>
      </c>
      <c r="M25" s="1">
        <v>0</v>
      </c>
      <c r="N25" s="1">
        <v>0</v>
      </c>
      <c r="O25" s="1">
        <v>0</v>
      </c>
      <c r="P25" s="1">
        <v>50</v>
      </c>
      <c r="Q25" s="1">
        <v>20</v>
      </c>
      <c r="R25" s="1">
        <v>15</v>
      </c>
      <c r="S25" s="1">
        <v>1</v>
      </c>
      <c r="T25" s="1">
        <v>1</v>
      </c>
      <c r="U25" s="1">
        <v>3</v>
      </c>
      <c r="V25" s="1">
        <v>3</v>
      </c>
      <c r="W25" s="1">
        <v>3</v>
      </c>
      <c r="X25" s="1">
        <v>3</v>
      </c>
      <c r="Y25" s="1">
        <v>3</v>
      </c>
      <c r="Z25" s="1">
        <v>3</v>
      </c>
      <c r="AA25" s="1">
        <v>3</v>
      </c>
      <c r="AC25" s="1">
        <v>2</v>
      </c>
      <c r="AE25" s="1">
        <v>1</v>
      </c>
      <c r="AF25" s="3">
        <v>3200000</v>
      </c>
      <c r="AG25" s="1">
        <v>13</v>
      </c>
      <c r="AT25" s="1" t="s">
        <v>93</v>
      </c>
      <c r="BP25" s="1">
        <v>3</v>
      </c>
      <c r="BQ25" s="1" t="s">
        <v>611</v>
      </c>
      <c r="BR25" s="1" t="s">
        <v>612</v>
      </c>
      <c r="BT25" s="1" t="s">
        <v>79</v>
      </c>
      <c r="BU25" s="1">
        <v>2</v>
      </c>
      <c r="BV25" s="1">
        <v>2</v>
      </c>
      <c r="BW25" s="1">
        <v>1</v>
      </c>
      <c r="BX25" s="1">
        <v>0</v>
      </c>
      <c r="BY25" s="1">
        <v>0</v>
      </c>
      <c r="BZ25" s="1">
        <v>0</v>
      </c>
      <c r="CA25" s="1">
        <v>0</v>
      </c>
      <c r="CB25" s="1">
        <v>0</v>
      </c>
      <c r="CC25" s="1">
        <v>0</v>
      </c>
      <c r="CD25" s="1">
        <v>0</v>
      </c>
      <c r="CE25" s="1">
        <v>0</v>
      </c>
      <c r="CF25" s="1">
        <v>0</v>
      </c>
      <c r="CG25" s="1">
        <v>0</v>
      </c>
      <c r="CH25" s="1">
        <v>0</v>
      </c>
      <c r="CI25" s="1">
        <v>0</v>
      </c>
      <c r="CJ25" s="1">
        <v>3</v>
      </c>
      <c r="CK25" s="1">
        <v>3</v>
      </c>
      <c r="CL25" s="1">
        <v>2</v>
      </c>
      <c r="CM25" s="1">
        <v>3</v>
      </c>
      <c r="CN25" s="1">
        <v>3</v>
      </c>
      <c r="CO25" s="1">
        <v>3</v>
      </c>
      <c r="CP25" s="1">
        <v>3</v>
      </c>
      <c r="CU25" s="1">
        <v>4</v>
      </c>
    </row>
    <row r="26" spans="1:99" x14ac:dyDescent="0.35">
      <c r="A26" s="1" t="s">
        <v>613</v>
      </c>
      <c r="B26" s="1">
        <v>175254027</v>
      </c>
      <c r="C26" s="1">
        <v>0</v>
      </c>
      <c r="D26" s="1">
        <v>1</v>
      </c>
      <c r="E26" s="1">
        <v>0</v>
      </c>
      <c r="F26" s="1">
        <v>0</v>
      </c>
      <c r="G26" s="1">
        <v>1</v>
      </c>
      <c r="H26" s="1">
        <v>1</v>
      </c>
      <c r="I26" s="1">
        <v>0</v>
      </c>
      <c r="J26" s="1">
        <v>1</v>
      </c>
      <c r="K26" s="1">
        <v>1</v>
      </c>
      <c r="L26" s="1">
        <v>0</v>
      </c>
      <c r="M26" s="1">
        <v>0</v>
      </c>
      <c r="N26" s="1">
        <v>0</v>
      </c>
      <c r="O26" s="1">
        <v>0</v>
      </c>
      <c r="P26" s="1">
        <v>40</v>
      </c>
      <c r="Q26" s="1">
        <v>10</v>
      </c>
      <c r="R26" s="1">
        <v>4</v>
      </c>
      <c r="S26" s="1">
        <v>1</v>
      </c>
      <c r="T26" s="1">
        <v>1</v>
      </c>
      <c r="U26" s="1">
        <v>4</v>
      </c>
      <c r="V26" s="1">
        <v>3</v>
      </c>
      <c r="W26" s="1">
        <v>2</v>
      </c>
      <c r="X26" s="1">
        <v>4</v>
      </c>
      <c r="Y26" s="1">
        <v>4</v>
      </c>
      <c r="Z26" s="1">
        <v>3</v>
      </c>
      <c r="AA26" s="1">
        <v>4</v>
      </c>
      <c r="AC26" s="1">
        <v>1</v>
      </c>
      <c r="AD26" s="1">
        <v>3</v>
      </c>
      <c r="AF26" s="3">
        <v>3774860</v>
      </c>
      <c r="AG26" s="1">
        <v>13</v>
      </c>
      <c r="AT26" s="1" t="s">
        <v>93</v>
      </c>
      <c r="BP26" s="1">
        <v>6</v>
      </c>
      <c r="BQ26" s="1" t="s">
        <v>614</v>
      </c>
      <c r="BR26" s="1" t="s">
        <v>615</v>
      </c>
      <c r="BS26" s="1" t="s">
        <v>616</v>
      </c>
      <c r="BT26" s="1" t="s">
        <v>79</v>
      </c>
      <c r="BU26" s="1">
        <v>3</v>
      </c>
      <c r="BV26" s="1">
        <v>2</v>
      </c>
      <c r="BW26" s="1">
        <v>0</v>
      </c>
      <c r="BX26" s="1">
        <v>1</v>
      </c>
      <c r="BY26" s="1">
        <v>0</v>
      </c>
      <c r="BZ26" s="1">
        <v>0</v>
      </c>
      <c r="CA26" s="1">
        <v>0</v>
      </c>
      <c r="CB26" s="1">
        <v>0</v>
      </c>
      <c r="CC26" s="1">
        <v>0</v>
      </c>
      <c r="CD26" s="1">
        <v>0</v>
      </c>
      <c r="CE26" s="1">
        <v>0</v>
      </c>
      <c r="CF26" s="1">
        <v>1</v>
      </c>
      <c r="CG26" s="1">
        <v>0</v>
      </c>
      <c r="CH26" s="1">
        <v>1</v>
      </c>
      <c r="CI26" s="1">
        <v>0</v>
      </c>
      <c r="CJ26" s="1">
        <v>4</v>
      </c>
      <c r="CK26" s="1">
        <v>3</v>
      </c>
      <c r="CL26" s="1">
        <v>3</v>
      </c>
      <c r="CM26" s="1">
        <v>4</v>
      </c>
      <c r="CN26" s="1">
        <v>4</v>
      </c>
      <c r="CO26" s="1">
        <v>4</v>
      </c>
      <c r="CP26" s="1">
        <v>3</v>
      </c>
      <c r="CU26" s="1">
        <v>4</v>
      </c>
    </row>
    <row r="27" spans="1:99" x14ac:dyDescent="0.35">
      <c r="A27" s="1" t="s">
        <v>617</v>
      </c>
      <c r="B27" s="1">
        <v>175254028</v>
      </c>
      <c r="C27" s="1">
        <v>0</v>
      </c>
      <c r="D27" s="1">
        <v>1</v>
      </c>
      <c r="E27" s="1">
        <v>1</v>
      </c>
      <c r="F27" s="1">
        <v>0</v>
      </c>
      <c r="G27" s="1">
        <v>0</v>
      </c>
      <c r="H27" s="1">
        <v>0</v>
      </c>
      <c r="I27" s="1">
        <v>0</v>
      </c>
      <c r="J27" s="1">
        <v>1</v>
      </c>
      <c r="K27" s="1">
        <v>0</v>
      </c>
      <c r="L27" s="1">
        <v>1</v>
      </c>
      <c r="M27" s="1">
        <v>0</v>
      </c>
      <c r="N27" s="1">
        <v>0</v>
      </c>
      <c r="O27" s="1">
        <v>0</v>
      </c>
      <c r="P27" s="1">
        <v>0</v>
      </c>
      <c r="Q27" s="1">
        <v>3</v>
      </c>
      <c r="R27" s="1">
        <v>1</v>
      </c>
      <c r="S27" s="1">
        <v>5</v>
      </c>
      <c r="T27" s="1">
        <v>1</v>
      </c>
      <c r="U27" s="1">
        <v>4</v>
      </c>
      <c r="V27" s="1">
        <v>3</v>
      </c>
      <c r="W27" s="1">
        <v>3</v>
      </c>
      <c r="X27" s="1">
        <v>4</v>
      </c>
      <c r="Y27" s="1">
        <v>4</v>
      </c>
      <c r="Z27" s="1">
        <v>3</v>
      </c>
      <c r="AA27" s="1">
        <v>3</v>
      </c>
      <c r="CU27" s="1">
        <v>4</v>
      </c>
    </row>
    <row r="28" spans="1:99" x14ac:dyDescent="0.35">
      <c r="A28" s="1" t="s">
        <v>618</v>
      </c>
      <c r="B28" s="1">
        <v>175254029</v>
      </c>
      <c r="C28" s="1">
        <v>0</v>
      </c>
      <c r="D28" s="1">
        <v>1</v>
      </c>
      <c r="E28" s="1">
        <v>0</v>
      </c>
      <c r="F28" s="1">
        <v>0</v>
      </c>
      <c r="G28" s="1">
        <v>0</v>
      </c>
      <c r="H28" s="1">
        <v>1</v>
      </c>
      <c r="I28" s="1">
        <v>0</v>
      </c>
      <c r="J28" s="1">
        <v>0</v>
      </c>
      <c r="K28" s="1">
        <v>1</v>
      </c>
      <c r="L28" s="1">
        <v>0</v>
      </c>
      <c r="M28" s="1">
        <v>0</v>
      </c>
      <c r="N28" s="1">
        <v>0</v>
      </c>
      <c r="O28" s="1">
        <v>0</v>
      </c>
      <c r="P28" s="1">
        <v>200</v>
      </c>
      <c r="Q28" s="1">
        <v>20</v>
      </c>
      <c r="R28" s="1">
        <v>10</v>
      </c>
      <c r="S28" s="1">
        <v>1</v>
      </c>
      <c r="T28" s="1">
        <v>1</v>
      </c>
      <c r="U28" s="1">
        <v>4</v>
      </c>
      <c r="V28" s="1">
        <v>3</v>
      </c>
      <c r="W28" s="1">
        <v>3</v>
      </c>
      <c r="X28" s="1">
        <v>4</v>
      </c>
      <c r="Y28" s="1">
        <v>4</v>
      </c>
      <c r="Z28" s="1">
        <v>4</v>
      </c>
      <c r="AA28" s="1">
        <v>4</v>
      </c>
      <c r="AC28" s="1">
        <v>2</v>
      </c>
      <c r="AE28" s="1">
        <v>10</v>
      </c>
      <c r="AF28" s="3">
        <v>2500000</v>
      </c>
      <c r="AG28" s="1">
        <v>13</v>
      </c>
      <c r="AT28" s="1" t="s">
        <v>402</v>
      </c>
      <c r="BP28" s="1">
        <v>3</v>
      </c>
      <c r="BQ28" s="1" t="s">
        <v>619</v>
      </c>
      <c r="BR28" s="1" t="s">
        <v>620</v>
      </c>
      <c r="BS28" s="1" t="s">
        <v>621</v>
      </c>
      <c r="BT28" s="1" t="s">
        <v>73</v>
      </c>
      <c r="BU28" s="1">
        <v>2</v>
      </c>
      <c r="BV28" s="1">
        <v>2</v>
      </c>
      <c r="BW28" s="1">
        <v>1</v>
      </c>
      <c r="BX28" s="1">
        <v>0</v>
      </c>
      <c r="BY28" s="1">
        <v>0</v>
      </c>
      <c r="BZ28" s="1">
        <v>0</v>
      </c>
      <c r="CA28" s="1">
        <v>0</v>
      </c>
      <c r="CB28" s="1">
        <v>0</v>
      </c>
      <c r="CC28" s="1">
        <v>0</v>
      </c>
      <c r="CD28" s="1">
        <v>0</v>
      </c>
      <c r="CE28" s="1">
        <v>0</v>
      </c>
      <c r="CF28" s="1">
        <v>0</v>
      </c>
      <c r="CG28" s="1">
        <v>0</v>
      </c>
      <c r="CH28" s="1">
        <v>0</v>
      </c>
      <c r="CI28" s="1">
        <v>0</v>
      </c>
      <c r="CJ28" s="1">
        <v>4</v>
      </c>
      <c r="CK28" s="1">
        <v>3</v>
      </c>
      <c r="CL28" s="1">
        <v>2</v>
      </c>
      <c r="CM28" s="1">
        <v>3</v>
      </c>
      <c r="CN28" s="1">
        <v>4</v>
      </c>
      <c r="CO28" s="1">
        <v>4</v>
      </c>
      <c r="CP28" s="1">
        <v>3</v>
      </c>
      <c r="CU28" s="1">
        <v>1</v>
      </c>
    </row>
    <row r="29" spans="1:99" x14ac:dyDescent="0.35">
      <c r="A29" s="1" t="s">
        <v>622</v>
      </c>
      <c r="B29" s="1">
        <v>175254030</v>
      </c>
      <c r="S29" s="1">
        <v>1</v>
      </c>
      <c r="T29" s="1">
        <v>3</v>
      </c>
      <c r="U29" s="1">
        <v>4</v>
      </c>
      <c r="V29" s="1">
        <v>4</v>
      </c>
      <c r="W29" s="1">
        <v>3</v>
      </c>
      <c r="X29" s="1">
        <v>4</v>
      </c>
      <c r="Y29" s="1">
        <v>4</v>
      </c>
      <c r="Z29" s="1">
        <v>4</v>
      </c>
      <c r="AA29" s="1">
        <v>4</v>
      </c>
      <c r="AC29" s="1">
        <v>1</v>
      </c>
      <c r="AD29" s="1">
        <v>0</v>
      </c>
      <c r="AE29" s="1">
        <v>0</v>
      </c>
      <c r="AF29" s="3">
        <v>3382100</v>
      </c>
      <c r="AG29" s="1">
        <v>13</v>
      </c>
      <c r="AT29" s="1" t="s">
        <v>209</v>
      </c>
      <c r="BP29" s="1">
        <v>3</v>
      </c>
      <c r="BQ29" s="1" t="s">
        <v>571</v>
      </c>
      <c r="BR29" s="1" t="s">
        <v>623</v>
      </c>
      <c r="BS29" s="1" t="s">
        <v>624</v>
      </c>
      <c r="BT29" s="1" t="s">
        <v>79</v>
      </c>
      <c r="BU29" s="1">
        <v>3</v>
      </c>
      <c r="BV29" s="1">
        <v>2</v>
      </c>
      <c r="BW29" s="1">
        <v>0</v>
      </c>
      <c r="BX29" s="1">
        <v>0</v>
      </c>
      <c r="BY29" s="1">
        <v>1</v>
      </c>
      <c r="BZ29" s="1">
        <v>0</v>
      </c>
      <c r="CA29" s="1">
        <v>0</v>
      </c>
      <c r="CB29" s="1">
        <v>0</v>
      </c>
      <c r="CC29" s="1">
        <v>1</v>
      </c>
      <c r="CD29" s="1">
        <v>1</v>
      </c>
      <c r="CE29" s="1">
        <v>0</v>
      </c>
      <c r="CF29" s="1">
        <v>0</v>
      </c>
      <c r="CG29" s="1">
        <v>0</v>
      </c>
      <c r="CH29" s="1">
        <v>1</v>
      </c>
      <c r="CI29" s="1" t="s">
        <v>625</v>
      </c>
      <c r="CJ29" s="1">
        <v>4</v>
      </c>
      <c r="CK29" s="1">
        <v>2</v>
      </c>
      <c r="CL29" s="1">
        <v>3</v>
      </c>
      <c r="CM29" s="1">
        <v>4</v>
      </c>
      <c r="CN29" s="1">
        <v>4</v>
      </c>
      <c r="CO29" s="1">
        <v>4</v>
      </c>
      <c r="CP29" s="1">
        <v>4</v>
      </c>
      <c r="CU29" s="1">
        <v>1</v>
      </c>
    </row>
    <row r="30" spans="1:99" x14ac:dyDescent="0.35">
      <c r="A30" s="1" t="s">
        <v>626</v>
      </c>
      <c r="B30" s="1">
        <v>175254031</v>
      </c>
      <c r="C30" s="1">
        <v>0</v>
      </c>
      <c r="D30" s="1">
        <v>1</v>
      </c>
      <c r="E30" s="1">
        <v>0</v>
      </c>
      <c r="F30" s="1">
        <v>0</v>
      </c>
      <c r="G30" s="1">
        <v>0</v>
      </c>
      <c r="H30" s="1">
        <v>0</v>
      </c>
      <c r="I30" s="1">
        <v>0</v>
      </c>
      <c r="J30" s="1">
        <v>0</v>
      </c>
      <c r="K30" s="1">
        <v>1</v>
      </c>
      <c r="L30" s="1">
        <v>0</v>
      </c>
      <c r="M30" s="1">
        <v>0</v>
      </c>
      <c r="N30" s="1">
        <v>0</v>
      </c>
      <c r="O30" s="1">
        <v>0</v>
      </c>
      <c r="P30" s="1">
        <v>30</v>
      </c>
      <c r="Q30" s="1">
        <v>13</v>
      </c>
      <c r="R30" s="1">
        <v>9</v>
      </c>
      <c r="S30" s="1">
        <v>1</v>
      </c>
      <c r="T30" s="1">
        <v>1</v>
      </c>
      <c r="U30" s="1">
        <v>3</v>
      </c>
      <c r="V30" s="1">
        <v>3</v>
      </c>
      <c r="W30" s="1">
        <v>2</v>
      </c>
      <c r="X30" s="1">
        <v>3</v>
      </c>
      <c r="Y30" s="1">
        <v>4</v>
      </c>
      <c r="Z30" s="1">
        <v>4</v>
      </c>
      <c r="AA30" s="1">
        <v>4</v>
      </c>
      <c r="AC30" s="1">
        <v>1</v>
      </c>
      <c r="AD30" s="1">
        <v>1</v>
      </c>
      <c r="AF30" s="3">
        <v>4000000</v>
      </c>
      <c r="AG30" s="1">
        <v>13</v>
      </c>
      <c r="AT30" s="1" t="s">
        <v>86</v>
      </c>
      <c r="BP30" s="1" t="s">
        <v>627</v>
      </c>
      <c r="BQ30" s="1" t="s">
        <v>628</v>
      </c>
      <c r="BR30" s="1" t="s">
        <v>629</v>
      </c>
      <c r="BS30" s="1" t="s">
        <v>630</v>
      </c>
      <c r="BT30" s="1" t="s">
        <v>107</v>
      </c>
      <c r="BU30" s="1">
        <v>1</v>
      </c>
      <c r="BV30" s="1">
        <v>2</v>
      </c>
      <c r="BW30" s="1">
        <v>1</v>
      </c>
      <c r="BX30" s="1">
        <v>0</v>
      </c>
      <c r="BY30" s="1">
        <v>0</v>
      </c>
      <c r="BZ30" s="1">
        <v>0</v>
      </c>
      <c r="CA30" s="1">
        <v>0</v>
      </c>
      <c r="CB30" s="1">
        <v>0</v>
      </c>
      <c r="CC30" s="1">
        <v>0</v>
      </c>
      <c r="CD30" s="1">
        <v>0</v>
      </c>
      <c r="CE30" s="1">
        <v>0</v>
      </c>
      <c r="CF30" s="1">
        <v>0</v>
      </c>
      <c r="CG30" s="1">
        <v>0</v>
      </c>
      <c r="CH30" s="1">
        <v>0</v>
      </c>
      <c r="CI30" s="1">
        <v>0</v>
      </c>
      <c r="CJ30" s="1">
        <v>4</v>
      </c>
      <c r="CK30" s="1">
        <v>4</v>
      </c>
      <c r="CL30" s="1">
        <v>2</v>
      </c>
      <c r="CM30" s="1">
        <v>3</v>
      </c>
      <c r="CN30" s="1">
        <v>4</v>
      </c>
      <c r="CO30" s="1">
        <v>4</v>
      </c>
      <c r="CP30" s="1">
        <v>4</v>
      </c>
      <c r="CU30" s="1">
        <v>1</v>
      </c>
    </row>
    <row r="31" spans="1:99" x14ac:dyDescent="0.35">
      <c r="A31" s="1" t="s">
        <v>631</v>
      </c>
      <c r="B31" s="1">
        <v>175254032</v>
      </c>
      <c r="C31" s="1">
        <v>1</v>
      </c>
      <c r="D31" s="1">
        <v>1</v>
      </c>
      <c r="E31" s="1">
        <v>0</v>
      </c>
      <c r="F31" s="1">
        <v>0</v>
      </c>
      <c r="G31" s="1">
        <v>0</v>
      </c>
      <c r="H31" s="1">
        <v>0</v>
      </c>
      <c r="I31" s="1">
        <v>1</v>
      </c>
      <c r="J31" s="1">
        <v>1</v>
      </c>
      <c r="K31" s="1">
        <v>1</v>
      </c>
      <c r="L31" s="1">
        <v>0</v>
      </c>
      <c r="M31" s="1">
        <v>1</v>
      </c>
      <c r="N31" s="1">
        <v>0</v>
      </c>
      <c r="O31" s="1">
        <v>0</v>
      </c>
      <c r="P31" s="1" t="s">
        <v>632</v>
      </c>
      <c r="Q31" s="1" t="s">
        <v>633</v>
      </c>
      <c r="R31" s="1" t="s">
        <v>634</v>
      </c>
      <c r="S31" s="1">
        <v>5</v>
      </c>
      <c r="T31" s="1">
        <v>1</v>
      </c>
      <c r="U31" s="1">
        <v>3</v>
      </c>
      <c r="V31" s="1">
        <v>4</v>
      </c>
      <c r="W31" s="1">
        <v>2</v>
      </c>
      <c r="X31" s="1">
        <v>3</v>
      </c>
      <c r="Y31" s="1">
        <v>4</v>
      </c>
      <c r="Z31" s="1">
        <v>4</v>
      </c>
      <c r="AA31" s="1">
        <v>4</v>
      </c>
      <c r="CU31" s="1">
        <v>4</v>
      </c>
    </row>
    <row r="32" spans="1:99" x14ac:dyDescent="0.35">
      <c r="A32" s="1" t="s">
        <v>3608</v>
      </c>
      <c r="B32" s="1">
        <v>175254011</v>
      </c>
    </row>
    <row r="33" spans="1:2" x14ac:dyDescent="0.35">
      <c r="A33" s="1" t="s">
        <v>3609</v>
      </c>
      <c r="B33" s="1">
        <v>175254026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6667BE-6C70-4401-8125-40C78F53B8CB}">
  <dimension ref="A1:CU63"/>
  <sheetViews>
    <sheetView zoomScale="55" zoomScaleNormal="55" workbookViewId="0">
      <pane xSplit="2" ySplit="15" topLeftCell="CS49" activePane="bottomRight" state="frozen"/>
      <selection pane="topRight" activeCell="C1" sqref="C1"/>
      <selection pane="bottomLeft" activeCell="A16" sqref="A16"/>
      <selection pane="bottomRight" activeCell="CU34" sqref="CU34"/>
    </sheetView>
  </sheetViews>
  <sheetFormatPr defaultColWidth="8.90625" defaultRowHeight="14.5" x14ac:dyDescent="0.35"/>
  <cols>
    <col min="1" max="1" width="33.26953125" style="1" bestFit="1" customWidth="1"/>
    <col min="2" max="2" width="10" style="1" customWidth="1"/>
    <col min="3" max="9" width="64.08984375" style="1" bestFit="1" customWidth="1"/>
    <col min="10" max="14" width="65.08984375" style="1" bestFit="1" customWidth="1"/>
    <col min="15" max="15" width="67.54296875" style="1" bestFit="1" customWidth="1"/>
    <col min="16" max="16" width="110" style="1" bestFit="1" customWidth="1"/>
    <col min="17" max="17" width="63.90625" style="1" bestFit="1" customWidth="1"/>
    <col min="18" max="18" width="73" style="1" bestFit="1" customWidth="1"/>
    <col min="19" max="19" width="25" style="1" bestFit="1" customWidth="1"/>
    <col min="20" max="20" width="41.26953125" style="1" bestFit="1" customWidth="1"/>
    <col min="21" max="21" width="67.08984375" style="1" bestFit="1" customWidth="1"/>
    <col min="22" max="22" width="90.453125" style="1" bestFit="1" customWidth="1"/>
    <col min="23" max="23" width="74.90625" style="1" bestFit="1" customWidth="1"/>
    <col min="24" max="24" width="89.36328125" style="1" bestFit="1" customWidth="1"/>
    <col min="25" max="25" width="72.453125" style="1" bestFit="1" customWidth="1"/>
    <col min="26" max="26" width="75.1796875" style="1" bestFit="1" customWidth="1"/>
    <col min="27" max="27" width="79" style="1" bestFit="1" customWidth="1"/>
    <col min="28" max="28" width="43.08984375" style="1" bestFit="1" customWidth="1"/>
    <col min="29" max="29" width="73.1796875" style="1" bestFit="1" customWidth="1"/>
    <col min="30" max="30" width="43.36328125" style="1" bestFit="1" customWidth="1"/>
    <col min="31" max="31" width="50.54296875" style="1" bestFit="1" customWidth="1"/>
    <col min="32" max="32" width="120.26953125" style="1" bestFit="1" customWidth="1"/>
    <col min="33" max="33" width="39.08984375" style="1" bestFit="1" customWidth="1"/>
    <col min="34" max="35" width="45.7265625" style="1" bestFit="1" customWidth="1"/>
    <col min="36" max="37" width="46.1796875" style="1" bestFit="1" customWidth="1"/>
    <col min="38" max="38" width="45.7265625" style="1" bestFit="1" customWidth="1"/>
    <col min="39" max="52" width="46.1796875" style="1" bestFit="1" customWidth="1"/>
    <col min="53" max="55" width="45.7265625" style="1" bestFit="1" customWidth="1"/>
    <col min="56" max="64" width="46.1796875" style="1" bestFit="1" customWidth="1"/>
    <col min="65" max="67" width="45.7265625" style="1" bestFit="1" customWidth="1"/>
    <col min="68" max="68" width="58.90625" style="1" bestFit="1" customWidth="1"/>
    <col min="69" max="69" width="43.26953125" style="1" bestFit="1" customWidth="1"/>
    <col min="70" max="70" width="45.36328125" style="1" bestFit="1" customWidth="1"/>
    <col min="71" max="71" width="45.26953125" style="1" bestFit="1" customWidth="1"/>
    <col min="72" max="72" width="55.453125" style="1" bestFit="1" customWidth="1"/>
    <col min="73" max="73" width="217.453125" style="1" bestFit="1" customWidth="1"/>
    <col min="74" max="74" width="65.08984375" style="1" bestFit="1" customWidth="1"/>
    <col min="75" max="83" width="117.26953125" style="1" bestFit="1" customWidth="1"/>
    <col min="84" max="86" width="118.26953125" style="1" bestFit="1" customWidth="1"/>
    <col min="87" max="87" width="120.7265625" style="1" bestFit="1" customWidth="1"/>
    <col min="88" max="88" width="76.6328125" style="1" bestFit="1" customWidth="1"/>
    <col min="89" max="89" width="100.26953125" style="1" bestFit="1" customWidth="1"/>
    <col min="90" max="90" width="84.36328125" style="1" bestFit="1" customWidth="1"/>
    <col min="91" max="91" width="98.6328125" style="1" bestFit="1" customWidth="1"/>
    <col min="92" max="92" width="81.90625" style="1" bestFit="1" customWidth="1"/>
    <col min="93" max="93" width="84.7265625" style="1" bestFit="1" customWidth="1"/>
    <col min="94" max="94" width="88.54296875" style="1" bestFit="1" customWidth="1"/>
    <col min="95" max="95" width="40.54296875" style="1" bestFit="1" customWidth="1"/>
    <col min="96" max="96" width="53.36328125" style="1" bestFit="1" customWidth="1"/>
    <col min="97" max="97" width="23.90625" style="1" bestFit="1" customWidth="1"/>
    <col min="98" max="98" width="24.7265625" style="1" bestFit="1" customWidth="1"/>
    <col min="99" max="99" width="69.54296875" style="1" bestFit="1" customWidth="1"/>
    <col min="100" max="16384" width="8.90625" style="1"/>
  </cols>
  <sheetData>
    <row r="1" spans="1:99" s="6" customFormat="1" x14ac:dyDescent="0.35">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6" t="s">
        <v>15</v>
      </c>
      <c r="Q1" s="6" t="s">
        <v>16</v>
      </c>
      <c r="R1" s="6" t="s">
        <v>17</v>
      </c>
      <c r="S1" s="6" t="s">
        <v>18</v>
      </c>
      <c r="T1" s="6" t="s">
        <v>19</v>
      </c>
      <c r="U1" s="6" t="s">
        <v>20</v>
      </c>
      <c r="V1" s="6" t="s">
        <v>21</v>
      </c>
      <c r="W1" s="6" t="s">
        <v>22</v>
      </c>
      <c r="X1" s="6" t="s">
        <v>23</v>
      </c>
      <c r="Y1" s="6" t="s">
        <v>24</v>
      </c>
      <c r="Z1" s="6" t="s">
        <v>25</v>
      </c>
      <c r="AA1" s="6" t="s">
        <v>26</v>
      </c>
      <c r="AB1" s="6" t="s">
        <v>27</v>
      </c>
      <c r="AC1" s="6" t="s">
        <v>28</v>
      </c>
      <c r="AD1" s="6" t="s">
        <v>29</v>
      </c>
      <c r="AE1" s="6" t="s">
        <v>30</v>
      </c>
      <c r="AF1" s="6" t="s">
        <v>31</v>
      </c>
      <c r="AG1" s="6" t="s">
        <v>32</v>
      </c>
      <c r="AH1" s="6" t="s">
        <v>33</v>
      </c>
      <c r="AI1" s="6" t="s">
        <v>33</v>
      </c>
      <c r="AJ1" s="6" t="s">
        <v>34</v>
      </c>
      <c r="AK1" s="6" t="s">
        <v>34</v>
      </c>
      <c r="AL1" s="6" t="s">
        <v>33</v>
      </c>
      <c r="AM1" s="6" t="s">
        <v>34</v>
      </c>
      <c r="AN1" s="6" t="s">
        <v>34</v>
      </c>
      <c r="AO1" s="6" t="s">
        <v>34</v>
      </c>
      <c r="AP1" s="6" t="s">
        <v>34</v>
      </c>
      <c r="AQ1" s="6" t="s">
        <v>34</v>
      </c>
      <c r="AR1" s="6" t="s">
        <v>34</v>
      </c>
      <c r="AS1" s="6" t="s">
        <v>34</v>
      </c>
      <c r="AT1" s="6" t="s">
        <v>34</v>
      </c>
      <c r="AU1" s="6" t="s">
        <v>34</v>
      </c>
      <c r="AV1" s="6" t="s">
        <v>34</v>
      </c>
      <c r="AW1" s="6" t="s">
        <v>34</v>
      </c>
      <c r="AX1" s="6" t="s">
        <v>34</v>
      </c>
      <c r="AY1" s="6" t="s">
        <v>34</v>
      </c>
      <c r="AZ1" s="6" t="s">
        <v>34</v>
      </c>
      <c r="BA1" s="6" t="s">
        <v>33</v>
      </c>
      <c r="BB1" s="6" t="s">
        <v>33</v>
      </c>
      <c r="BC1" s="6" t="s">
        <v>33</v>
      </c>
      <c r="BD1" s="6" t="s">
        <v>34</v>
      </c>
      <c r="BE1" s="6" t="s">
        <v>34</v>
      </c>
      <c r="BF1" s="6" t="s">
        <v>34</v>
      </c>
      <c r="BG1" s="6" t="s">
        <v>34</v>
      </c>
      <c r="BH1" s="6" t="s">
        <v>34</v>
      </c>
      <c r="BI1" s="6" t="s">
        <v>34</v>
      </c>
      <c r="BJ1" s="6" t="s">
        <v>34</v>
      </c>
      <c r="BK1" s="6" t="s">
        <v>34</v>
      </c>
      <c r="BL1" s="6" t="s">
        <v>34</v>
      </c>
      <c r="BM1" s="6" t="s">
        <v>33</v>
      </c>
      <c r="BN1" s="6" t="s">
        <v>33</v>
      </c>
      <c r="BO1" s="6" t="s">
        <v>33</v>
      </c>
      <c r="BP1" s="6" t="s">
        <v>35</v>
      </c>
      <c r="BQ1" s="6" t="s">
        <v>36</v>
      </c>
      <c r="BR1" s="6" t="s">
        <v>37</v>
      </c>
      <c r="BS1" s="6" t="s">
        <v>38</v>
      </c>
      <c r="BT1" s="6" t="s">
        <v>39</v>
      </c>
      <c r="BU1" s="6" t="s">
        <v>40</v>
      </c>
      <c r="BV1" s="6" t="s">
        <v>41</v>
      </c>
      <c r="BW1" s="6" t="s">
        <v>42</v>
      </c>
      <c r="BX1" s="6" t="s">
        <v>43</v>
      </c>
      <c r="BY1" s="6" t="s">
        <v>44</v>
      </c>
      <c r="BZ1" s="6" t="s">
        <v>45</v>
      </c>
      <c r="CA1" s="6" t="s">
        <v>46</v>
      </c>
      <c r="CB1" s="6" t="s">
        <v>47</v>
      </c>
      <c r="CC1" s="6" t="s">
        <v>48</v>
      </c>
      <c r="CD1" s="6" t="s">
        <v>49</v>
      </c>
      <c r="CE1" s="6" t="s">
        <v>50</v>
      </c>
      <c r="CF1" s="6" t="s">
        <v>51</v>
      </c>
      <c r="CG1" s="6" t="s">
        <v>52</v>
      </c>
      <c r="CH1" s="6" t="s">
        <v>53</v>
      </c>
      <c r="CI1" s="6" t="s">
        <v>54</v>
      </c>
      <c r="CJ1" s="6" t="s">
        <v>55</v>
      </c>
      <c r="CK1" s="6" t="s">
        <v>56</v>
      </c>
      <c r="CL1" s="6" t="s">
        <v>57</v>
      </c>
      <c r="CM1" s="6" t="s">
        <v>58</v>
      </c>
      <c r="CN1" s="6" t="s">
        <v>59</v>
      </c>
      <c r="CO1" s="6" t="s">
        <v>60</v>
      </c>
      <c r="CP1" s="6" t="s">
        <v>61</v>
      </c>
      <c r="CQ1" s="6" t="s">
        <v>62</v>
      </c>
      <c r="CR1" s="6" t="s">
        <v>63</v>
      </c>
      <c r="CS1" s="6" t="s">
        <v>64</v>
      </c>
      <c r="CT1" s="6" t="s">
        <v>65</v>
      </c>
      <c r="CU1" s="6" t="s">
        <v>66</v>
      </c>
    </row>
    <row r="2" spans="1:99" x14ac:dyDescent="0.35">
      <c r="A2" s="1" t="s">
        <v>194</v>
      </c>
      <c r="B2" s="1">
        <v>185111001</v>
      </c>
      <c r="C2" s="1">
        <v>0</v>
      </c>
      <c r="D2" s="1">
        <v>0</v>
      </c>
      <c r="E2" s="1">
        <v>0</v>
      </c>
      <c r="F2" s="1">
        <v>0</v>
      </c>
      <c r="G2" s="1">
        <v>0</v>
      </c>
      <c r="H2" s="1">
        <v>0</v>
      </c>
      <c r="I2" s="1">
        <v>0</v>
      </c>
      <c r="J2" s="1">
        <v>0</v>
      </c>
      <c r="K2" s="1">
        <v>1</v>
      </c>
      <c r="L2" s="1">
        <v>0</v>
      </c>
      <c r="M2" s="1">
        <v>0</v>
      </c>
      <c r="N2" s="1">
        <v>0</v>
      </c>
      <c r="O2" s="1">
        <v>0</v>
      </c>
      <c r="P2" s="1">
        <v>0</v>
      </c>
      <c r="Q2" s="1">
        <v>1</v>
      </c>
      <c r="R2" s="1">
        <v>1</v>
      </c>
      <c r="S2" s="1">
        <v>1</v>
      </c>
      <c r="T2" s="1">
        <v>1</v>
      </c>
      <c r="U2" s="1">
        <v>3</v>
      </c>
      <c r="V2" s="1">
        <v>3</v>
      </c>
      <c r="W2" s="1">
        <v>3</v>
      </c>
      <c r="X2" s="1">
        <v>3</v>
      </c>
      <c r="Y2" s="1">
        <v>3</v>
      </c>
      <c r="Z2" s="1">
        <v>3</v>
      </c>
      <c r="AA2" s="1">
        <v>3</v>
      </c>
      <c r="AC2" s="1">
        <v>1</v>
      </c>
      <c r="AD2" s="1">
        <v>0</v>
      </c>
      <c r="AF2" s="3">
        <v>6900000</v>
      </c>
      <c r="AG2" s="1">
        <v>11</v>
      </c>
      <c r="AR2" s="1" t="s">
        <v>118</v>
      </c>
      <c r="BP2" s="1">
        <v>3</v>
      </c>
      <c r="BQ2" s="1" t="s">
        <v>195</v>
      </c>
      <c r="BR2" s="1" t="s">
        <v>196</v>
      </c>
      <c r="BT2" s="1" t="s">
        <v>73</v>
      </c>
      <c r="BU2" s="1">
        <v>4</v>
      </c>
      <c r="BV2" s="1">
        <v>2</v>
      </c>
      <c r="BW2" s="1">
        <v>0</v>
      </c>
      <c r="BX2" s="1">
        <v>0</v>
      </c>
      <c r="BY2" s="1">
        <v>0</v>
      </c>
      <c r="BZ2" s="1">
        <v>0</v>
      </c>
      <c r="CA2" s="1">
        <v>0</v>
      </c>
      <c r="CB2" s="1">
        <v>0</v>
      </c>
      <c r="CC2" s="1">
        <v>0</v>
      </c>
      <c r="CD2" s="1">
        <v>1</v>
      </c>
      <c r="CE2" s="1">
        <v>0</v>
      </c>
      <c r="CF2" s="1">
        <v>0</v>
      </c>
      <c r="CG2" s="1">
        <v>0</v>
      </c>
      <c r="CH2" s="1">
        <v>0</v>
      </c>
      <c r="CI2" s="1">
        <v>0</v>
      </c>
      <c r="CJ2" s="1">
        <v>3</v>
      </c>
      <c r="CK2" s="1">
        <v>3</v>
      </c>
      <c r="CL2" s="1">
        <v>3</v>
      </c>
      <c r="CM2" s="1">
        <v>3</v>
      </c>
      <c r="CN2" s="1">
        <v>3</v>
      </c>
      <c r="CO2" s="1">
        <v>3</v>
      </c>
      <c r="CP2" s="1">
        <v>3</v>
      </c>
      <c r="CU2" s="1">
        <v>1</v>
      </c>
    </row>
    <row r="3" spans="1:99" x14ac:dyDescent="0.35">
      <c r="A3" s="1" t="s">
        <v>197</v>
      </c>
      <c r="B3" s="1">
        <v>185111003</v>
      </c>
      <c r="C3" s="1">
        <v>0</v>
      </c>
      <c r="D3" s="1">
        <v>1</v>
      </c>
      <c r="E3" s="1">
        <v>0</v>
      </c>
      <c r="F3" s="1">
        <v>0</v>
      </c>
      <c r="G3" s="1">
        <v>0</v>
      </c>
      <c r="H3" s="1">
        <v>0</v>
      </c>
      <c r="I3" s="1">
        <v>0</v>
      </c>
      <c r="J3" s="1">
        <v>0</v>
      </c>
      <c r="K3" s="1">
        <v>1</v>
      </c>
      <c r="L3" s="1">
        <v>0</v>
      </c>
      <c r="M3" s="1">
        <v>0</v>
      </c>
      <c r="N3" s="1">
        <v>0</v>
      </c>
      <c r="O3" s="1">
        <v>0</v>
      </c>
      <c r="P3" s="1">
        <f>+- 50</f>
        <v>-50</v>
      </c>
      <c r="Q3" s="1">
        <f>+- 20</f>
        <v>-20</v>
      </c>
      <c r="R3" s="1">
        <f>+- 10</f>
        <v>-10</v>
      </c>
      <c r="S3" s="1">
        <v>1</v>
      </c>
      <c r="T3" s="1">
        <v>1</v>
      </c>
      <c r="U3" s="1">
        <v>4</v>
      </c>
      <c r="V3" s="1">
        <v>3</v>
      </c>
      <c r="W3" s="1">
        <v>3</v>
      </c>
      <c r="X3" s="1">
        <v>3</v>
      </c>
      <c r="Y3" s="1">
        <v>3</v>
      </c>
      <c r="Z3" s="1">
        <v>3</v>
      </c>
      <c r="AA3" s="1">
        <v>3</v>
      </c>
      <c r="AC3" s="1">
        <v>1</v>
      </c>
      <c r="AD3" s="1">
        <v>6</v>
      </c>
      <c r="AF3" s="3">
        <v>3500000</v>
      </c>
      <c r="AG3" s="1">
        <v>13</v>
      </c>
      <c r="AT3" s="1" t="s">
        <v>86</v>
      </c>
      <c r="BP3" s="1">
        <v>3</v>
      </c>
      <c r="BQ3" s="1" t="s">
        <v>198</v>
      </c>
      <c r="BR3" s="1" t="s">
        <v>199</v>
      </c>
      <c r="BT3" s="1" t="s">
        <v>79</v>
      </c>
      <c r="BU3" s="1">
        <v>2</v>
      </c>
      <c r="BV3" s="1">
        <v>2</v>
      </c>
      <c r="BW3" s="1">
        <v>1</v>
      </c>
      <c r="BX3" s="1">
        <v>0</v>
      </c>
      <c r="BY3" s="1">
        <v>0</v>
      </c>
      <c r="BZ3" s="1">
        <v>0</v>
      </c>
      <c r="CA3" s="1">
        <v>0</v>
      </c>
      <c r="CB3" s="1">
        <v>0</v>
      </c>
      <c r="CC3" s="1">
        <v>0</v>
      </c>
      <c r="CD3" s="1">
        <v>0</v>
      </c>
      <c r="CE3" s="1">
        <v>0</v>
      </c>
      <c r="CF3" s="1">
        <v>0</v>
      </c>
      <c r="CG3" s="1">
        <v>0</v>
      </c>
      <c r="CH3" s="1">
        <v>0</v>
      </c>
      <c r="CI3" s="1">
        <v>0</v>
      </c>
      <c r="CJ3" s="1">
        <v>4</v>
      </c>
      <c r="CK3" s="1">
        <v>4</v>
      </c>
      <c r="CL3" s="1">
        <v>4</v>
      </c>
      <c r="CM3" s="1">
        <v>4</v>
      </c>
      <c r="CN3" s="1">
        <v>4</v>
      </c>
      <c r="CO3" s="1">
        <v>4</v>
      </c>
      <c r="CP3" s="1">
        <v>4</v>
      </c>
      <c r="CU3" s="1">
        <v>1</v>
      </c>
    </row>
    <row r="4" spans="1:99" x14ac:dyDescent="0.35">
      <c r="A4" s="1" t="s">
        <v>200</v>
      </c>
      <c r="B4" s="1">
        <v>185111005</v>
      </c>
      <c r="C4" s="1">
        <v>0</v>
      </c>
      <c r="D4" s="1">
        <v>1</v>
      </c>
      <c r="E4" s="1">
        <v>0</v>
      </c>
      <c r="F4" s="1">
        <v>0</v>
      </c>
      <c r="G4" s="1">
        <v>0</v>
      </c>
      <c r="H4" s="1">
        <v>1</v>
      </c>
      <c r="I4" s="1">
        <v>0</v>
      </c>
      <c r="J4" s="1">
        <v>0</v>
      </c>
      <c r="K4" s="1">
        <v>0</v>
      </c>
      <c r="L4" s="1">
        <v>0</v>
      </c>
      <c r="M4" s="1">
        <v>0</v>
      </c>
      <c r="N4" s="1">
        <v>0</v>
      </c>
      <c r="O4" s="1">
        <v>0</v>
      </c>
      <c r="P4" s="1">
        <v>15</v>
      </c>
      <c r="Q4" s="1">
        <v>2</v>
      </c>
      <c r="R4" s="1">
        <v>1</v>
      </c>
      <c r="S4" s="1">
        <v>1</v>
      </c>
      <c r="T4" s="1">
        <v>1</v>
      </c>
      <c r="U4" s="1">
        <v>4</v>
      </c>
      <c r="V4" s="1">
        <v>3</v>
      </c>
      <c r="W4" s="1">
        <v>2</v>
      </c>
      <c r="X4" s="1">
        <v>3</v>
      </c>
      <c r="Y4" s="1">
        <v>3</v>
      </c>
      <c r="Z4" s="1">
        <v>4</v>
      </c>
      <c r="AA4" s="1">
        <v>3</v>
      </c>
      <c r="AC4" s="1">
        <v>1</v>
      </c>
      <c r="AD4" s="1">
        <v>2</v>
      </c>
      <c r="AF4" s="3">
        <v>3960000</v>
      </c>
      <c r="AG4" s="1">
        <v>13</v>
      </c>
      <c r="AT4" s="1" t="s">
        <v>86</v>
      </c>
      <c r="BP4" s="1">
        <v>3</v>
      </c>
      <c r="BQ4" s="1" t="s">
        <v>201</v>
      </c>
      <c r="BR4" s="1" t="s">
        <v>202</v>
      </c>
      <c r="BS4" s="1" t="s">
        <v>203</v>
      </c>
      <c r="BT4" s="1" t="s">
        <v>79</v>
      </c>
      <c r="BU4" s="1">
        <v>1</v>
      </c>
      <c r="BV4" s="1">
        <v>1</v>
      </c>
      <c r="BW4" s="1">
        <v>1</v>
      </c>
      <c r="BX4" s="1">
        <v>0</v>
      </c>
      <c r="BY4" s="1">
        <v>0</v>
      </c>
      <c r="BZ4" s="1">
        <v>0</v>
      </c>
      <c r="CA4" s="1">
        <v>0</v>
      </c>
      <c r="CB4" s="1">
        <v>0</v>
      </c>
      <c r="CC4" s="1">
        <v>0</v>
      </c>
      <c r="CD4" s="1">
        <v>0</v>
      </c>
      <c r="CE4" s="1">
        <v>0</v>
      </c>
      <c r="CF4" s="1">
        <v>0</v>
      </c>
      <c r="CG4" s="1">
        <v>0</v>
      </c>
      <c r="CH4" s="1">
        <v>0</v>
      </c>
      <c r="CI4" s="1">
        <v>0</v>
      </c>
      <c r="CJ4" s="1">
        <v>4</v>
      </c>
      <c r="CK4" s="1">
        <v>4</v>
      </c>
      <c r="CL4" s="1">
        <v>3</v>
      </c>
      <c r="CM4" s="1">
        <v>4</v>
      </c>
      <c r="CN4" s="1">
        <v>4</v>
      </c>
      <c r="CO4" s="1">
        <v>4</v>
      </c>
      <c r="CP4" s="1">
        <v>4</v>
      </c>
      <c r="CU4" s="1">
        <v>1</v>
      </c>
    </row>
    <row r="5" spans="1:99" x14ac:dyDescent="0.35">
      <c r="A5" s="1" t="s">
        <v>204</v>
      </c>
      <c r="B5" s="1">
        <v>185111006</v>
      </c>
      <c r="C5" s="1">
        <v>0</v>
      </c>
      <c r="D5" s="1">
        <v>1</v>
      </c>
      <c r="E5" s="1">
        <v>0</v>
      </c>
      <c r="F5" s="1">
        <v>0</v>
      </c>
      <c r="G5" s="1">
        <v>0</v>
      </c>
      <c r="H5" s="1">
        <v>1</v>
      </c>
      <c r="I5" s="1">
        <v>1</v>
      </c>
      <c r="J5" s="1">
        <v>1</v>
      </c>
      <c r="K5" s="1">
        <v>1</v>
      </c>
      <c r="L5" s="1">
        <v>1</v>
      </c>
      <c r="M5" s="1">
        <v>0</v>
      </c>
      <c r="N5" s="1">
        <v>0</v>
      </c>
      <c r="O5" s="1">
        <v>0</v>
      </c>
      <c r="P5" s="1">
        <v>2</v>
      </c>
      <c r="Q5" s="1">
        <v>10</v>
      </c>
      <c r="R5" s="1">
        <v>7</v>
      </c>
      <c r="S5" s="1">
        <v>4</v>
      </c>
      <c r="T5" s="1">
        <v>1</v>
      </c>
      <c r="U5" s="1">
        <v>4</v>
      </c>
      <c r="V5" s="1">
        <v>4</v>
      </c>
      <c r="W5" s="1">
        <v>3</v>
      </c>
      <c r="X5" s="1">
        <v>4</v>
      </c>
      <c r="Y5" s="1">
        <v>3</v>
      </c>
      <c r="Z5" s="1">
        <v>4</v>
      </c>
      <c r="AA5" s="1">
        <v>4</v>
      </c>
      <c r="CQ5" s="1">
        <v>1</v>
      </c>
      <c r="CR5" s="1" t="s">
        <v>205</v>
      </c>
      <c r="CS5" s="1" t="s">
        <v>206</v>
      </c>
      <c r="CT5" s="5">
        <v>44802</v>
      </c>
      <c r="CU5" s="1">
        <v>4</v>
      </c>
    </row>
    <row r="6" spans="1:99" x14ac:dyDescent="0.35">
      <c r="A6" s="1" t="s">
        <v>207</v>
      </c>
      <c r="B6" s="1">
        <v>185111007</v>
      </c>
      <c r="S6" s="1">
        <v>2</v>
      </c>
      <c r="T6" s="1">
        <v>3</v>
      </c>
      <c r="U6" s="1">
        <v>4</v>
      </c>
      <c r="V6" s="1">
        <v>3</v>
      </c>
      <c r="W6" s="1">
        <v>2</v>
      </c>
      <c r="X6" s="1">
        <v>4</v>
      </c>
      <c r="Y6" s="1">
        <v>4</v>
      </c>
      <c r="Z6" s="1">
        <v>4</v>
      </c>
      <c r="AA6" s="1">
        <v>4</v>
      </c>
      <c r="CU6" s="1">
        <v>1</v>
      </c>
    </row>
    <row r="7" spans="1:99" x14ac:dyDescent="0.35">
      <c r="A7" s="1" t="s">
        <v>208</v>
      </c>
      <c r="B7" s="1">
        <v>185111008</v>
      </c>
      <c r="C7" s="1">
        <v>1</v>
      </c>
      <c r="D7" s="1">
        <v>1</v>
      </c>
      <c r="E7" s="1">
        <v>0</v>
      </c>
      <c r="F7" s="1">
        <v>0</v>
      </c>
      <c r="G7" s="1">
        <v>0</v>
      </c>
      <c r="H7" s="1">
        <v>1</v>
      </c>
      <c r="I7" s="1">
        <v>0</v>
      </c>
      <c r="J7" s="1">
        <v>1</v>
      </c>
      <c r="K7" s="1">
        <v>1</v>
      </c>
      <c r="L7" s="1">
        <v>0</v>
      </c>
      <c r="M7" s="1">
        <v>0</v>
      </c>
      <c r="N7" s="1">
        <v>0</v>
      </c>
      <c r="O7" s="1">
        <v>0</v>
      </c>
      <c r="P7" s="1">
        <v>7</v>
      </c>
      <c r="Q7" s="1">
        <v>2</v>
      </c>
      <c r="R7" s="1">
        <v>1</v>
      </c>
      <c r="S7" s="1">
        <v>1</v>
      </c>
      <c r="T7" s="1">
        <v>1</v>
      </c>
      <c r="U7" s="1">
        <v>4</v>
      </c>
      <c r="V7" s="1">
        <v>3</v>
      </c>
      <c r="W7" s="1">
        <v>3</v>
      </c>
      <c r="X7" s="1">
        <v>3</v>
      </c>
      <c r="Y7" s="1">
        <v>3</v>
      </c>
      <c r="Z7" s="1">
        <v>3</v>
      </c>
      <c r="AA7" s="1">
        <v>4</v>
      </c>
      <c r="AC7" s="1">
        <v>1</v>
      </c>
      <c r="AD7" s="1">
        <v>2</v>
      </c>
      <c r="AF7" s="3">
        <v>3500000</v>
      </c>
      <c r="AG7" s="1">
        <v>13</v>
      </c>
      <c r="AT7" s="1" t="s">
        <v>209</v>
      </c>
      <c r="BP7" s="1">
        <v>3</v>
      </c>
      <c r="BQ7" s="1" t="s">
        <v>210</v>
      </c>
      <c r="BR7" s="1" t="s">
        <v>211</v>
      </c>
      <c r="BS7" s="1" t="s">
        <v>212</v>
      </c>
      <c r="BT7" s="1" t="s">
        <v>107</v>
      </c>
      <c r="BU7" s="1">
        <v>3</v>
      </c>
      <c r="BV7" s="1">
        <v>2</v>
      </c>
      <c r="BW7" s="1">
        <v>0</v>
      </c>
      <c r="BX7" s="1">
        <v>1</v>
      </c>
      <c r="BY7" s="1">
        <v>1</v>
      </c>
      <c r="BZ7" s="1">
        <v>0</v>
      </c>
      <c r="CA7" s="1">
        <v>0</v>
      </c>
      <c r="CB7" s="1">
        <v>0</v>
      </c>
      <c r="CC7" s="1">
        <v>0</v>
      </c>
      <c r="CD7" s="1">
        <v>0</v>
      </c>
      <c r="CE7" s="1">
        <v>0</v>
      </c>
      <c r="CF7" s="1">
        <v>1</v>
      </c>
      <c r="CG7" s="1">
        <v>0</v>
      </c>
      <c r="CH7" s="1">
        <v>1</v>
      </c>
      <c r="CI7" s="1">
        <v>0</v>
      </c>
      <c r="CJ7" s="1">
        <v>4</v>
      </c>
      <c r="CK7" s="1">
        <v>3</v>
      </c>
      <c r="CL7" s="1">
        <v>3</v>
      </c>
      <c r="CM7" s="1">
        <v>3</v>
      </c>
      <c r="CN7" s="1">
        <v>3</v>
      </c>
      <c r="CO7" s="1">
        <v>4</v>
      </c>
      <c r="CP7" s="1">
        <v>4</v>
      </c>
      <c r="CU7" s="1">
        <v>1</v>
      </c>
    </row>
    <row r="8" spans="1:99" x14ac:dyDescent="0.35">
      <c r="A8" s="1" t="s">
        <v>213</v>
      </c>
      <c r="B8" s="1">
        <v>185111009</v>
      </c>
      <c r="C8" s="1">
        <v>0</v>
      </c>
      <c r="D8" s="1">
        <v>1</v>
      </c>
      <c r="E8" s="1">
        <v>0</v>
      </c>
      <c r="F8" s="1">
        <v>0</v>
      </c>
      <c r="G8" s="1">
        <v>0</v>
      </c>
      <c r="H8" s="1">
        <v>1</v>
      </c>
      <c r="I8" s="1">
        <v>0</v>
      </c>
      <c r="J8" s="1">
        <v>1</v>
      </c>
      <c r="K8" s="1">
        <v>1</v>
      </c>
      <c r="L8" s="1">
        <v>0</v>
      </c>
      <c r="M8" s="1">
        <v>0</v>
      </c>
      <c r="N8" s="1">
        <v>0</v>
      </c>
      <c r="O8" s="1">
        <v>0</v>
      </c>
      <c r="P8" s="1">
        <v>30</v>
      </c>
      <c r="Q8" s="1">
        <v>15</v>
      </c>
      <c r="R8" s="1">
        <v>10</v>
      </c>
      <c r="S8" s="1">
        <v>1</v>
      </c>
      <c r="T8" s="1">
        <v>1</v>
      </c>
      <c r="U8" s="1">
        <v>4</v>
      </c>
      <c r="V8" s="1">
        <v>3</v>
      </c>
      <c r="W8" s="1">
        <v>4</v>
      </c>
      <c r="X8" s="1">
        <v>4</v>
      </c>
      <c r="Y8" s="1">
        <v>3</v>
      </c>
      <c r="Z8" s="1">
        <v>4</v>
      </c>
      <c r="AA8" s="1">
        <v>4</v>
      </c>
      <c r="AC8" s="1">
        <v>2</v>
      </c>
      <c r="AE8" s="1">
        <v>11</v>
      </c>
      <c r="AF8" s="3">
        <v>3500000</v>
      </c>
      <c r="AG8" s="1">
        <v>13</v>
      </c>
      <c r="AT8" s="1" t="s">
        <v>86</v>
      </c>
      <c r="BP8" s="1">
        <v>3</v>
      </c>
      <c r="BQ8" s="1" t="s">
        <v>214</v>
      </c>
      <c r="BR8" s="1" t="s">
        <v>215</v>
      </c>
      <c r="BS8" s="1" t="s">
        <v>216</v>
      </c>
      <c r="BT8" s="1" t="s">
        <v>73</v>
      </c>
      <c r="BU8" s="1">
        <v>1</v>
      </c>
      <c r="BV8" s="1">
        <v>1</v>
      </c>
      <c r="BW8" s="1">
        <v>1</v>
      </c>
      <c r="BX8" s="1">
        <v>0</v>
      </c>
      <c r="BY8" s="1">
        <v>0</v>
      </c>
      <c r="BZ8" s="1">
        <v>0</v>
      </c>
      <c r="CA8" s="1">
        <v>0</v>
      </c>
      <c r="CB8" s="1">
        <v>0</v>
      </c>
      <c r="CC8" s="1">
        <v>0</v>
      </c>
      <c r="CD8" s="1">
        <v>0</v>
      </c>
      <c r="CE8" s="1">
        <v>0</v>
      </c>
      <c r="CF8" s="1">
        <v>0</v>
      </c>
      <c r="CG8" s="1">
        <v>0</v>
      </c>
      <c r="CH8" s="1">
        <v>0</v>
      </c>
      <c r="CI8" s="1">
        <v>0</v>
      </c>
      <c r="CJ8" s="1">
        <v>4</v>
      </c>
      <c r="CK8" s="1">
        <v>4</v>
      </c>
      <c r="CL8" s="1">
        <v>4</v>
      </c>
      <c r="CM8" s="1">
        <v>4</v>
      </c>
      <c r="CN8" s="1">
        <v>4</v>
      </c>
      <c r="CO8" s="1">
        <v>4</v>
      </c>
      <c r="CP8" s="1">
        <v>4</v>
      </c>
      <c r="CU8" s="1">
        <v>1</v>
      </c>
    </row>
    <row r="9" spans="1:99" x14ac:dyDescent="0.35">
      <c r="A9" s="1" t="s">
        <v>217</v>
      </c>
      <c r="B9" s="1">
        <v>185111011</v>
      </c>
      <c r="C9" s="1">
        <v>0</v>
      </c>
      <c r="D9" s="1">
        <v>1</v>
      </c>
      <c r="E9" s="1">
        <v>0</v>
      </c>
      <c r="F9" s="1">
        <v>0</v>
      </c>
      <c r="G9" s="1">
        <v>0</v>
      </c>
      <c r="H9" s="1">
        <v>1</v>
      </c>
      <c r="I9" s="1">
        <v>1</v>
      </c>
      <c r="J9" s="1">
        <v>0</v>
      </c>
      <c r="K9" s="1">
        <v>1</v>
      </c>
      <c r="L9" s="1">
        <v>0</v>
      </c>
      <c r="M9" s="1">
        <v>0</v>
      </c>
      <c r="N9" s="1">
        <v>0</v>
      </c>
      <c r="O9" s="1">
        <v>0</v>
      </c>
      <c r="P9" s="1">
        <v>30</v>
      </c>
      <c r="Q9" s="1">
        <v>6</v>
      </c>
      <c r="R9" s="1">
        <v>6</v>
      </c>
      <c r="S9" s="1">
        <v>1</v>
      </c>
      <c r="T9" s="1">
        <v>1</v>
      </c>
      <c r="U9" s="1">
        <v>4</v>
      </c>
      <c r="V9" s="1">
        <v>3</v>
      </c>
      <c r="W9" s="1">
        <v>4</v>
      </c>
      <c r="X9" s="1">
        <v>4</v>
      </c>
      <c r="Y9" s="1">
        <v>3</v>
      </c>
      <c r="Z9" s="1">
        <v>4</v>
      </c>
      <c r="AA9" s="1">
        <v>3</v>
      </c>
      <c r="AC9" s="1">
        <v>1</v>
      </c>
      <c r="AD9" s="1">
        <v>6</v>
      </c>
      <c r="AF9" s="3">
        <v>3500000</v>
      </c>
      <c r="AG9" s="1">
        <v>11</v>
      </c>
      <c r="AR9" s="1" t="s">
        <v>130</v>
      </c>
      <c r="BP9" s="1">
        <v>3</v>
      </c>
      <c r="BQ9" s="1" t="s">
        <v>218</v>
      </c>
      <c r="BR9" s="1" t="s">
        <v>219</v>
      </c>
      <c r="BS9" s="1" t="s">
        <v>220</v>
      </c>
      <c r="BT9" s="1" t="s">
        <v>79</v>
      </c>
      <c r="BU9" s="1">
        <v>1</v>
      </c>
      <c r="BV9" s="1">
        <v>1</v>
      </c>
      <c r="BW9" s="1">
        <v>1</v>
      </c>
      <c r="BX9" s="1">
        <v>0</v>
      </c>
      <c r="BY9" s="1">
        <v>0</v>
      </c>
      <c r="BZ9" s="1">
        <v>0</v>
      </c>
      <c r="CA9" s="1">
        <v>0</v>
      </c>
      <c r="CB9" s="1">
        <v>0</v>
      </c>
      <c r="CC9" s="1">
        <v>0</v>
      </c>
      <c r="CD9" s="1">
        <v>0</v>
      </c>
      <c r="CE9" s="1">
        <v>0</v>
      </c>
      <c r="CF9" s="1">
        <v>0</v>
      </c>
      <c r="CG9" s="1">
        <v>0</v>
      </c>
      <c r="CH9" s="1">
        <v>0</v>
      </c>
      <c r="CI9" s="1">
        <v>0</v>
      </c>
      <c r="CJ9" s="1">
        <v>4</v>
      </c>
      <c r="CK9" s="1">
        <v>3</v>
      </c>
      <c r="CL9" s="1">
        <v>3</v>
      </c>
      <c r="CM9" s="1">
        <v>4</v>
      </c>
      <c r="CN9" s="1">
        <v>4</v>
      </c>
      <c r="CO9" s="1">
        <v>4</v>
      </c>
      <c r="CP9" s="1">
        <v>3</v>
      </c>
      <c r="CU9" s="1">
        <v>1</v>
      </c>
    </row>
    <row r="10" spans="1:99" x14ac:dyDescent="0.35">
      <c r="A10" s="1" t="s">
        <v>221</v>
      </c>
      <c r="B10" s="1">
        <v>185111012</v>
      </c>
      <c r="C10" s="1">
        <v>0</v>
      </c>
      <c r="D10" s="1">
        <v>1</v>
      </c>
      <c r="E10" s="1">
        <v>0</v>
      </c>
      <c r="F10" s="1">
        <v>0</v>
      </c>
      <c r="G10" s="1">
        <v>0</v>
      </c>
      <c r="H10" s="1">
        <v>0</v>
      </c>
      <c r="I10" s="1">
        <v>0</v>
      </c>
      <c r="J10" s="1">
        <v>0</v>
      </c>
      <c r="K10" s="1">
        <v>0</v>
      </c>
      <c r="L10" s="1">
        <v>0</v>
      </c>
      <c r="M10" s="1">
        <v>0</v>
      </c>
      <c r="N10" s="1">
        <v>0</v>
      </c>
      <c r="O10" s="1">
        <v>0</v>
      </c>
      <c r="P10" s="1">
        <v>48</v>
      </c>
      <c r="Q10" s="1">
        <v>13</v>
      </c>
      <c r="R10" s="1">
        <v>12</v>
      </c>
      <c r="S10" s="1">
        <v>1</v>
      </c>
      <c r="T10" s="1">
        <v>1</v>
      </c>
      <c r="U10" s="1">
        <v>3</v>
      </c>
      <c r="V10" s="1">
        <v>2</v>
      </c>
      <c r="W10" s="1">
        <v>3</v>
      </c>
      <c r="X10" s="1">
        <v>3</v>
      </c>
      <c r="Y10" s="1">
        <v>2</v>
      </c>
      <c r="Z10" s="1">
        <v>3</v>
      </c>
      <c r="AA10" s="1">
        <v>3</v>
      </c>
      <c r="AC10" s="1">
        <v>1</v>
      </c>
      <c r="AD10" s="1">
        <v>4</v>
      </c>
      <c r="AF10" s="3">
        <v>6000000</v>
      </c>
      <c r="AG10" s="1">
        <v>11</v>
      </c>
      <c r="AR10" s="1" t="s">
        <v>222</v>
      </c>
      <c r="BP10" s="1">
        <v>3</v>
      </c>
      <c r="BQ10" s="1" t="s">
        <v>223</v>
      </c>
      <c r="BR10" s="1" t="s">
        <v>224</v>
      </c>
      <c r="BT10" s="1" t="s">
        <v>79</v>
      </c>
      <c r="BU10" s="1">
        <v>1</v>
      </c>
      <c r="BV10" s="1">
        <v>2</v>
      </c>
      <c r="BW10" s="1">
        <v>1</v>
      </c>
      <c r="BX10" s="1">
        <v>0</v>
      </c>
      <c r="BY10" s="1">
        <v>0</v>
      </c>
      <c r="BZ10" s="1">
        <v>0</v>
      </c>
      <c r="CA10" s="1">
        <v>0</v>
      </c>
      <c r="CB10" s="1">
        <v>0</v>
      </c>
      <c r="CC10" s="1">
        <v>0</v>
      </c>
      <c r="CD10" s="1">
        <v>0</v>
      </c>
      <c r="CE10" s="1">
        <v>0</v>
      </c>
      <c r="CF10" s="1">
        <v>0</v>
      </c>
      <c r="CG10" s="1">
        <v>0</v>
      </c>
      <c r="CH10" s="1">
        <v>0</v>
      </c>
      <c r="CI10" s="1">
        <v>0</v>
      </c>
      <c r="CJ10" s="1">
        <v>4</v>
      </c>
      <c r="CK10" s="1">
        <v>4</v>
      </c>
      <c r="CL10" s="1">
        <v>2</v>
      </c>
      <c r="CM10" s="1">
        <v>4</v>
      </c>
      <c r="CN10" s="1">
        <v>4</v>
      </c>
      <c r="CO10" s="1">
        <v>4</v>
      </c>
      <c r="CP10" s="1">
        <v>4</v>
      </c>
      <c r="CU10" s="1">
        <v>1</v>
      </c>
    </row>
    <row r="11" spans="1:99" x14ac:dyDescent="0.35">
      <c r="A11" s="1" t="s">
        <v>225</v>
      </c>
      <c r="B11" s="1">
        <v>185111013</v>
      </c>
      <c r="C11" s="1">
        <v>0</v>
      </c>
      <c r="D11" s="1">
        <v>0</v>
      </c>
      <c r="E11" s="1">
        <v>0</v>
      </c>
      <c r="F11" s="1">
        <v>0</v>
      </c>
      <c r="G11" s="1">
        <v>0</v>
      </c>
      <c r="H11" s="1">
        <v>0</v>
      </c>
      <c r="I11" s="1">
        <v>0</v>
      </c>
      <c r="J11" s="1">
        <v>0</v>
      </c>
      <c r="K11" s="1">
        <v>1</v>
      </c>
      <c r="L11" s="1">
        <v>0</v>
      </c>
      <c r="M11" s="1">
        <v>0</v>
      </c>
      <c r="N11" s="1">
        <v>0</v>
      </c>
      <c r="O11" s="1">
        <v>0</v>
      </c>
      <c r="P11" s="1">
        <v>1</v>
      </c>
      <c r="Q11" s="1">
        <v>1</v>
      </c>
      <c r="R11" s="1">
        <v>1</v>
      </c>
      <c r="S11" s="1">
        <v>1</v>
      </c>
      <c r="U11" s="1">
        <v>3</v>
      </c>
      <c r="V11" s="1">
        <v>3</v>
      </c>
      <c r="W11" s="1">
        <v>4</v>
      </c>
      <c r="X11" s="1">
        <v>4</v>
      </c>
      <c r="Y11" s="1">
        <v>3</v>
      </c>
      <c r="Z11" s="1">
        <v>4</v>
      </c>
      <c r="AA11" s="1">
        <v>4</v>
      </c>
      <c r="AC11" s="1">
        <v>1</v>
      </c>
      <c r="AD11" s="1">
        <v>6</v>
      </c>
      <c r="AF11" s="3">
        <v>2500000</v>
      </c>
      <c r="AG11" s="1">
        <v>13</v>
      </c>
      <c r="AT11" s="1" t="s">
        <v>226</v>
      </c>
      <c r="BP11" s="1">
        <v>3</v>
      </c>
      <c r="BQ11" s="1" t="s">
        <v>227</v>
      </c>
      <c r="BR11" s="1" t="s">
        <v>228</v>
      </c>
      <c r="BS11" s="1" t="s">
        <v>229</v>
      </c>
      <c r="BT11" s="1" t="s">
        <v>107</v>
      </c>
      <c r="BU11" s="1">
        <v>4</v>
      </c>
      <c r="BV11" s="1">
        <v>3</v>
      </c>
      <c r="BW11" s="1">
        <v>0</v>
      </c>
      <c r="BX11" s="1">
        <v>1</v>
      </c>
      <c r="BY11" s="1">
        <v>0</v>
      </c>
      <c r="BZ11" s="1">
        <v>0</v>
      </c>
      <c r="CA11" s="1">
        <v>0</v>
      </c>
      <c r="CB11" s="1">
        <v>0</v>
      </c>
      <c r="CC11" s="1">
        <v>0</v>
      </c>
      <c r="CD11" s="1">
        <v>0</v>
      </c>
      <c r="CE11" s="1">
        <v>0</v>
      </c>
      <c r="CF11" s="1">
        <v>0</v>
      </c>
      <c r="CG11" s="1">
        <v>0</v>
      </c>
      <c r="CH11" s="1">
        <v>1</v>
      </c>
      <c r="CI11" s="1">
        <v>0</v>
      </c>
      <c r="CJ11" s="1">
        <v>4</v>
      </c>
      <c r="CK11" s="1">
        <v>3</v>
      </c>
      <c r="CL11" s="1">
        <v>4</v>
      </c>
      <c r="CM11" s="1">
        <v>4</v>
      </c>
      <c r="CN11" s="1">
        <v>3</v>
      </c>
      <c r="CO11" s="1">
        <v>3</v>
      </c>
      <c r="CP11" s="1">
        <v>3</v>
      </c>
      <c r="CU11" s="1">
        <v>4</v>
      </c>
    </row>
    <row r="12" spans="1:99" x14ac:dyDescent="0.35">
      <c r="A12" s="1" t="s">
        <v>230</v>
      </c>
      <c r="B12" s="1">
        <v>185111014</v>
      </c>
      <c r="C12" s="1">
        <v>0</v>
      </c>
      <c r="D12" s="1">
        <v>1</v>
      </c>
      <c r="E12" s="1">
        <v>0</v>
      </c>
      <c r="F12" s="1">
        <v>0</v>
      </c>
      <c r="G12" s="1">
        <v>0</v>
      </c>
      <c r="H12" s="1">
        <v>0</v>
      </c>
      <c r="I12" s="1">
        <v>0</v>
      </c>
      <c r="J12" s="1">
        <v>0</v>
      </c>
      <c r="K12" s="1">
        <v>1</v>
      </c>
      <c r="L12" s="1">
        <v>0</v>
      </c>
      <c r="M12" s="1">
        <v>0</v>
      </c>
      <c r="N12" s="1">
        <v>0</v>
      </c>
      <c r="O12" s="1">
        <v>0</v>
      </c>
      <c r="P12" s="1">
        <v>20</v>
      </c>
      <c r="Q12" s="1">
        <v>7</v>
      </c>
      <c r="R12" s="1">
        <v>4</v>
      </c>
      <c r="S12" s="1">
        <v>1</v>
      </c>
      <c r="T12" s="1">
        <v>1</v>
      </c>
      <c r="U12" s="1">
        <v>4</v>
      </c>
      <c r="V12" s="1">
        <v>3</v>
      </c>
      <c r="W12" s="1">
        <v>3</v>
      </c>
      <c r="X12" s="1">
        <v>3</v>
      </c>
      <c r="Y12" s="1">
        <v>3</v>
      </c>
      <c r="Z12" s="1">
        <v>3</v>
      </c>
      <c r="AA12" s="1">
        <v>3</v>
      </c>
      <c r="AC12" s="1">
        <v>1</v>
      </c>
      <c r="AD12" s="1">
        <v>5</v>
      </c>
      <c r="AF12" s="3">
        <v>2500000</v>
      </c>
      <c r="AG12" s="1">
        <v>13</v>
      </c>
      <c r="AT12" s="1" t="s">
        <v>86</v>
      </c>
      <c r="BP12" s="1">
        <v>3</v>
      </c>
      <c r="BQ12" s="1" t="s">
        <v>231</v>
      </c>
      <c r="BR12" s="1" t="s">
        <v>232</v>
      </c>
      <c r="BS12" s="1" t="s">
        <v>233</v>
      </c>
      <c r="BT12" s="1" t="s">
        <v>79</v>
      </c>
      <c r="BU12" s="1">
        <v>3</v>
      </c>
      <c r="BV12" s="1">
        <v>2</v>
      </c>
      <c r="BW12" s="1">
        <v>0</v>
      </c>
      <c r="BX12" s="1">
        <v>1</v>
      </c>
      <c r="BY12" s="1">
        <v>0</v>
      </c>
      <c r="BZ12" s="1">
        <v>0</v>
      </c>
      <c r="CA12" s="1">
        <v>0</v>
      </c>
      <c r="CB12" s="1">
        <v>0</v>
      </c>
      <c r="CC12" s="1">
        <v>0</v>
      </c>
      <c r="CD12" s="1">
        <v>0</v>
      </c>
      <c r="CE12" s="1">
        <v>0</v>
      </c>
      <c r="CF12" s="1">
        <v>0</v>
      </c>
      <c r="CG12" s="1">
        <v>0</v>
      </c>
      <c r="CH12" s="1">
        <v>1</v>
      </c>
      <c r="CI12" s="1" t="s">
        <v>234</v>
      </c>
      <c r="CJ12" s="1">
        <v>4</v>
      </c>
      <c r="CK12" s="1">
        <v>3</v>
      </c>
      <c r="CL12" s="1">
        <v>3</v>
      </c>
      <c r="CM12" s="1">
        <v>3</v>
      </c>
      <c r="CN12" s="1">
        <v>3</v>
      </c>
      <c r="CO12" s="1">
        <v>3</v>
      </c>
      <c r="CP12" s="1">
        <v>3</v>
      </c>
      <c r="CU12" s="1">
        <v>1</v>
      </c>
    </row>
    <row r="13" spans="1:99" x14ac:dyDescent="0.35">
      <c r="A13" s="1" t="s">
        <v>235</v>
      </c>
      <c r="B13" s="1">
        <v>185111015</v>
      </c>
      <c r="C13" s="1">
        <v>0</v>
      </c>
      <c r="D13" s="1">
        <v>0</v>
      </c>
      <c r="E13" s="1">
        <v>0</v>
      </c>
      <c r="F13" s="1">
        <v>0</v>
      </c>
      <c r="G13" s="1">
        <v>0</v>
      </c>
      <c r="H13" s="1">
        <v>0</v>
      </c>
      <c r="I13" s="1">
        <v>0</v>
      </c>
      <c r="J13" s="1">
        <v>0</v>
      </c>
      <c r="K13" s="1">
        <v>0</v>
      </c>
      <c r="L13" s="1">
        <v>1</v>
      </c>
      <c r="M13" s="1">
        <v>0</v>
      </c>
      <c r="N13" s="1">
        <v>0</v>
      </c>
      <c r="O13" s="1">
        <v>0</v>
      </c>
      <c r="P13" s="1">
        <v>0</v>
      </c>
      <c r="Q13" s="1">
        <v>0</v>
      </c>
      <c r="R13" s="1">
        <v>0</v>
      </c>
      <c r="S13" s="1">
        <v>3</v>
      </c>
      <c r="T13" s="1">
        <v>1</v>
      </c>
      <c r="U13" s="1">
        <v>4</v>
      </c>
      <c r="V13" s="1">
        <v>4</v>
      </c>
      <c r="W13" s="1">
        <v>4</v>
      </c>
      <c r="X13" s="1">
        <v>4</v>
      </c>
      <c r="Y13" s="1">
        <v>4</v>
      </c>
      <c r="Z13" s="1">
        <v>4</v>
      </c>
      <c r="AA13" s="1">
        <v>4</v>
      </c>
      <c r="AB13" s="1">
        <v>1</v>
      </c>
      <c r="AC13" s="1">
        <v>1</v>
      </c>
      <c r="AD13" s="1">
        <v>5</v>
      </c>
      <c r="AF13" s="3">
        <v>5000000</v>
      </c>
      <c r="AG13" s="1">
        <v>18</v>
      </c>
      <c r="AY13" s="1" t="s">
        <v>236</v>
      </c>
      <c r="BP13" s="1">
        <v>4</v>
      </c>
      <c r="BQ13" s="1" t="s">
        <v>237</v>
      </c>
      <c r="BT13" s="1" t="s">
        <v>107</v>
      </c>
      <c r="BU13" s="1">
        <v>2</v>
      </c>
      <c r="BV13" s="1">
        <v>2</v>
      </c>
      <c r="BW13" s="1">
        <v>1</v>
      </c>
      <c r="BX13" s="1">
        <v>0</v>
      </c>
      <c r="BY13" s="1">
        <v>0</v>
      </c>
      <c r="BZ13" s="1">
        <v>0</v>
      </c>
      <c r="CA13" s="1">
        <v>0</v>
      </c>
      <c r="CB13" s="1">
        <v>0</v>
      </c>
      <c r="CC13" s="1">
        <v>0</v>
      </c>
      <c r="CD13" s="1">
        <v>0</v>
      </c>
      <c r="CE13" s="1">
        <v>0</v>
      </c>
      <c r="CF13" s="1">
        <v>0</v>
      </c>
      <c r="CG13" s="1">
        <v>0</v>
      </c>
      <c r="CH13" s="1">
        <v>0</v>
      </c>
      <c r="CI13" s="1">
        <v>0</v>
      </c>
      <c r="CJ13" s="1">
        <v>4</v>
      </c>
      <c r="CK13" s="1">
        <v>4</v>
      </c>
      <c r="CL13" s="1">
        <v>4</v>
      </c>
      <c r="CM13" s="1">
        <v>4</v>
      </c>
      <c r="CN13" s="1">
        <v>4</v>
      </c>
      <c r="CO13" s="1">
        <v>4</v>
      </c>
      <c r="CP13" s="1">
        <v>4</v>
      </c>
      <c r="CU13" s="1">
        <v>2</v>
      </c>
    </row>
    <row r="14" spans="1:99" x14ac:dyDescent="0.35">
      <c r="A14" s="1" t="s">
        <v>238</v>
      </c>
      <c r="B14" s="1">
        <v>185111016</v>
      </c>
      <c r="C14" s="1">
        <v>0</v>
      </c>
      <c r="D14" s="1">
        <v>1</v>
      </c>
      <c r="E14" s="1">
        <v>0</v>
      </c>
      <c r="F14" s="1">
        <v>0</v>
      </c>
      <c r="G14" s="1">
        <v>0</v>
      </c>
      <c r="H14" s="1">
        <v>0</v>
      </c>
      <c r="I14" s="1">
        <v>0</v>
      </c>
      <c r="J14" s="1">
        <v>0</v>
      </c>
      <c r="K14" s="1">
        <v>1</v>
      </c>
      <c r="L14" s="1">
        <v>0</v>
      </c>
      <c r="M14" s="1">
        <v>0</v>
      </c>
      <c r="N14" s="1">
        <v>0</v>
      </c>
      <c r="O14" s="1">
        <v>0</v>
      </c>
      <c r="P14" s="1">
        <v>10</v>
      </c>
      <c r="Q14" s="1">
        <v>8</v>
      </c>
      <c r="R14" s="1">
        <v>4</v>
      </c>
      <c r="S14" s="1">
        <v>1</v>
      </c>
      <c r="T14" s="1">
        <v>1</v>
      </c>
      <c r="U14" s="1">
        <v>4</v>
      </c>
      <c r="V14" s="1">
        <v>2</v>
      </c>
      <c r="W14" s="1">
        <v>3</v>
      </c>
      <c r="X14" s="1">
        <v>3</v>
      </c>
      <c r="Y14" s="1">
        <v>3</v>
      </c>
      <c r="Z14" s="1">
        <v>4</v>
      </c>
      <c r="AA14" s="1">
        <v>3</v>
      </c>
      <c r="AC14" s="1">
        <v>1</v>
      </c>
      <c r="AD14" s="1">
        <v>5</v>
      </c>
      <c r="AE14" s="1">
        <v>5</v>
      </c>
      <c r="AF14" s="3">
        <v>4000000</v>
      </c>
      <c r="AG14" s="1">
        <v>11</v>
      </c>
      <c r="AR14" s="1" t="s">
        <v>239</v>
      </c>
      <c r="BP14" s="1">
        <v>3</v>
      </c>
      <c r="BQ14" s="1" t="s">
        <v>240</v>
      </c>
      <c r="BR14" s="1" t="s">
        <v>241</v>
      </c>
      <c r="BS14" s="1" t="s">
        <v>242</v>
      </c>
      <c r="BT14" s="1" t="s">
        <v>73</v>
      </c>
      <c r="BU14" s="1">
        <v>1</v>
      </c>
      <c r="BV14" s="1">
        <v>2</v>
      </c>
      <c r="BW14" s="1">
        <v>1</v>
      </c>
      <c r="BX14" s="1">
        <v>0</v>
      </c>
      <c r="BY14" s="1">
        <v>0</v>
      </c>
      <c r="BZ14" s="1">
        <v>0</v>
      </c>
      <c r="CA14" s="1">
        <v>0</v>
      </c>
      <c r="CB14" s="1">
        <v>0</v>
      </c>
      <c r="CC14" s="1">
        <v>0</v>
      </c>
      <c r="CD14" s="1">
        <v>0</v>
      </c>
      <c r="CE14" s="1">
        <v>0</v>
      </c>
      <c r="CF14" s="1">
        <v>0</v>
      </c>
      <c r="CG14" s="1">
        <v>0</v>
      </c>
      <c r="CH14" s="1">
        <v>0</v>
      </c>
      <c r="CI14" s="1">
        <v>0</v>
      </c>
      <c r="CJ14" s="1">
        <v>4</v>
      </c>
      <c r="CK14" s="1">
        <v>3</v>
      </c>
      <c r="CL14" s="1">
        <v>3</v>
      </c>
      <c r="CM14" s="1">
        <v>3</v>
      </c>
      <c r="CN14" s="1">
        <v>4</v>
      </c>
      <c r="CO14" s="1">
        <v>4</v>
      </c>
      <c r="CP14" s="1">
        <v>4</v>
      </c>
      <c r="CU14" s="1">
        <v>1</v>
      </c>
    </row>
    <row r="15" spans="1:99" x14ac:dyDescent="0.35">
      <c r="A15" s="1" t="s">
        <v>243</v>
      </c>
      <c r="B15" s="1">
        <v>185111017</v>
      </c>
      <c r="C15" s="1">
        <v>0</v>
      </c>
      <c r="D15" s="1">
        <v>1</v>
      </c>
      <c r="E15" s="1">
        <v>0</v>
      </c>
      <c r="F15" s="1">
        <v>0</v>
      </c>
      <c r="G15" s="1">
        <v>0</v>
      </c>
      <c r="H15" s="1">
        <v>0</v>
      </c>
      <c r="I15" s="1">
        <v>0</v>
      </c>
      <c r="J15" s="1">
        <v>1</v>
      </c>
      <c r="K15" s="1">
        <v>1</v>
      </c>
      <c r="L15" s="1">
        <v>0</v>
      </c>
      <c r="M15" s="1">
        <v>0</v>
      </c>
      <c r="N15" s="1">
        <v>0</v>
      </c>
      <c r="O15" s="1">
        <v>0</v>
      </c>
      <c r="P15" s="1">
        <v>8</v>
      </c>
      <c r="Q15" s="1">
        <v>6</v>
      </c>
      <c r="R15" s="1">
        <v>6</v>
      </c>
      <c r="S15" s="1">
        <v>1</v>
      </c>
      <c r="T15" s="1">
        <v>1</v>
      </c>
      <c r="U15" s="1">
        <v>4</v>
      </c>
      <c r="V15" s="1">
        <v>4</v>
      </c>
      <c r="W15" s="1">
        <v>3</v>
      </c>
      <c r="X15" s="1">
        <v>3</v>
      </c>
      <c r="Y15" s="1">
        <v>4</v>
      </c>
      <c r="Z15" s="1">
        <v>4</v>
      </c>
      <c r="AA15" s="1">
        <v>4</v>
      </c>
      <c r="AC15" s="1">
        <v>1</v>
      </c>
      <c r="AD15" s="1">
        <v>1</v>
      </c>
      <c r="AF15" s="3">
        <v>7000000</v>
      </c>
      <c r="AG15" s="1">
        <v>12</v>
      </c>
      <c r="AS15" s="1" t="s">
        <v>244</v>
      </c>
      <c r="BP15" s="1">
        <v>3</v>
      </c>
      <c r="BQ15" s="1" t="s">
        <v>245</v>
      </c>
      <c r="BR15" s="1" t="s">
        <v>246</v>
      </c>
      <c r="BS15" s="1" t="s">
        <v>247</v>
      </c>
      <c r="BT15" s="1" t="s">
        <v>73</v>
      </c>
      <c r="BU15" s="1">
        <v>1</v>
      </c>
      <c r="BV15" s="1">
        <v>2</v>
      </c>
      <c r="BW15" s="1">
        <v>1</v>
      </c>
      <c r="BX15" s="1">
        <v>0</v>
      </c>
      <c r="BY15" s="1">
        <v>0</v>
      </c>
      <c r="BZ15" s="1">
        <v>0</v>
      </c>
      <c r="CA15" s="1">
        <v>0</v>
      </c>
      <c r="CB15" s="1">
        <v>0</v>
      </c>
      <c r="CC15" s="1">
        <v>0</v>
      </c>
      <c r="CD15" s="1">
        <v>0</v>
      </c>
      <c r="CE15" s="1">
        <v>0</v>
      </c>
      <c r="CF15" s="1">
        <v>0</v>
      </c>
      <c r="CG15" s="1">
        <v>0</v>
      </c>
      <c r="CH15" s="1">
        <v>0</v>
      </c>
      <c r="CI15" s="1">
        <v>0</v>
      </c>
      <c r="CJ15" s="1">
        <v>4</v>
      </c>
      <c r="CK15" s="1">
        <v>4</v>
      </c>
      <c r="CL15" s="1">
        <v>4</v>
      </c>
      <c r="CM15" s="1">
        <v>3</v>
      </c>
      <c r="CN15" s="1">
        <v>4</v>
      </c>
      <c r="CO15" s="1">
        <v>4</v>
      </c>
      <c r="CP15" s="1">
        <v>4</v>
      </c>
      <c r="CU15" s="1">
        <v>1</v>
      </c>
    </row>
    <row r="16" spans="1:99" x14ac:dyDescent="0.35">
      <c r="A16" s="1" t="s">
        <v>248</v>
      </c>
      <c r="B16" s="1">
        <v>185111018</v>
      </c>
      <c r="C16" s="1">
        <v>0</v>
      </c>
      <c r="D16" s="1">
        <v>1</v>
      </c>
      <c r="E16" s="1">
        <v>0</v>
      </c>
      <c r="F16" s="1">
        <v>0</v>
      </c>
      <c r="G16" s="1">
        <v>0</v>
      </c>
      <c r="H16" s="1">
        <v>0</v>
      </c>
      <c r="I16" s="1">
        <v>0</v>
      </c>
      <c r="J16" s="1">
        <v>1</v>
      </c>
      <c r="K16" s="1">
        <v>1</v>
      </c>
      <c r="L16" s="1">
        <v>0</v>
      </c>
      <c r="M16" s="1">
        <v>0</v>
      </c>
      <c r="N16" s="1">
        <v>0</v>
      </c>
      <c r="O16" s="1">
        <v>0</v>
      </c>
      <c r="P16" s="1" t="s">
        <v>249</v>
      </c>
      <c r="Q16" s="1">
        <v>2</v>
      </c>
      <c r="R16" s="1">
        <v>2</v>
      </c>
      <c r="S16" s="1">
        <v>5</v>
      </c>
      <c r="T16" s="1">
        <v>5</v>
      </c>
      <c r="U16" s="1">
        <v>4</v>
      </c>
      <c r="V16" s="1">
        <v>3</v>
      </c>
      <c r="W16" s="1">
        <v>2</v>
      </c>
      <c r="X16" s="1">
        <v>4</v>
      </c>
      <c r="Y16" s="1">
        <v>4</v>
      </c>
      <c r="Z16" s="1">
        <v>4</v>
      </c>
      <c r="AA16" s="1">
        <v>4</v>
      </c>
      <c r="CU16" s="1">
        <v>4</v>
      </c>
    </row>
    <row r="17" spans="1:99" x14ac:dyDescent="0.35">
      <c r="A17" s="1" t="s">
        <v>250</v>
      </c>
      <c r="B17" s="1">
        <v>185111019</v>
      </c>
      <c r="C17" s="1">
        <v>0</v>
      </c>
      <c r="D17" s="1">
        <v>1</v>
      </c>
      <c r="E17" s="1">
        <v>0</v>
      </c>
      <c r="F17" s="1">
        <v>0</v>
      </c>
      <c r="G17" s="1">
        <v>0</v>
      </c>
      <c r="H17" s="1">
        <v>0</v>
      </c>
      <c r="I17" s="1">
        <v>0</v>
      </c>
      <c r="J17" s="1">
        <v>0</v>
      </c>
      <c r="K17" s="1">
        <v>1</v>
      </c>
      <c r="L17" s="1">
        <v>0</v>
      </c>
      <c r="M17" s="1">
        <v>0</v>
      </c>
      <c r="N17" s="1">
        <v>0</v>
      </c>
      <c r="O17" s="1">
        <v>0</v>
      </c>
      <c r="P17" s="1">
        <v>3</v>
      </c>
      <c r="Q17" s="1">
        <v>1</v>
      </c>
      <c r="R17" s="1">
        <v>1</v>
      </c>
      <c r="S17" s="1">
        <v>1</v>
      </c>
      <c r="T17" s="1">
        <v>3</v>
      </c>
      <c r="U17" s="1">
        <v>4</v>
      </c>
      <c r="V17" s="1">
        <v>3</v>
      </c>
      <c r="W17" s="1">
        <v>3</v>
      </c>
      <c r="X17" s="1">
        <v>4</v>
      </c>
      <c r="Y17" s="1">
        <v>3</v>
      </c>
      <c r="Z17" s="1">
        <v>3</v>
      </c>
      <c r="AA17" s="1">
        <v>4</v>
      </c>
      <c r="AC17" s="1">
        <v>1</v>
      </c>
      <c r="AD17" s="1">
        <v>3</v>
      </c>
      <c r="AF17" s="3">
        <v>3000000</v>
      </c>
      <c r="AG17" s="1">
        <v>13</v>
      </c>
      <c r="AT17" s="1" t="s">
        <v>86</v>
      </c>
      <c r="BQ17" s="1" t="s">
        <v>251</v>
      </c>
      <c r="BR17" s="1" t="s">
        <v>252</v>
      </c>
      <c r="BS17" s="1" t="s">
        <v>253</v>
      </c>
      <c r="BT17" s="1" t="s">
        <v>107</v>
      </c>
      <c r="BU17" s="1">
        <v>3</v>
      </c>
      <c r="BV17" s="1">
        <v>2</v>
      </c>
      <c r="BW17" s="1">
        <v>0</v>
      </c>
      <c r="BX17" s="1">
        <v>0</v>
      </c>
      <c r="BY17" s="1">
        <v>0</v>
      </c>
      <c r="BZ17" s="1">
        <v>1</v>
      </c>
      <c r="CA17" s="1">
        <v>0</v>
      </c>
      <c r="CB17" s="1">
        <v>0</v>
      </c>
      <c r="CC17" s="1">
        <v>0</v>
      </c>
      <c r="CD17" s="1">
        <v>0</v>
      </c>
      <c r="CE17" s="1">
        <v>0</v>
      </c>
      <c r="CF17" s="1">
        <v>0</v>
      </c>
      <c r="CG17" s="1">
        <v>0</v>
      </c>
      <c r="CH17" s="1">
        <v>0</v>
      </c>
      <c r="CI17" s="1">
        <v>0</v>
      </c>
      <c r="CJ17" s="1">
        <v>4</v>
      </c>
      <c r="CK17" s="1">
        <v>2</v>
      </c>
      <c r="CL17" s="1">
        <v>3</v>
      </c>
      <c r="CM17" s="1">
        <v>4</v>
      </c>
      <c r="CN17" s="1">
        <v>3</v>
      </c>
      <c r="CO17" s="1">
        <v>3</v>
      </c>
      <c r="CP17" s="1">
        <v>4</v>
      </c>
      <c r="CU17" s="1">
        <v>1</v>
      </c>
    </row>
    <row r="18" spans="1:99" x14ac:dyDescent="0.35">
      <c r="A18" s="1" t="s">
        <v>254</v>
      </c>
      <c r="B18" s="1">
        <v>185111020</v>
      </c>
      <c r="C18" s="1">
        <v>0</v>
      </c>
      <c r="D18" s="1">
        <v>1</v>
      </c>
      <c r="E18" s="1">
        <v>1</v>
      </c>
      <c r="F18" s="1">
        <v>0</v>
      </c>
      <c r="G18" s="1">
        <v>0</v>
      </c>
      <c r="H18" s="1">
        <v>0</v>
      </c>
      <c r="I18" s="1">
        <v>0</v>
      </c>
      <c r="J18" s="1">
        <v>1</v>
      </c>
      <c r="K18" s="1">
        <v>1</v>
      </c>
      <c r="L18" s="1">
        <v>0</v>
      </c>
      <c r="M18" s="1">
        <v>1</v>
      </c>
      <c r="N18" s="1">
        <v>0</v>
      </c>
      <c r="O18" s="1">
        <v>0</v>
      </c>
      <c r="P18" s="1">
        <v>30</v>
      </c>
      <c r="Q18" s="1">
        <v>20</v>
      </c>
      <c r="R18" s="1">
        <v>15</v>
      </c>
      <c r="S18" s="1">
        <v>5</v>
      </c>
      <c r="T18" s="1">
        <v>1</v>
      </c>
      <c r="U18" s="1">
        <v>4</v>
      </c>
      <c r="V18" s="1">
        <v>3</v>
      </c>
      <c r="W18" s="1">
        <v>3</v>
      </c>
      <c r="X18" s="1">
        <v>3</v>
      </c>
      <c r="Y18" s="1">
        <v>3</v>
      </c>
      <c r="Z18" s="1">
        <v>3</v>
      </c>
      <c r="AA18" s="1">
        <v>4</v>
      </c>
      <c r="CU18" s="1">
        <v>2</v>
      </c>
    </row>
    <row r="19" spans="1:99" x14ac:dyDescent="0.35">
      <c r="A19" s="1" t="s">
        <v>255</v>
      </c>
      <c r="B19" s="1">
        <v>185111021</v>
      </c>
      <c r="C19" s="1">
        <v>0</v>
      </c>
      <c r="D19" s="1">
        <v>1</v>
      </c>
      <c r="E19" s="1">
        <v>0</v>
      </c>
      <c r="F19" s="1">
        <v>0</v>
      </c>
      <c r="G19" s="1">
        <v>0</v>
      </c>
      <c r="H19" s="1">
        <v>0</v>
      </c>
      <c r="I19" s="1">
        <v>0</v>
      </c>
      <c r="J19" s="1">
        <v>0</v>
      </c>
      <c r="K19" s="1">
        <v>0</v>
      </c>
      <c r="L19" s="1">
        <v>0</v>
      </c>
      <c r="M19" s="1">
        <v>0</v>
      </c>
      <c r="N19" s="1">
        <v>0</v>
      </c>
      <c r="O19" s="1">
        <v>0</v>
      </c>
      <c r="P19" s="1">
        <v>2</v>
      </c>
      <c r="Q19" s="1">
        <v>2</v>
      </c>
      <c r="R19" s="1">
        <v>1</v>
      </c>
      <c r="S19" s="1">
        <v>1</v>
      </c>
      <c r="T19" s="1">
        <v>1</v>
      </c>
      <c r="U19" s="1">
        <v>3</v>
      </c>
      <c r="V19" s="1">
        <v>3</v>
      </c>
      <c r="W19" s="1">
        <v>2</v>
      </c>
      <c r="X19" s="1">
        <v>3</v>
      </c>
      <c r="Y19" s="1">
        <v>3</v>
      </c>
      <c r="Z19" s="1">
        <v>3</v>
      </c>
      <c r="AA19" s="1">
        <v>3</v>
      </c>
      <c r="AC19" s="1">
        <v>1</v>
      </c>
      <c r="AD19" s="1">
        <v>1</v>
      </c>
      <c r="AF19" s="3">
        <v>2500000</v>
      </c>
      <c r="AG19" s="1">
        <v>13</v>
      </c>
      <c r="AT19" s="1" t="s">
        <v>209</v>
      </c>
      <c r="BP19" s="1">
        <v>3</v>
      </c>
      <c r="BQ19" s="1" t="s">
        <v>256</v>
      </c>
      <c r="BR19" s="1" t="s">
        <v>257</v>
      </c>
      <c r="BT19" s="1" t="s">
        <v>107</v>
      </c>
      <c r="BU19" s="1">
        <v>1</v>
      </c>
      <c r="BV19" s="1">
        <v>2</v>
      </c>
      <c r="BW19" s="1">
        <v>0</v>
      </c>
      <c r="BX19" s="1">
        <v>0</v>
      </c>
      <c r="BY19" s="1">
        <v>0</v>
      </c>
      <c r="BZ19" s="1">
        <v>0</v>
      </c>
      <c r="CA19" s="1">
        <v>0</v>
      </c>
      <c r="CB19" s="1">
        <v>0</v>
      </c>
      <c r="CC19" s="1">
        <v>0</v>
      </c>
      <c r="CD19" s="1">
        <v>0</v>
      </c>
      <c r="CE19" s="1">
        <v>0</v>
      </c>
      <c r="CF19" s="1">
        <v>0</v>
      </c>
      <c r="CG19" s="1">
        <v>0</v>
      </c>
      <c r="CH19" s="1">
        <v>0</v>
      </c>
      <c r="CJ19" s="1">
        <v>4</v>
      </c>
      <c r="CK19" s="1">
        <v>4</v>
      </c>
      <c r="CL19" s="1">
        <v>3</v>
      </c>
      <c r="CM19" s="1">
        <v>4</v>
      </c>
      <c r="CN19" s="1">
        <v>4</v>
      </c>
      <c r="CO19" s="1">
        <v>4</v>
      </c>
      <c r="CP19" s="1">
        <v>4</v>
      </c>
      <c r="CU19" s="1">
        <v>4</v>
      </c>
    </row>
    <row r="20" spans="1:99" x14ac:dyDescent="0.35">
      <c r="A20" s="1" t="s">
        <v>258</v>
      </c>
      <c r="B20" s="1">
        <v>185111023</v>
      </c>
      <c r="C20" s="1">
        <v>0</v>
      </c>
      <c r="D20" s="1">
        <v>0</v>
      </c>
      <c r="E20" s="1">
        <v>1</v>
      </c>
      <c r="F20" s="1">
        <v>0</v>
      </c>
      <c r="G20" s="1">
        <v>0</v>
      </c>
      <c r="H20" s="1">
        <v>0</v>
      </c>
      <c r="I20" s="1">
        <v>0</v>
      </c>
      <c r="J20" s="1">
        <v>0</v>
      </c>
      <c r="K20" s="1">
        <v>0</v>
      </c>
      <c r="L20" s="1">
        <v>0</v>
      </c>
      <c r="M20" s="1">
        <v>1</v>
      </c>
      <c r="N20" s="1">
        <v>0</v>
      </c>
      <c r="O20" s="1">
        <v>0</v>
      </c>
      <c r="P20" s="1">
        <v>1</v>
      </c>
      <c r="Q20" s="1">
        <v>1</v>
      </c>
      <c r="R20" s="1">
        <v>1</v>
      </c>
      <c r="S20" s="1">
        <v>1</v>
      </c>
      <c r="T20" s="1">
        <v>1</v>
      </c>
      <c r="U20" s="1">
        <v>4</v>
      </c>
      <c r="V20" s="1">
        <v>4</v>
      </c>
      <c r="W20" s="1">
        <v>2</v>
      </c>
      <c r="X20" s="1">
        <v>3</v>
      </c>
      <c r="Y20" s="1">
        <v>3</v>
      </c>
      <c r="Z20" s="1">
        <v>3</v>
      </c>
      <c r="AA20" s="1">
        <v>3</v>
      </c>
      <c r="AC20" s="1">
        <v>2</v>
      </c>
      <c r="AE20" s="1">
        <v>1</v>
      </c>
      <c r="AF20" s="3">
        <v>4000000</v>
      </c>
      <c r="AG20" s="1">
        <v>13</v>
      </c>
      <c r="AT20" s="1" t="s">
        <v>86</v>
      </c>
      <c r="BP20" s="1">
        <v>3</v>
      </c>
      <c r="BQ20" s="1" t="s">
        <v>259</v>
      </c>
      <c r="BR20" s="1" t="s">
        <v>260</v>
      </c>
      <c r="BS20" s="1" t="s">
        <v>261</v>
      </c>
      <c r="BT20" s="1" t="s">
        <v>79</v>
      </c>
      <c r="BU20" s="1">
        <v>1</v>
      </c>
      <c r="BV20" s="1">
        <v>2</v>
      </c>
      <c r="BW20" s="1">
        <v>1</v>
      </c>
      <c r="BX20" s="1">
        <v>0</v>
      </c>
      <c r="BY20" s="1">
        <v>0</v>
      </c>
      <c r="BZ20" s="1">
        <v>0</v>
      </c>
      <c r="CA20" s="1">
        <v>0</v>
      </c>
      <c r="CB20" s="1">
        <v>0</v>
      </c>
      <c r="CC20" s="1">
        <v>0</v>
      </c>
      <c r="CD20" s="1">
        <v>0</v>
      </c>
      <c r="CE20" s="1">
        <v>0</v>
      </c>
      <c r="CF20" s="1">
        <v>0</v>
      </c>
      <c r="CG20" s="1">
        <v>0</v>
      </c>
      <c r="CH20" s="1">
        <v>0</v>
      </c>
      <c r="CI20" s="1">
        <v>0</v>
      </c>
      <c r="CJ20" s="1">
        <v>4</v>
      </c>
      <c r="CK20" s="1">
        <v>4</v>
      </c>
      <c r="CL20" s="1">
        <v>4</v>
      </c>
      <c r="CM20" s="1">
        <v>4</v>
      </c>
      <c r="CN20" s="1">
        <v>4</v>
      </c>
      <c r="CO20" s="1">
        <v>4</v>
      </c>
      <c r="CP20" s="1">
        <v>4</v>
      </c>
      <c r="CU20" s="1">
        <v>1</v>
      </c>
    </row>
    <row r="21" spans="1:99" x14ac:dyDescent="0.35">
      <c r="A21" s="1" t="s">
        <v>262</v>
      </c>
      <c r="B21" s="1">
        <v>185111024</v>
      </c>
      <c r="C21" s="1">
        <v>0</v>
      </c>
      <c r="D21" s="1">
        <v>0</v>
      </c>
      <c r="E21" s="1">
        <v>0</v>
      </c>
      <c r="F21" s="1">
        <v>0</v>
      </c>
      <c r="G21" s="1">
        <v>0</v>
      </c>
      <c r="H21" s="1">
        <v>0</v>
      </c>
      <c r="I21" s="1">
        <v>0</v>
      </c>
      <c r="J21" s="1">
        <v>0</v>
      </c>
      <c r="K21" s="1">
        <v>1</v>
      </c>
      <c r="L21" s="1">
        <v>0</v>
      </c>
      <c r="M21" s="1">
        <v>0</v>
      </c>
      <c r="N21" s="1">
        <v>0</v>
      </c>
      <c r="O21" s="1">
        <v>0</v>
      </c>
      <c r="P21" s="1">
        <v>100</v>
      </c>
      <c r="Q21" s="1">
        <v>10</v>
      </c>
      <c r="R21" s="1">
        <v>6</v>
      </c>
      <c r="S21" s="1">
        <v>1</v>
      </c>
      <c r="T21" s="1">
        <v>1</v>
      </c>
      <c r="U21" s="1">
        <v>3</v>
      </c>
      <c r="V21" s="1">
        <v>3</v>
      </c>
      <c r="W21" s="1">
        <v>3</v>
      </c>
      <c r="X21" s="1">
        <v>3</v>
      </c>
      <c r="Y21" s="1">
        <v>3</v>
      </c>
      <c r="Z21" s="1">
        <v>3</v>
      </c>
      <c r="AA21" s="1">
        <v>3</v>
      </c>
      <c r="AC21" s="1">
        <v>1</v>
      </c>
      <c r="AD21" s="1">
        <v>2</v>
      </c>
      <c r="AF21" s="3">
        <v>4000000</v>
      </c>
      <c r="AG21" s="1">
        <v>13</v>
      </c>
      <c r="AT21" s="1" t="s">
        <v>86</v>
      </c>
      <c r="BP21" s="1">
        <v>3</v>
      </c>
      <c r="BQ21" s="1" t="s">
        <v>263</v>
      </c>
      <c r="BR21" s="1" t="s">
        <v>232</v>
      </c>
      <c r="BS21" s="1" t="s">
        <v>4319</v>
      </c>
      <c r="BT21" s="1" t="s">
        <v>79</v>
      </c>
      <c r="BU21" s="1">
        <v>3</v>
      </c>
      <c r="BV21" s="1">
        <v>2</v>
      </c>
      <c r="BW21" s="1">
        <v>0</v>
      </c>
      <c r="BX21" s="1">
        <v>1</v>
      </c>
      <c r="BY21" s="1">
        <v>0</v>
      </c>
      <c r="BZ21" s="1">
        <v>0</v>
      </c>
      <c r="CA21" s="1">
        <v>0</v>
      </c>
      <c r="CB21" s="1">
        <v>0</v>
      </c>
      <c r="CC21" s="1">
        <v>0</v>
      </c>
      <c r="CD21" s="1">
        <v>0</v>
      </c>
      <c r="CE21" s="1">
        <v>0</v>
      </c>
      <c r="CF21" s="1">
        <v>0</v>
      </c>
      <c r="CG21" s="1">
        <v>0</v>
      </c>
      <c r="CH21" s="1">
        <v>0</v>
      </c>
      <c r="CI21" s="1">
        <v>0</v>
      </c>
      <c r="CJ21" s="1">
        <v>4</v>
      </c>
      <c r="CK21" s="1">
        <v>4</v>
      </c>
      <c r="CL21" s="1">
        <v>2</v>
      </c>
      <c r="CM21" s="1">
        <v>4</v>
      </c>
      <c r="CN21" s="1">
        <v>4</v>
      </c>
      <c r="CO21" s="1">
        <v>4</v>
      </c>
      <c r="CP21" s="1">
        <v>4</v>
      </c>
      <c r="CU21" s="1">
        <v>4</v>
      </c>
    </row>
    <row r="22" spans="1:99" x14ac:dyDescent="0.35">
      <c r="A22" s="1" t="s">
        <v>264</v>
      </c>
      <c r="B22" s="1">
        <v>185111025</v>
      </c>
      <c r="C22" s="1">
        <v>0</v>
      </c>
      <c r="D22" s="1">
        <v>1</v>
      </c>
      <c r="E22" s="1">
        <v>1</v>
      </c>
      <c r="F22" s="1">
        <v>0</v>
      </c>
      <c r="G22" s="1">
        <v>0</v>
      </c>
      <c r="H22" s="1">
        <v>0</v>
      </c>
      <c r="I22" s="1">
        <v>0</v>
      </c>
      <c r="J22" s="1">
        <v>0</v>
      </c>
      <c r="K22" s="1">
        <v>1</v>
      </c>
      <c r="L22" s="1">
        <v>0</v>
      </c>
      <c r="M22" s="1">
        <v>0</v>
      </c>
      <c r="N22" s="1">
        <v>0</v>
      </c>
      <c r="O22" s="1">
        <v>0</v>
      </c>
      <c r="P22" s="1">
        <v>8</v>
      </c>
      <c r="Q22" s="1">
        <v>5</v>
      </c>
      <c r="R22" s="1">
        <v>5</v>
      </c>
      <c r="S22" s="1">
        <v>5</v>
      </c>
      <c r="T22" s="1">
        <v>1</v>
      </c>
      <c r="U22" s="1">
        <v>4</v>
      </c>
      <c r="V22" s="1">
        <v>4</v>
      </c>
      <c r="W22" s="1">
        <v>3</v>
      </c>
      <c r="X22" s="1">
        <v>4</v>
      </c>
      <c r="Y22" s="1">
        <v>4</v>
      </c>
      <c r="Z22" s="1">
        <v>4</v>
      </c>
      <c r="AA22" s="1">
        <v>4</v>
      </c>
      <c r="CU22" s="1">
        <v>4</v>
      </c>
    </row>
    <row r="23" spans="1:99" x14ac:dyDescent="0.35">
      <c r="A23" s="1" t="s">
        <v>265</v>
      </c>
      <c r="B23" s="1">
        <v>185111027</v>
      </c>
      <c r="C23" s="1">
        <v>1</v>
      </c>
      <c r="D23" s="1">
        <v>1</v>
      </c>
      <c r="E23" s="1">
        <v>0</v>
      </c>
      <c r="F23" s="1">
        <v>0</v>
      </c>
      <c r="G23" s="1">
        <v>0</v>
      </c>
      <c r="H23" s="1">
        <v>0</v>
      </c>
      <c r="I23" s="1">
        <v>0</v>
      </c>
      <c r="J23" s="1">
        <v>1</v>
      </c>
      <c r="K23" s="1">
        <v>0</v>
      </c>
      <c r="L23" s="1">
        <v>1</v>
      </c>
      <c r="M23" s="1">
        <v>0</v>
      </c>
      <c r="N23" s="1">
        <v>1</v>
      </c>
      <c r="O23" s="1">
        <v>0</v>
      </c>
      <c r="P23" s="1">
        <v>20</v>
      </c>
      <c r="Q23" s="1">
        <v>8</v>
      </c>
      <c r="R23" s="1">
        <v>5</v>
      </c>
      <c r="S23" s="1">
        <v>5</v>
      </c>
      <c r="T23" s="1">
        <v>1</v>
      </c>
      <c r="U23" s="1">
        <v>4</v>
      </c>
      <c r="V23" s="1">
        <v>4</v>
      </c>
      <c r="W23" s="1">
        <v>3</v>
      </c>
      <c r="X23" s="1">
        <v>4</v>
      </c>
      <c r="Y23" s="1">
        <v>4</v>
      </c>
      <c r="Z23" s="1">
        <v>4</v>
      </c>
      <c r="AA23" s="1">
        <v>4</v>
      </c>
      <c r="CU23" s="1">
        <v>2</v>
      </c>
    </row>
    <row r="24" spans="1:99" x14ac:dyDescent="0.35">
      <c r="A24" s="1" t="s">
        <v>266</v>
      </c>
      <c r="B24" s="1">
        <v>185111028</v>
      </c>
      <c r="C24" s="1">
        <v>0</v>
      </c>
      <c r="D24" s="1">
        <v>0</v>
      </c>
      <c r="E24" s="1">
        <v>0</v>
      </c>
      <c r="F24" s="1">
        <v>0</v>
      </c>
      <c r="G24" s="1">
        <v>0</v>
      </c>
      <c r="H24" s="1">
        <v>0</v>
      </c>
      <c r="I24" s="1">
        <v>0</v>
      </c>
      <c r="J24" s="1">
        <v>0</v>
      </c>
      <c r="K24" s="1">
        <v>1</v>
      </c>
      <c r="L24" s="1">
        <v>0</v>
      </c>
      <c r="M24" s="1">
        <v>0</v>
      </c>
      <c r="N24" s="1">
        <v>0</v>
      </c>
      <c r="O24" s="1">
        <v>0</v>
      </c>
      <c r="P24" s="1">
        <v>0</v>
      </c>
      <c r="Q24" s="1">
        <v>0</v>
      </c>
      <c r="R24" s="1">
        <v>0</v>
      </c>
      <c r="S24" s="1">
        <v>1</v>
      </c>
      <c r="T24" s="1">
        <v>1</v>
      </c>
      <c r="U24" s="1">
        <v>4</v>
      </c>
      <c r="V24" s="1">
        <v>3</v>
      </c>
      <c r="W24" s="1">
        <v>2</v>
      </c>
      <c r="X24" s="1">
        <v>4</v>
      </c>
      <c r="Y24" s="1">
        <v>4</v>
      </c>
      <c r="Z24" s="1">
        <v>4</v>
      </c>
      <c r="AA24" s="1">
        <v>4</v>
      </c>
      <c r="AC24" s="1">
        <v>2</v>
      </c>
      <c r="AE24" s="1">
        <v>1</v>
      </c>
      <c r="AF24" s="3">
        <v>3800000</v>
      </c>
      <c r="AG24" s="1">
        <v>13</v>
      </c>
      <c r="AT24" s="1" t="s">
        <v>86</v>
      </c>
      <c r="BP24" s="1">
        <v>1</v>
      </c>
      <c r="BQ24" s="1" t="s">
        <v>267</v>
      </c>
      <c r="BR24" s="1" t="s">
        <v>268</v>
      </c>
      <c r="BT24" s="1" t="s">
        <v>107</v>
      </c>
      <c r="BU24" s="1">
        <v>3</v>
      </c>
      <c r="BV24" s="1">
        <v>2</v>
      </c>
      <c r="BW24" s="1">
        <v>1</v>
      </c>
      <c r="BX24" s="1">
        <v>1</v>
      </c>
      <c r="BY24" s="1">
        <v>0</v>
      </c>
      <c r="BZ24" s="1">
        <v>0</v>
      </c>
      <c r="CA24" s="1">
        <v>0</v>
      </c>
      <c r="CB24" s="1">
        <v>0</v>
      </c>
      <c r="CC24" s="1">
        <v>1</v>
      </c>
      <c r="CD24" s="1">
        <v>0</v>
      </c>
      <c r="CE24" s="1">
        <v>0</v>
      </c>
      <c r="CF24" s="1">
        <v>1</v>
      </c>
      <c r="CG24" s="1">
        <v>0</v>
      </c>
      <c r="CH24" s="1">
        <v>0</v>
      </c>
      <c r="CI24" s="1">
        <v>0</v>
      </c>
      <c r="CJ24" s="1">
        <v>4</v>
      </c>
      <c r="CK24" s="1">
        <v>3</v>
      </c>
      <c r="CL24" s="1">
        <v>2</v>
      </c>
      <c r="CM24" s="1">
        <v>4</v>
      </c>
      <c r="CN24" s="1">
        <v>4</v>
      </c>
      <c r="CO24" s="1">
        <v>4</v>
      </c>
      <c r="CP24" s="1">
        <v>4</v>
      </c>
      <c r="CU24" s="1">
        <v>1</v>
      </c>
    </row>
    <row r="25" spans="1:99" x14ac:dyDescent="0.35">
      <c r="A25" s="1" t="s">
        <v>269</v>
      </c>
      <c r="B25" s="1">
        <v>185111029</v>
      </c>
      <c r="C25" s="1">
        <v>0</v>
      </c>
      <c r="D25" s="1">
        <v>1</v>
      </c>
      <c r="E25" s="1">
        <v>0</v>
      </c>
      <c r="F25" s="1">
        <v>0</v>
      </c>
      <c r="G25" s="1">
        <v>0</v>
      </c>
      <c r="H25" s="1">
        <v>0</v>
      </c>
      <c r="I25" s="1">
        <v>0</v>
      </c>
      <c r="J25" s="1">
        <v>1</v>
      </c>
      <c r="K25" s="1">
        <v>0</v>
      </c>
      <c r="L25" s="1">
        <v>0</v>
      </c>
      <c r="M25" s="1">
        <v>0</v>
      </c>
      <c r="N25" s="1">
        <v>0</v>
      </c>
      <c r="O25" s="1">
        <v>0</v>
      </c>
      <c r="P25" s="1" t="s">
        <v>270</v>
      </c>
      <c r="Q25" s="1">
        <v>10</v>
      </c>
      <c r="R25" s="1">
        <v>5</v>
      </c>
      <c r="S25" s="1">
        <v>1</v>
      </c>
      <c r="T25" s="1">
        <v>1</v>
      </c>
      <c r="U25" s="1">
        <v>4</v>
      </c>
      <c r="V25" s="1">
        <v>3</v>
      </c>
      <c r="W25" s="1">
        <v>3</v>
      </c>
      <c r="X25" s="1">
        <v>4</v>
      </c>
      <c r="Y25" s="1">
        <v>4</v>
      </c>
      <c r="Z25" s="1">
        <v>4</v>
      </c>
      <c r="AA25" s="1">
        <v>4</v>
      </c>
      <c r="AC25" s="1">
        <v>1</v>
      </c>
      <c r="AD25" s="1">
        <v>4</v>
      </c>
      <c r="AF25" s="3">
        <v>2800000</v>
      </c>
      <c r="AG25" s="1">
        <v>13</v>
      </c>
      <c r="AT25" s="1" t="s">
        <v>271</v>
      </c>
      <c r="BP25" s="1">
        <v>3</v>
      </c>
      <c r="BQ25" s="1" t="s">
        <v>272</v>
      </c>
      <c r="BR25" s="1" t="s">
        <v>273</v>
      </c>
      <c r="BS25" s="1" t="s">
        <v>274</v>
      </c>
      <c r="BT25" s="1" t="s">
        <v>79</v>
      </c>
      <c r="BU25" s="1">
        <v>4</v>
      </c>
      <c r="BV25" s="1">
        <v>2</v>
      </c>
      <c r="BW25" s="1">
        <v>0</v>
      </c>
      <c r="BX25" s="1">
        <v>1</v>
      </c>
      <c r="BY25" s="1">
        <v>0</v>
      </c>
      <c r="BZ25" s="1">
        <v>0</v>
      </c>
      <c r="CA25" s="1">
        <v>0</v>
      </c>
      <c r="CB25" s="1">
        <v>0</v>
      </c>
      <c r="CC25" s="1">
        <v>0</v>
      </c>
      <c r="CD25" s="1">
        <v>0</v>
      </c>
      <c r="CE25" s="1">
        <v>0</v>
      </c>
      <c r="CF25" s="1">
        <v>0</v>
      </c>
      <c r="CG25" s="1">
        <v>0</v>
      </c>
      <c r="CH25" s="1">
        <v>0</v>
      </c>
      <c r="CI25" s="1">
        <v>0</v>
      </c>
      <c r="CJ25" s="1">
        <v>4</v>
      </c>
      <c r="CK25" s="1">
        <v>3</v>
      </c>
      <c r="CL25" s="1">
        <v>2</v>
      </c>
      <c r="CM25" s="1">
        <v>4</v>
      </c>
      <c r="CN25" s="1">
        <v>4</v>
      </c>
      <c r="CO25" s="1">
        <v>4</v>
      </c>
      <c r="CP25" s="1">
        <v>4</v>
      </c>
      <c r="CU25" s="1">
        <v>1</v>
      </c>
    </row>
    <row r="26" spans="1:99" x14ac:dyDescent="0.35">
      <c r="A26" s="1" t="s">
        <v>275</v>
      </c>
      <c r="B26" s="1">
        <v>185111030</v>
      </c>
      <c r="C26" s="1">
        <v>0</v>
      </c>
      <c r="D26" s="1">
        <v>1</v>
      </c>
      <c r="E26" s="1">
        <v>0</v>
      </c>
      <c r="F26" s="1">
        <v>0</v>
      </c>
      <c r="G26" s="1">
        <v>0</v>
      </c>
      <c r="H26" s="1">
        <v>0</v>
      </c>
      <c r="I26" s="1">
        <v>0</v>
      </c>
      <c r="J26" s="1">
        <v>1</v>
      </c>
      <c r="K26" s="1">
        <v>0</v>
      </c>
      <c r="L26" s="1">
        <v>0</v>
      </c>
      <c r="M26" s="1">
        <v>0</v>
      </c>
      <c r="N26" s="1">
        <v>0</v>
      </c>
      <c r="O26" s="1">
        <v>0</v>
      </c>
      <c r="P26" s="1" t="s">
        <v>276</v>
      </c>
      <c r="Q26" s="1" t="s">
        <v>277</v>
      </c>
      <c r="R26" s="1" t="s">
        <v>277</v>
      </c>
      <c r="S26" s="1">
        <v>1</v>
      </c>
      <c r="T26" s="1">
        <v>1</v>
      </c>
      <c r="U26" s="1">
        <v>4</v>
      </c>
      <c r="V26" s="1">
        <v>3</v>
      </c>
      <c r="W26" s="1">
        <v>3</v>
      </c>
      <c r="X26" s="1">
        <v>3</v>
      </c>
      <c r="Y26" s="1">
        <v>4</v>
      </c>
      <c r="Z26" s="1">
        <v>4</v>
      </c>
      <c r="AA26" s="1">
        <v>4</v>
      </c>
      <c r="AC26" s="1">
        <v>1</v>
      </c>
      <c r="AD26" s="1">
        <v>0</v>
      </c>
      <c r="AF26" s="3">
        <v>5000000</v>
      </c>
      <c r="AG26" s="1">
        <v>11</v>
      </c>
      <c r="AR26" s="1" t="s">
        <v>239</v>
      </c>
      <c r="BP26" s="1">
        <v>3</v>
      </c>
      <c r="BQ26" s="1" t="s">
        <v>278</v>
      </c>
      <c r="BR26" s="1" t="s">
        <v>279</v>
      </c>
      <c r="BS26" s="1" t="s">
        <v>280</v>
      </c>
      <c r="BT26" s="1" t="s">
        <v>79</v>
      </c>
      <c r="BU26" s="1">
        <v>1</v>
      </c>
      <c r="BV26" s="1">
        <v>1</v>
      </c>
      <c r="BW26" s="1">
        <v>1</v>
      </c>
      <c r="BX26" s="1">
        <v>0</v>
      </c>
      <c r="BY26" s="1">
        <v>0</v>
      </c>
      <c r="BZ26" s="1">
        <v>0</v>
      </c>
      <c r="CA26" s="1">
        <v>0</v>
      </c>
      <c r="CB26" s="1">
        <v>0</v>
      </c>
      <c r="CC26" s="1">
        <v>0</v>
      </c>
      <c r="CD26" s="1">
        <v>0</v>
      </c>
      <c r="CE26" s="1">
        <v>0</v>
      </c>
      <c r="CF26" s="1">
        <v>0</v>
      </c>
      <c r="CG26" s="1">
        <v>0</v>
      </c>
      <c r="CH26" s="1">
        <v>0</v>
      </c>
      <c r="CI26" s="1">
        <v>0</v>
      </c>
      <c r="CJ26" s="1">
        <v>4</v>
      </c>
      <c r="CK26" s="1">
        <v>4</v>
      </c>
      <c r="CL26" s="1">
        <v>4</v>
      </c>
      <c r="CM26" s="1">
        <v>4</v>
      </c>
      <c r="CN26" s="1">
        <v>4</v>
      </c>
      <c r="CO26" s="1">
        <v>4</v>
      </c>
      <c r="CP26" s="1">
        <v>4</v>
      </c>
      <c r="CU26" s="1">
        <v>1</v>
      </c>
    </row>
    <row r="27" spans="1:99" x14ac:dyDescent="0.35">
      <c r="A27" s="1" t="s">
        <v>281</v>
      </c>
      <c r="B27" s="1">
        <v>185111031</v>
      </c>
      <c r="C27" s="1">
        <v>0</v>
      </c>
      <c r="D27" s="1">
        <v>1</v>
      </c>
      <c r="E27" s="1">
        <v>0</v>
      </c>
      <c r="F27" s="1">
        <v>0</v>
      </c>
      <c r="G27" s="1">
        <v>0</v>
      </c>
      <c r="H27" s="1">
        <v>0</v>
      </c>
      <c r="I27" s="1">
        <v>0</v>
      </c>
      <c r="J27" s="1">
        <v>0</v>
      </c>
      <c r="K27" s="1">
        <v>1</v>
      </c>
      <c r="L27" s="1">
        <v>0</v>
      </c>
      <c r="M27" s="1">
        <v>0</v>
      </c>
      <c r="N27" s="1">
        <v>0</v>
      </c>
      <c r="O27" s="1">
        <v>0</v>
      </c>
      <c r="P27" s="1">
        <v>10</v>
      </c>
      <c r="Q27" s="1">
        <v>10</v>
      </c>
      <c r="R27" s="1">
        <v>5</v>
      </c>
      <c r="S27" s="1">
        <v>1</v>
      </c>
      <c r="T27" s="1">
        <v>1</v>
      </c>
      <c r="U27" s="1">
        <v>4</v>
      </c>
      <c r="V27" s="1">
        <v>3</v>
      </c>
      <c r="W27" s="1">
        <v>3</v>
      </c>
      <c r="X27" s="1">
        <v>4</v>
      </c>
      <c r="Y27" s="1">
        <v>3</v>
      </c>
      <c r="Z27" s="1">
        <v>3</v>
      </c>
      <c r="AA27" s="1">
        <v>3</v>
      </c>
      <c r="AC27" s="1">
        <v>1</v>
      </c>
      <c r="AD27" s="1">
        <v>6</v>
      </c>
      <c r="AF27" s="3">
        <v>3500000</v>
      </c>
      <c r="AG27" s="1">
        <v>13</v>
      </c>
      <c r="AT27" s="1" t="s">
        <v>86</v>
      </c>
      <c r="BP27" s="1">
        <v>1</v>
      </c>
      <c r="BQ27" s="1" t="s">
        <v>282</v>
      </c>
      <c r="BR27" s="1" t="s">
        <v>283</v>
      </c>
      <c r="BT27" s="1" t="s">
        <v>79</v>
      </c>
      <c r="BU27" s="1">
        <v>1</v>
      </c>
      <c r="BV27" s="1">
        <v>2</v>
      </c>
      <c r="BW27" s="1">
        <v>1</v>
      </c>
      <c r="BX27" s="1">
        <v>0</v>
      </c>
      <c r="BY27" s="1">
        <v>0</v>
      </c>
      <c r="BZ27" s="1">
        <v>0</v>
      </c>
      <c r="CA27" s="1">
        <v>0</v>
      </c>
      <c r="CB27" s="1">
        <v>0</v>
      </c>
      <c r="CC27" s="1">
        <v>0</v>
      </c>
      <c r="CD27" s="1">
        <v>0</v>
      </c>
      <c r="CE27" s="1">
        <v>0</v>
      </c>
      <c r="CF27" s="1">
        <v>0</v>
      </c>
      <c r="CG27" s="1">
        <v>0</v>
      </c>
      <c r="CH27" s="1">
        <v>0</v>
      </c>
      <c r="CI27" s="1">
        <v>0</v>
      </c>
      <c r="CJ27" s="1">
        <v>4</v>
      </c>
      <c r="CK27" s="1">
        <v>3</v>
      </c>
      <c r="CL27" s="1">
        <v>3</v>
      </c>
      <c r="CM27" s="1">
        <v>4</v>
      </c>
      <c r="CN27" s="1">
        <v>4</v>
      </c>
      <c r="CO27" s="1">
        <v>4</v>
      </c>
      <c r="CP27" s="1">
        <v>4</v>
      </c>
      <c r="CU27" s="1">
        <v>1</v>
      </c>
    </row>
    <row r="28" spans="1:99" x14ac:dyDescent="0.35">
      <c r="A28" s="1" t="s">
        <v>284</v>
      </c>
      <c r="B28" s="1">
        <v>185111033</v>
      </c>
      <c r="C28" s="1">
        <v>0</v>
      </c>
      <c r="D28" s="1">
        <v>1</v>
      </c>
      <c r="E28" s="1">
        <v>0</v>
      </c>
      <c r="F28" s="1">
        <v>0</v>
      </c>
      <c r="G28" s="1">
        <v>0</v>
      </c>
      <c r="H28" s="1">
        <v>0</v>
      </c>
      <c r="I28" s="1">
        <v>0</v>
      </c>
      <c r="J28" s="1">
        <v>0</v>
      </c>
      <c r="K28" s="1">
        <v>0</v>
      </c>
      <c r="L28" s="1">
        <v>0</v>
      </c>
      <c r="M28" s="1">
        <v>0</v>
      </c>
      <c r="N28" s="1">
        <v>0</v>
      </c>
      <c r="O28" s="1">
        <v>0</v>
      </c>
      <c r="P28" s="1">
        <v>50</v>
      </c>
      <c r="Q28" s="1">
        <v>10</v>
      </c>
      <c r="R28" s="1">
        <v>6</v>
      </c>
      <c r="S28" s="1">
        <v>1</v>
      </c>
      <c r="T28" s="1">
        <v>1</v>
      </c>
      <c r="U28" s="1">
        <v>4</v>
      </c>
      <c r="V28" s="1">
        <v>3</v>
      </c>
      <c r="W28" s="1">
        <v>2</v>
      </c>
      <c r="X28" s="1">
        <v>3</v>
      </c>
      <c r="Y28" s="1">
        <v>3</v>
      </c>
      <c r="Z28" s="1">
        <v>3</v>
      </c>
      <c r="AA28" s="1">
        <v>3</v>
      </c>
      <c r="AC28" s="1">
        <v>1</v>
      </c>
      <c r="AD28" s="1">
        <v>5</v>
      </c>
      <c r="AF28" s="3">
        <v>3800000</v>
      </c>
      <c r="AG28" s="1">
        <v>13</v>
      </c>
      <c r="AT28" s="1" t="s">
        <v>86</v>
      </c>
      <c r="BP28" s="1">
        <v>3</v>
      </c>
      <c r="BQ28" s="1" t="s">
        <v>285</v>
      </c>
      <c r="BR28" s="1" t="s">
        <v>286</v>
      </c>
      <c r="BS28" s="1" t="s">
        <v>287</v>
      </c>
      <c r="BT28" s="1" t="s">
        <v>79</v>
      </c>
      <c r="BU28" s="1">
        <v>1</v>
      </c>
      <c r="BV28" s="1">
        <v>2</v>
      </c>
      <c r="BW28" s="1">
        <v>1</v>
      </c>
      <c r="BX28" s="1">
        <v>0</v>
      </c>
      <c r="BY28" s="1">
        <v>0</v>
      </c>
      <c r="BZ28" s="1">
        <v>0</v>
      </c>
      <c r="CA28" s="1">
        <v>0</v>
      </c>
      <c r="CB28" s="1">
        <v>0</v>
      </c>
      <c r="CC28" s="1">
        <v>0</v>
      </c>
      <c r="CD28" s="1">
        <v>0</v>
      </c>
      <c r="CE28" s="1">
        <v>0</v>
      </c>
      <c r="CF28" s="1">
        <v>0</v>
      </c>
      <c r="CG28" s="1">
        <v>0</v>
      </c>
      <c r="CH28" s="1">
        <v>0</v>
      </c>
      <c r="CI28" s="1">
        <v>0</v>
      </c>
      <c r="CJ28" s="1">
        <v>4</v>
      </c>
      <c r="CK28" s="1">
        <v>4</v>
      </c>
      <c r="CL28" s="1">
        <v>3</v>
      </c>
      <c r="CM28" s="1">
        <v>3</v>
      </c>
      <c r="CN28" s="1">
        <v>4</v>
      </c>
      <c r="CO28" s="1">
        <v>4</v>
      </c>
      <c r="CP28" s="1">
        <v>3</v>
      </c>
      <c r="CU28" s="1">
        <v>1</v>
      </c>
    </row>
    <row r="29" spans="1:99" x14ac:dyDescent="0.35">
      <c r="A29" s="1" t="s">
        <v>288</v>
      </c>
      <c r="B29" s="1">
        <v>185111034</v>
      </c>
      <c r="C29" s="1">
        <v>0</v>
      </c>
      <c r="D29" s="1">
        <v>1</v>
      </c>
      <c r="E29" s="1">
        <v>0</v>
      </c>
      <c r="F29" s="1">
        <v>0</v>
      </c>
      <c r="G29" s="1">
        <v>0</v>
      </c>
      <c r="H29" s="1">
        <v>0</v>
      </c>
      <c r="I29" s="1">
        <v>1</v>
      </c>
      <c r="J29" s="1">
        <v>0</v>
      </c>
      <c r="K29" s="1">
        <v>0</v>
      </c>
      <c r="L29" s="1">
        <v>0</v>
      </c>
      <c r="M29" s="1">
        <v>0</v>
      </c>
      <c r="N29" s="1">
        <v>0</v>
      </c>
      <c r="O29" s="1">
        <v>0</v>
      </c>
      <c r="P29" s="1" t="s">
        <v>289</v>
      </c>
      <c r="Q29" s="1" t="s">
        <v>186</v>
      </c>
      <c r="R29" s="1">
        <v>15</v>
      </c>
      <c r="S29" s="1">
        <v>1</v>
      </c>
      <c r="T29" s="1">
        <v>1</v>
      </c>
      <c r="U29" s="1">
        <v>4</v>
      </c>
      <c r="V29" s="1">
        <v>4</v>
      </c>
      <c r="W29" s="1">
        <v>2</v>
      </c>
      <c r="X29" s="1">
        <v>3</v>
      </c>
      <c r="Y29" s="1">
        <v>3</v>
      </c>
      <c r="Z29" s="1">
        <v>4</v>
      </c>
      <c r="AA29" s="1">
        <v>3</v>
      </c>
      <c r="AC29" s="1">
        <v>1</v>
      </c>
      <c r="AD29" s="1">
        <v>4</v>
      </c>
      <c r="AF29" s="3">
        <v>5792000</v>
      </c>
      <c r="AG29" s="1">
        <v>11</v>
      </c>
      <c r="AR29" s="1" t="s">
        <v>222</v>
      </c>
      <c r="BP29" s="1">
        <v>3</v>
      </c>
      <c r="BQ29" s="1" t="s">
        <v>290</v>
      </c>
      <c r="BR29" s="1" t="s">
        <v>291</v>
      </c>
      <c r="BS29" s="1" t="s">
        <v>292</v>
      </c>
      <c r="BT29" s="1" t="s">
        <v>79</v>
      </c>
      <c r="BU29" s="1">
        <v>2</v>
      </c>
      <c r="BV29" s="1">
        <v>2</v>
      </c>
      <c r="BW29" s="1">
        <v>1</v>
      </c>
      <c r="BX29" s="1">
        <v>0</v>
      </c>
      <c r="BY29" s="1">
        <v>0</v>
      </c>
      <c r="BZ29" s="1">
        <v>0</v>
      </c>
      <c r="CA29" s="1">
        <v>0</v>
      </c>
      <c r="CB29" s="1">
        <v>0</v>
      </c>
      <c r="CC29" s="1">
        <v>0</v>
      </c>
      <c r="CD29" s="1">
        <v>0</v>
      </c>
      <c r="CE29" s="1">
        <v>0</v>
      </c>
      <c r="CF29" s="1">
        <v>0</v>
      </c>
      <c r="CG29" s="1">
        <v>0</v>
      </c>
      <c r="CH29" s="1">
        <v>0</v>
      </c>
      <c r="CI29" s="1">
        <v>0</v>
      </c>
      <c r="CJ29" s="1">
        <v>4</v>
      </c>
      <c r="CK29" s="1">
        <v>4</v>
      </c>
      <c r="CL29" s="1">
        <v>3</v>
      </c>
      <c r="CM29" s="1">
        <v>3</v>
      </c>
      <c r="CN29" s="1">
        <v>4</v>
      </c>
      <c r="CO29" s="1">
        <v>4</v>
      </c>
      <c r="CP29" s="1">
        <v>4</v>
      </c>
      <c r="CU29" s="1">
        <v>1</v>
      </c>
    </row>
    <row r="30" spans="1:99" x14ac:dyDescent="0.35">
      <c r="A30" s="1" t="s">
        <v>293</v>
      </c>
      <c r="B30" s="1">
        <v>185111035</v>
      </c>
      <c r="C30" s="1">
        <v>0</v>
      </c>
      <c r="D30" s="1">
        <v>1</v>
      </c>
      <c r="E30" s="1">
        <v>0</v>
      </c>
      <c r="F30" s="1">
        <v>0</v>
      </c>
      <c r="G30" s="1">
        <v>0</v>
      </c>
      <c r="H30" s="1">
        <v>0</v>
      </c>
      <c r="I30" s="1">
        <v>0</v>
      </c>
      <c r="J30" s="1">
        <v>1</v>
      </c>
      <c r="K30" s="1">
        <v>1</v>
      </c>
      <c r="L30" s="1">
        <v>0</v>
      </c>
      <c r="M30" s="1">
        <v>0</v>
      </c>
      <c r="N30" s="1">
        <v>0</v>
      </c>
      <c r="O30" s="1">
        <v>0</v>
      </c>
      <c r="P30" s="1">
        <v>1</v>
      </c>
      <c r="Q30" s="1">
        <v>1</v>
      </c>
      <c r="R30" s="1">
        <v>1</v>
      </c>
      <c r="S30" s="1">
        <v>1</v>
      </c>
      <c r="T30" s="1">
        <v>1</v>
      </c>
      <c r="U30" s="1">
        <v>4</v>
      </c>
      <c r="V30" s="1">
        <v>3</v>
      </c>
      <c r="W30" s="1">
        <v>2</v>
      </c>
      <c r="X30" s="1">
        <v>2</v>
      </c>
      <c r="Y30" s="1">
        <v>3</v>
      </c>
      <c r="Z30" s="1">
        <v>3</v>
      </c>
      <c r="AA30" s="1">
        <v>3</v>
      </c>
      <c r="AC30" s="1">
        <v>1</v>
      </c>
      <c r="AD30" s="1">
        <v>0</v>
      </c>
      <c r="AF30" s="3">
        <v>3700000</v>
      </c>
      <c r="AG30" s="1">
        <v>13</v>
      </c>
      <c r="AT30" s="1" t="s">
        <v>209</v>
      </c>
      <c r="BP30" s="1">
        <v>3</v>
      </c>
      <c r="BQ30" s="1" t="s">
        <v>294</v>
      </c>
      <c r="BR30" s="1" t="s">
        <v>295</v>
      </c>
      <c r="BS30" s="1" t="s">
        <v>296</v>
      </c>
      <c r="BT30" s="1" t="s">
        <v>79</v>
      </c>
      <c r="BU30" s="1">
        <v>2</v>
      </c>
      <c r="BV30" s="1">
        <v>2</v>
      </c>
      <c r="BW30" s="1">
        <v>1</v>
      </c>
      <c r="BX30" s="1">
        <v>1</v>
      </c>
      <c r="BY30" s="1">
        <v>0</v>
      </c>
      <c r="BZ30" s="1">
        <v>0</v>
      </c>
      <c r="CA30" s="1">
        <v>0</v>
      </c>
      <c r="CB30" s="1">
        <v>0</v>
      </c>
      <c r="CC30" s="1">
        <v>1</v>
      </c>
      <c r="CD30" s="1">
        <v>0</v>
      </c>
      <c r="CE30" s="1">
        <v>1</v>
      </c>
      <c r="CF30" s="1">
        <v>1</v>
      </c>
      <c r="CG30" s="1">
        <v>0</v>
      </c>
      <c r="CH30" s="1">
        <v>1</v>
      </c>
      <c r="CI30" s="1">
        <v>0</v>
      </c>
      <c r="CJ30" s="1">
        <v>4</v>
      </c>
      <c r="CK30" s="1">
        <v>3</v>
      </c>
      <c r="CL30" s="1">
        <v>3</v>
      </c>
      <c r="CM30" s="1">
        <v>3</v>
      </c>
      <c r="CN30" s="1">
        <v>4</v>
      </c>
      <c r="CO30" s="1">
        <v>3</v>
      </c>
      <c r="CP30" s="1">
        <v>3</v>
      </c>
      <c r="CU30" s="1">
        <v>4</v>
      </c>
    </row>
    <row r="31" spans="1:99" x14ac:dyDescent="0.35">
      <c r="A31" s="1" t="s">
        <v>297</v>
      </c>
      <c r="B31" s="1">
        <v>185111036</v>
      </c>
      <c r="C31" s="1">
        <v>0</v>
      </c>
      <c r="D31" s="1">
        <v>0</v>
      </c>
      <c r="E31" s="1">
        <v>0</v>
      </c>
      <c r="F31" s="1">
        <v>0</v>
      </c>
      <c r="G31" s="1">
        <v>0</v>
      </c>
      <c r="H31" s="1">
        <v>0</v>
      </c>
      <c r="I31" s="1">
        <v>0</v>
      </c>
      <c r="J31" s="1">
        <v>1</v>
      </c>
      <c r="K31" s="1">
        <v>1</v>
      </c>
      <c r="L31" s="1">
        <v>0</v>
      </c>
      <c r="M31" s="1">
        <v>1</v>
      </c>
      <c r="N31" s="1">
        <v>0</v>
      </c>
      <c r="O31" s="1">
        <v>0</v>
      </c>
      <c r="P31" s="1">
        <v>10</v>
      </c>
      <c r="Q31" s="1">
        <v>7</v>
      </c>
      <c r="R31" s="1">
        <v>7</v>
      </c>
      <c r="S31" s="1">
        <v>5</v>
      </c>
      <c r="T31" s="1">
        <v>1</v>
      </c>
      <c r="U31" s="1">
        <v>4</v>
      </c>
      <c r="V31" s="1">
        <v>4</v>
      </c>
      <c r="W31" s="1">
        <v>3</v>
      </c>
      <c r="X31" s="1">
        <v>4</v>
      </c>
      <c r="Y31" s="1">
        <v>4</v>
      </c>
      <c r="Z31" s="1">
        <v>4</v>
      </c>
      <c r="AA31" s="1">
        <v>4</v>
      </c>
      <c r="CU31" s="1">
        <v>3</v>
      </c>
    </row>
    <row r="32" spans="1:99" x14ac:dyDescent="0.35">
      <c r="A32" s="1" t="s">
        <v>298</v>
      </c>
      <c r="B32" s="1">
        <v>185111037</v>
      </c>
      <c r="C32" s="1">
        <v>1</v>
      </c>
      <c r="D32" s="1">
        <v>1</v>
      </c>
      <c r="E32" s="1">
        <v>0</v>
      </c>
      <c r="F32" s="1">
        <v>0</v>
      </c>
      <c r="G32" s="1">
        <v>0</v>
      </c>
      <c r="H32" s="1">
        <v>0</v>
      </c>
      <c r="I32" s="1">
        <v>0</v>
      </c>
      <c r="J32" s="1">
        <v>1</v>
      </c>
      <c r="K32" s="1">
        <v>0</v>
      </c>
      <c r="L32" s="1">
        <v>0</v>
      </c>
      <c r="M32" s="1">
        <v>1</v>
      </c>
      <c r="N32" s="1">
        <v>0</v>
      </c>
      <c r="O32" s="1">
        <v>0</v>
      </c>
      <c r="P32" s="1" t="s">
        <v>299</v>
      </c>
      <c r="Q32" s="1" t="s">
        <v>300</v>
      </c>
      <c r="R32" s="1" t="s">
        <v>301</v>
      </c>
      <c r="S32" s="1">
        <v>1</v>
      </c>
      <c r="T32" s="1">
        <v>1</v>
      </c>
      <c r="U32" s="1">
        <v>4</v>
      </c>
      <c r="V32" s="1">
        <v>4</v>
      </c>
      <c r="W32" s="1">
        <v>3</v>
      </c>
      <c r="X32" s="1">
        <v>4</v>
      </c>
      <c r="Y32" s="1">
        <v>4</v>
      </c>
      <c r="Z32" s="1">
        <v>4</v>
      </c>
      <c r="AA32" s="1">
        <v>4</v>
      </c>
      <c r="AC32" s="1">
        <v>1</v>
      </c>
      <c r="AD32" s="1">
        <v>1</v>
      </c>
      <c r="AF32" s="3">
        <v>3020000</v>
      </c>
      <c r="AG32" s="1">
        <v>13</v>
      </c>
      <c r="AT32" s="1" t="s">
        <v>86</v>
      </c>
      <c r="BP32" s="1">
        <v>7</v>
      </c>
      <c r="BQ32" s="1" t="s">
        <v>302</v>
      </c>
      <c r="BR32" s="1" t="s">
        <v>303</v>
      </c>
      <c r="BS32" s="1" t="s">
        <v>304</v>
      </c>
      <c r="BT32" s="1" t="s">
        <v>73</v>
      </c>
      <c r="BU32" s="1">
        <v>1</v>
      </c>
      <c r="BV32" s="1">
        <v>2</v>
      </c>
      <c r="BW32" s="1">
        <v>1</v>
      </c>
      <c r="BX32" s="1">
        <v>0</v>
      </c>
      <c r="BY32" s="1">
        <v>0</v>
      </c>
      <c r="BZ32" s="1">
        <v>0</v>
      </c>
      <c r="CA32" s="1">
        <v>0</v>
      </c>
      <c r="CB32" s="1">
        <v>0</v>
      </c>
      <c r="CC32" s="1">
        <v>0</v>
      </c>
      <c r="CD32" s="1">
        <v>0</v>
      </c>
      <c r="CE32" s="1">
        <v>0</v>
      </c>
      <c r="CF32" s="1">
        <v>0</v>
      </c>
      <c r="CG32" s="1">
        <v>0</v>
      </c>
      <c r="CH32" s="1">
        <v>0</v>
      </c>
      <c r="CI32" s="1">
        <v>0</v>
      </c>
      <c r="CJ32" s="1">
        <v>4</v>
      </c>
      <c r="CK32" s="1">
        <v>4</v>
      </c>
      <c r="CL32" s="1">
        <v>4</v>
      </c>
      <c r="CM32" s="1">
        <v>4</v>
      </c>
      <c r="CN32" s="1">
        <v>4</v>
      </c>
      <c r="CO32" s="1">
        <v>4</v>
      </c>
      <c r="CP32" s="1">
        <v>4</v>
      </c>
      <c r="CU32" s="1">
        <v>1</v>
      </c>
    </row>
    <row r="33" spans="1:99" x14ac:dyDescent="0.35">
      <c r="A33" s="1" t="s">
        <v>305</v>
      </c>
      <c r="B33" s="1">
        <v>185111038</v>
      </c>
      <c r="C33" s="1">
        <v>0</v>
      </c>
      <c r="D33" s="1">
        <v>1</v>
      </c>
      <c r="E33" s="1">
        <v>0</v>
      </c>
      <c r="F33" s="1">
        <v>0</v>
      </c>
      <c r="G33" s="1">
        <v>0</v>
      </c>
      <c r="H33" s="1">
        <v>1</v>
      </c>
      <c r="I33" s="1">
        <v>0</v>
      </c>
      <c r="J33" s="1">
        <v>0</v>
      </c>
      <c r="K33" s="1">
        <v>1</v>
      </c>
      <c r="L33" s="1">
        <v>0</v>
      </c>
      <c r="M33" s="1">
        <v>0</v>
      </c>
      <c r="N33" s="1">
        <v>0</v>
      </c>
      <c r="O33" s="1">
        <v>0</v>
      </c>
      <c r="P33" s="1">
        <v>30</v>
      </c>
      <c r="Q33" s="1">
        <v>3</v>
      </c>
      <c r="R33" s="1">
        <v>3</v>
      </c>
      <c r="S33" s="1">
        <v>1</v>
      </c>
      <c r="T33" s="1">
        <v>1</v>
      </c>
      <c r="U33" s="1">
        <v>3</v>
      </c>
      <c r="V33" s="1">
        <v>3</v>
      </c>
      <c r="W33" s="1">
        <v>3</v>
      </c>
      <c r="X33" s="1">
        <v>3</v>
      </c>
      <c r="Y33" s="1">
        <v>3</v>
      </c>
      <c r="Z33" s="1">
        <v>3</v>
      </c>
      <c r="AA33" s="1">
        <v>3</v>
      </c>
      <c r="AC33" s="1">
        <v>2</v>
      </c>
      <c r="AE33" s="1">
        <v>2</v>
      </c>
      <c r="AF33" s="3">
        <v>3200000</v>
      </c>
      <c r="AG33" s="1">
        <v>13</v>
      </c>
      <c r="AT33" s="1" t="s">
        <v>93</v>
      </c>
      <c r="BP33" s="1">
        <v>3</v>
      </c>
      <c r="BQ33" s="1" t="s">
        <v>306</v>
      </c>
      <c r="BR33" s="1" t="s">
        <v>307</v>
      </c>
      <c r="BS33" s="1" t="s">
        <v>308</v>
      </c>
      <c r="BT33" s="1" t="s">
        <v>79</v>
      </c>
      <c r="BU33" s="1">
        <v>1</v>
      </c>
      <c r="BV33" s="1">
        <v>2</v>
      </c>
      <c r="BW33" s="1">
        <v>1</v>
      </c>
      <c r="BX33" s="1">
        <v>0</v>
      </c>
      <c r="BY33" s="1">
        <v>0</v>
      </c>
      <c r="BZ33" s="1">
        <v>0</v>
      </c>
      <c r="CA33" s="1">
        <v>0</v>
      </c>
      <c r="CB33" s="1">
        <v>0</v>
      </c>
      <c r="CC33" s="1">
        <v>0</v>
      </c>
      <c r="CD33" s="1">
        <v>0</v>
      </c>
      <c r="CE33" s="1">
        <v>0</v>
      </c>
      <c r="CF33" s="1">
        <v>0</v>
      </c>
      <c r="CG33" s="1">
        <v>0</v>
      </c>
      <c r="CH33" s="1">
        <v>0</v>
      </c>
      <c r="CI33" s="1">
        <v>0</v>
      </c>
      <c r="CJ33" s="1">
        <v>4</v>
      </c>
      <c r="CK33" s="1">
        <v>4</v>
      </c>
      <c r="CL33" s="1">
        <v>4</v>
      </c>
      <c r="CM33" s="1">
        <v>4</v>
      </c>
      <c r="CN33" s="1">
        <v>4</v>
      </c>
      <c r="CO33" s="1">
        <v>4</v>
      </c>
      <c r="CP33" s="1">
        <v>4</v>
      </c>
      <c r="CU33" s="1">
        <v>1</v>
      </c>
    </row>
    <row r="34" spans="1:99" x14ac:dyDescent="0.35">
      <c r="A34" s="1" t="s">
        <v>309</v>
      </c>
      <c r="B34" s="1">
        <v>185111039</v>
      </c>
      <c r="C34" s="1">
        <v>0</v>
      </c>
      <c r="D34" s="1">
        <v>0</v>
      </c>
      <c r="E34" s="1">
        <v>0</v>
      </c>
      <c r="F34" s="1">
        <v>0</v>
      </c>
      <c r="G34" s="1">
        <v>0</v>
      </c>
      <c r="H34" s="1">
        <v>0</v>
      </c>
      <c r="I34" s="1">
        <v>0</v>
      </c>
      <c r="J34" s="1">
        <v>0</v>
      </c>
      <c r="K34" s="1">
        <v>1</v>
      </c>
      <c r="L34" s="1">
        <v>0</v>
      </c>
      <c r="M34" s="1">
        <v>0</v>
      </c>
      <c r="N34" s="1">
        <v>0</v>
      </c>
      <c r="O34" s="1">
        <v>0</v>
      </c>
      <c r="P34" s="1">
        <v>0</v>
      </c>
      <c r="Q34" s="1">
        <v>0</v>
      </c>
      <c r="R34" s="1">
        <v>0</v>
      </c>
      <c r="S34" s="1">
        <v>1</v>
      </c>
      <c r="T34" s="1">
        <v>3</v>
      </c>
      <c r="U34" s="1">
        <v>4</v>
      </c>
      <c r="V34" s="1">
        <v>3</v>
      </c>
      <c r="W34" s="1">
        <v>2</v>
      </c>
      <c r="X34" s="1">
        <v>3</v>
      </c>
      <c r="Y34" s="1">
        <v>3</v>
      </c>
      <c r="Z34" s="1">
        <v>3</v>
      </c>
      <c r="AA34" s="1">
        <v>3</v>
      </c>
      <c r="AC34" s="1">
        <v>1</v>
      </c>
      <c r="AD34" s="1">
        <v>0</v>
      </c>
      <c r="AF34" s="3">
        <v>2500000</v>
      </c>
      <c r="AG34" s="1">
        <v>13</v>
      </c>
      <c r="AT34" s="1" t="s">
        <v>93</v>
      </c>
      <c r="BP34" s="1">
        <v>3</v>
      </c>
      <c r="BQ34" s="1" t="s">
        <v>310</v>
      </c>
      <c r="BR34" s="1" t="s">
        <v>311</v>
      </c>
      <c r="BS34" s="1" t="s">
        <v>312</v>
      </c>
      <c r="BT34" s="1" t="s">
        <v>79</v>
      </c>
      <c r="BU34" s="1">
        <v>3</v>
      </c>
      <c r="BV34" s="1">
        <v>2</v>
      </c>
      <c r="BW34" s="1">
        <v>1</v>
      </c>
      <c r="BX34" s="1">
        <v>0</v>
      </c>
      <c r="BY34" s="1">
        <v>0</v>
      </c>
      <c r="BZ34" s="1">
        <v>0</v>
      </c>
      <c r="CA34" s="1">
        <v>0</v>
      </c>
      <c r="CB34" s="1">
        <v>0</v>
      </c>
      <c r="CC34" s="1">
        <v>0</v>
      </c>
      <c r="CD34" s="1">
        <v>0</v>
      </c>
      <c r="CE34" s="1">
        <v>0</v>
      </c>
      <c r="CF34" s="1">
        <v>0</v>
      </c>
      <c r="CG34" s="1">
        <v>0</v>
      </c>
      <c r="CH34" s="1">
        <v>0</v>
      </c>
      <c r="CI34" s="1">
        <v>0</v>
      </c>
      <c r="CJ34" s="1">
        <v>4</v>
      </c>
      <c r="CK34" s="1">
        <v>3</v>
      </c>
      <c r="CL34" s="1">
        <v>3</v>
      </c>
      <c r="CM34" s="1">
        <v>4</v>
      </c>
      <c r="CN34" s="1">
        <v>4</v>
      </c>
      <c r="CO34" s="1">
        <v>4</v>
      </c>
      <c r="CP34" s="1">
        <v>4</v>
      </c>
      <c r="CU34" s="1">
        <v>1</v>
      </c>
    </row>
    <row r="35" spans="1:99" x14ac:dyDescent="0.35">
      <c r="A35" s="1" t="s">
        <v>313</v>
      </c>
      <c r="B35" s="1">
        <v>185111040</v>
      </c>
      <c r="C35" s="1">
        <v>0</v>
      </c>
      <c r="D35" s="1">
        <v>1</v>
      </c>
      <c r="E35" s="1">
        <v>0</v>
      </c>
      <c r="F35" s="1">
        <v>0</v>
      </c>
      <c r="G35" s="1">
        <v>0</v>
      </c>
      <c r="H35" s="1">
        <v>0</v>
      </c>
      <c r="I35" s="1">
        <v>0</v>
      </c>
      <c r="J35" s="1">
        <v>0</v>
      </c>
      <c r="K35" s="1">
        <v>0</v>
      </c>
      <c r="L35" s="1">
        <v>0</v>
      </c>
      <c r="M35" s="1">
        <v>0</v>
      </c>
      <c r="N35" s="1">
        <v>0</v>
      </c>
      <c r="O35" s="1">
        <v>0</v>
      </c>
      <c r="P35" s="1">
        <v>1</v>
      </c>
      <c r="Q35" s="1">
        <v>1</v>
      </c>
      <c r="R35" s="1">
        <v>1</v>
      </c>
      <c r="S35" s="1">
        <v>5</v>
      </c>
      <c r="T35" s="1">
        <v>2</v>
      </c>
      <c r="U35" s="1">
        <v>4</v>
      </c>
      <c r="V35" s="1">
        <v>3</v>
      </c>
      <c r="W35" s="1">
        <v>4</v>
      </c>
      <c r="X35" s="1">
        <v>4</v>
      </c>
      <c r="Y35" s="1">
        <v>4</v>
      </c>
      <c r="Z35" s="1">
        <v>4</v>
      </c>
      <c r="AA35" s="1">
        <v>4</v>
      </c>
      <c r="CU35" s="1">
        <v>4</v>
      </c>
    </row>
    <row r="36" spans="1:99" x14ac:dyDescent="0.35">
      <c r="A36" s="1" t="s">
        <v>314</v>
      </c>
      <c r="B36" s="1">
        <v>185111041</v>
      </c>
      <c r="C36" s="1">
        <v>0</v>
      </c>
      <c r="D36" s="1">
        <v>1</v>
      </c>
      <c r="E36" s="1">
        <v>0</v>
      </c>
      <c r="F36" s="1">
        <v>0</v>
      </c>
      <c r="G36" s="1">
        <v>0</v>
      </c>
      <c r="H36" s="1">
        <v>0</v>
      </c>
      <c r="I36" s="1">
        <v>0</v>
      </c>
      <c r="J36" s="1">
        <v>1</v>
      </c>
      <c r="K36" s="1">
        <v>1</v>
      </c>
      <c r="L36" s="1">
        <v>0</v>
      </c>
      <c r="M36" s="1">
        <v>0</v>
      </c>
      <c r="N36" s="1">
        <v>0</v>
      </c>
      <c r="O36" s="1">
        <v>0</v>
      </c>
      <c r="P36" s="1" t="s">
        <v>315</v>
      </c>
      <c r="Q36" s="1">
        <v>5</v>
      </c>
      <c r="R36" s="1">
        <v>5</v>
      </c>
      <c r="S36" s="1">
        <v>1</v>
      </c>
      <c r="T36" s="1">
        <v>1</v>
      </c>
      <c r="U36" s="1">
        <v>3</v>
      </c>
      <c r="V36" s="1">
        <v>3</v>
      </c>
      <c r="W36" s="1">
        <v>3</v>
      </c>
      <c r="X36" s="1">
        <v>3</v>
      </c>
      <c r="Y36" s="1">
        <v>3</v>
      </c>
      <c r="Z36" s="1">
        <v>3</v>
      </c>
      <c r="AA36" s="1">
        <v>3</v>
      </c>
      <c r="AC36" s="1">
        <v>1</v>
      </c>
      <c r="AD36" s="1">
        <v>3</v>
      </c>
      <c r="AF36" s="3">
        <v>6000000</v>
      </c>
      <c r="AG36" s="1">
        <v>11</v>
      </c>
      <c r="AR36" s="1" t="s">
        <v>222</v>
      </c>
      <c r="BP36" s="1">
        <v>3</v>
      </c>
      <c r="BQ36" s="1" t="s">
        <v>290</v>
      </c>
      <c r="BR36" s="1" t="s">
        <v>316</v>
      </c>
      <c r="BS36" s="1" t="s">
        <v>317</v>
      </c>
      <c r="BT36" s="1" t="s">
        <v>73</v>
      </c>
      <c r="BU36" s="1">
        <v>1</v>
      </c>
      <c r="BV36" s="1">
        <v>2</v>
      </c>
      <c r="BW36" s="1">
        <v>1</v>
      </c>
      <c r="BX36" s="1">
        <v>0</v>
      </c>
      <c r="BY36" s="1">
        <v>0</v>
      </c>
      <c r="BZ36" s="1">
        <v>0</v>
      </c>
      <c r="CA36" s="1">
        <v>0</v>
      </c>
      <c r="CB36" s="1">
        <v>0</v>
      </c>
      <c r="CC36" s="1">
        <v>0</v>
      </c>
      <c r="CD36" s="1">
        <v>0</v>
      </c>
      <c r="CE36" s="1">
        <v>0</v>
      </c>
      <c r="CF36" s="1">
        <v>0</v>
      </c>
      <c r="CG36" s="1">
        <v>0</v>
      </c>
      <c r="CH36" s="1">
        <v>0</v>
      </c>
      <c r="CI36" s="1">
        <v>0</v>
      </c>
      <c r="CJ36" s="1">
        <v>3</v>
      </c>
      <c r="CK36" s="1">
        <v>3</v>
      </c>
      <c r="CL36" s="1">
        <v>3</v>
      </c>
      <c r="CM36" s="1">
        <v>3</v>
      </c>
      <c r="CN36" s="1">
        <v>3</v>
      </c>
      <c r="CO36" s="1">
        <v>3</v>
      </c>
      <c r="CP36" s="1">
        <v>3</v>
      </c>
      <c r="CU36" s="1">
        <v>1</v>
      </c>
    </row>
    <row r="37" spans="1:99" x14ac:dyDescent="0.35">
      <c r="A37" s="1" t="s">
        <v>318</v>
      </c>
      <c r="B37" s="1">
        <v>185111042</v>
      </c>
      <c r="S37" s="1">
        <v>2</v>
      </c>
      <c r="T37" s="1">
        <v>1</v>
      </c>
      <c r="U37" s="1">
        <v>4</v>
      </c>
      <c r="V37" s="1">
        <v>3</v>
      </c>
      <c r="W37" s="1">
        <v>3</v>
      </c>
      <c r="X37" s="1">
        <v>4</v>
      </c>
      <c r="Y37" s="1">
        <v>4</v>
      </c>
      <c r="Z37" s="1">
        <v>4</v>
      </c>
      <c r="AA37" s="1">
        <v>4</v>
      </c>
      <c r="CU37" s="1">
        <v>1</v>
      </c>
    </row>
    <row r="38" spans="1:99" x14ac:dyDescent="0.35">
      <c r="A38" s="1" t="s">
        <v>319</v>
      </c>
      <c r="B38" s="1">
        <v>185111044</v>
      </c>
      <c r="C38" s="1">
        <v>0</v>
      </c>
      <c r="D38" s="1">
        <v>1</v>
      </c>
      <c r="E38" s="1">
        <v>0</v>
      </c>
      <c r="F38" s="1">
        <v>0</v>
      </c>
      <c r="G38" s="1">
        <v>0</v>
      </c>
      <c r="H38" s="1">
        <v>0</v>
      </c>
      <c r="I38" s="1">
        <v>1</v>
      </c>
      <c r="J38" s="1">
        <v>0</v>
      </c>
      <c r="K38" s="1">
        <v>0</v>
      </c>
      <c r="L38" s="1">
        <v>0</v>
      </c>
      <c r="M38" s="1">
        <v>0</v>
      </c>
      <c r="N38" s="1">
        <v>0</v>
      </c>
      <c r="O38" s="1">
        <v>0</v>
      </c>
      <c r="P38" s="1">
        <v>7</v>
      </c>
      <c r="Q38" s="1">
        <v>3</v>
      </c>
      <c r="R38" s="1">
        <v>2</v>
      </c>
      <c r="S38" s="1">
        <v>1</v>
      </c>
      <c r="T38" s="1">
        <v>1</v>
      </c>
      <c r="U38" s="1">
        <v>4</v>
      </c>
      <c r="V38" s="1">
        <v>4</v>
      </c>
      <c r="W38" s="1">
        <v>4</v>
      </c>
      <c r="X38" s="1">
        <v>4</v>
      </c>
      <c r="Y38" s="1">
        <v>4</v>
      </c>
      <c r="Z38" s="1">
        <v>4</v>
      </c>
      <c r="AA38" s="1">
        <v>4</v>
      </c>
      <c r="AC38" s="1">
        <v>1</v>
      </c>
      <c r="AD38" s="1">
        <v>3</v>
      </c>
      <c r="AF38" s="3">
        <v>5700000</v>
      </c>
      <c r="AG38" s="1">
        <v>11</v>
      </c>
      <c r="AR38" s="1" t="s">
        <v>222</v>
      </c>
      <c r="BP38" s="1">
        <v>3</v>
      </c>
      <c r="BQ38" s="1" t="s">
        <v>320</v>
      </c>
      <c r="BR38" s="1" t="s">
        <v>321</v>
      </c>
      <c r="BS38" s="1" t="s">
        <v>322</v>
      </c>
      <c r="BT38" s="1" t="s">
        <v>79</v>
      </c>
      <c r="BU38" s="1">
        <v>1</v>
      </c>
      <c r="BV38" s="1">
        <v>2</v>
      </c>
      <c r="BW38" s="1">
        <v>1</v>
      </c>
      <c r="BX38" s="1">
        <v>0</v>
      </c>
      <c r="BY38" s="1">
        <v>0</v>
      </c>
      <c r="BZ38" s="1">
        <v>0</v>
      </c>
      <c r="CA38" s="1">
        <v>0</v>
      </c>
      <c r="CB38" s="1">
        <v>0</v>
      </c>
      <c r="CC38" s="1">
        <v>0</v>
      </c>
      <c r="CD38" s="1">
        <v>0</v>
      </c>
      <c r="CE38" s="1">
        <v>0</v>
      </c>
      <c r="CF38" s="1">
        <v>0</v>
      </c>
      <c r="CG38" s="1">
        <v>0</v>
      </c>
      <c r="CH38" s="1">
        <v>0</v>
      </c>
      <c r="CI38" s="1">
        <v>0</v>
      </c>
      <c r="CJ38" s="1">
        <v>4</v>
      </c>
      <c r="CK38" s="1">
        <v>4</v>
      </c>
      <c r="CL38" s="1">
        <v>4</v>
      </c>
      <c r="CM38" s="1">
        <v>4</v>
      </c>
      <c r="CN38" s="1">
        <v>4</v>
      </c>
      <c r="CO38" s="1">
        <v>4</v>
      </c>
      <c r="CP38" s="1">
        <v>4</v>
      </c>
      <c r="CU38" s="1">
        <v>1</v>
      </c>
    </row>
    <row r="39" spans="1:99" x14ac:dyDescent="0.35">
      <c r="A39" s="1" t="s">
        <v>323</v>
      </c>
      <c r="B39" s="1">
        <v>185111046</v>
      </c>
      <c r="C39" s="1">
        <v>0</v>
      </c>
      <c r="D39" s="1">
        <v>1</v>
      </c>
      <c r="E39" s="1">
        <v>0</v>
      </c>
      <c r="F39" s="1">
        <v>0</v>
      </c>
      <c r="G39" s="1">
        <v>0</v>
      </c>
      <c r="H39" s="1">
        <v>1</v>
      </c>
      <c r="I39" s="1">
        <v>0</v>
      </c>
      <c r="J39" s="1">
        <v>0</v>
      </c>
      <c r="K39" s="1">
        <v>1</v>
      </c>
      <c r="L39" s="1">
        <v>0</v>
      </c>
      <c r="M39" s="1">
        <v>0</v>
      </c>
      <c r="N39" s="1">
        <v>0</v>
      </c>
      <c r="O39" s="1">
        <v>0</v>
      </c>
      <c r="P39" s="1">
        <v>30</v>
      </c>
      <c r="Q39" s="1">
        <v>10</v>
      </c>
      <c r="R39" s="1">
        <v>10</v>
      </c>
      <c r="S39" s="1">
        <v>1</v>
      </c>
      <c r="T39" s="1">
        <v>1</v>
      </c>
      <c r="U39" s="1">
        <v>4</v>
      </c>
      <c r="V39" s="1">
        <v>4</v>
      </c>
      <c r="W39" s="1">
        <v>4</v>
      </c>
      <c r="X39" s="1">
        <v>4</v>
      </c>
      <c r="Y39" s="1">
        <v>2</v>
      </c>
      <c r="Z39" s="1">
        <v>3</v>
      </c>
      <c r="AA39" s="1">
        <v>3</v>
      </c>
      <c r="AC39" s="1">
        <v>2</v>
      </c>
      <c r="AE39" s="1">
        <v>2</v>
      </c>
      <c r="AF39" s="3">
        <v>5300000</v>
      </c>
      <c r="AG39" s="1">
        <v>11</v>
      </c>
      <c r="AR39" s="1" t="s">
        <v>130</v>
      </c>
      <c r="BP39" s="1">
        <v>3</v>
      </c>
      <c r="BQ39" s="1" t="s">
        <v>324</v>
      </c>
      <c r="BR39" s="1" t="s">
        <v>325</v>
      </c>
      <c r="BS39" s="1" t="s">
        <v>326</v>
      </c>
      <c r="BT39" s="1" t="s">
        <v>79</v>
      </c>
      <c r="BU39" s="1">
        <v>1</v>
      </c>
      <c r="BV39" s="1">
        <v>1</v>
      </c>
      <c r="BW39" s="1">
        <v>1</v>
      </c>
      <c r="BX39" s="1">
        <v>0</v>
      </c>
      <c r="BY39" s="1">
        <v>0</v>
      </c>
      <c r="BZ39" s="1">
        <v>0</v>
      </c>
      <c r="CA39" s="1">
        <v>0</v>
      </c>
      <c r="CB39" s="1">
        <v>0</v>
      </c>
      <c r="CC39" s="1">
        <v>0</v>
      </c>
      <c r="CD39" s="1">
        <v>0</v>
      </c>
      <c r="CE39" s="1">
        <v>0</v>
      </c>
      <c r="CF39" s="1">
        <v>0</v>
      </c>
      <c r="CG39" s="1">
        <v>0</v>
      </c>
      <c r="CH39" s="1">
        <v>0</v>
      </c>
      <c r="CI39" s="1">
        <v>0</v>
      </c>
      <c r="CJ39" s="1">
        <v>3</v>
      </c>
      <c r="CK39" s="1">
        <v>3</v>
      </c>
      <c r="CL39" s="1">
        <v>3</v>
      </c>
      <c r="CM39" s="1">
        <v>4</v>
      </c>
      <c r="CN39" s="1">
        <v>2</v>
      </c>
      <c r="CO39" s="1">
        <v>3</v>
      </c>
      <c r="CP39" s="1">
        <v>3</v>
      </c>
      <c r="CU39" s="1">
        <v>1</v>
      </c>
    </row>
    <row r="40" spans="1:99" x14ac:dyDescent="0.35">
      <c r="A40" s="1" t="s">
        <v>327</v>
      </c>
      <c r="B40" s="1">
        <v>185111047</v>
      </c>
      <c r="C40" s="1">
        <v>0</v>
      </c>
      <c r="D40" s="1">
        <v>0</v>
      </c>
      <c r="E40" s="1">
        <v>0</v>
      </c>
      <c r="F40" s="1">
        <v>0</v>
      </c>
      <c r="G40" s="1">
        <v>0</v>
      </c>
      <c r="H40" s="1">
        <v>0</v>
      </c>
      <c r="I40" s="1">
        <v>0</v>
      </c>
      <c r="J40" s="1">
        <v>0</v>
      </c>
      <c r="K40" s="1">
        <v>1</v>
      </c>
      <c r="L40" s="1">
        <v>0</v>
      </c>
      <c r="M40" s="1">
        <v>0</v>
      </c>
      <c r="N40" s="1">
        <v>0</v>
      </c>
      <c r="O40" s="1">
        <v>0</v>
      </c>
      <c r="P40" s="1">
        <v>1</v>
      </c>
      <c r="Q40" s="1">
        <v>0</v>
      </c>
      <c r="R40" s="1">
        <v>0</v>
      </c>
      <c r="S40" s="1">
        <v>1</v>
      </c>
      <c r="T40" s="1">
        <v>1</v>
      </c>
      <c r="U40" s="1">
        <v>4</v>
      </c>
      <c r="V40" s="1">
        <v>3</v>
      </c>
      <c r="W40" s="1">
        <v>2</v>
      </c>
      <c r="X40" s="1">
        <v>3</v>
      </c>
      <c r="Y40" s="1">
        <v>2</v>
      </c>
      <c r="Z40" s="1">
        <v>3</v>
      </c>
      <c r="AA40" s="1">
        <v>2</v>
      </c>
      <c r="AC40" s="1">
        <v>1</v>
      </c>
      <c r="AD40" s="1">
        <v>1</v>
      </c>
      <c r="AF40" s="3">
        <v>3000000</v>
      </c>
      <c r="AG40" s="1">
        <v>13</v>
      </c>
      <c r="AT40" s="1" t="s">
        <v>86</v>
      </c>
      <c r="BP40" s="1">
        <v>7</v>
      </c>
      <c r="BQ40" s="1" t="s">
        <v>328</v>
      </c>
      <c r="BT40" s="1" t="s">
        <v>79</v>
      </c>
      <c r="BU40" s="1">
        <v>1</v>
      </c>
      <c r="BV40" s="1">
        <v>1</v>
      </c>
      <c r="BW40" s="1">
        <v>1</v>
      </c>
      <c r="BX40" s="1">
        <v>0</v>
      </c>
      <c r="BY40" s="1">
        <v>0</v>
      </c>
      <c r="BZ40" s="1">
        <v>0</v>
      </c>
      <c r="CA40" s="1">
        <v>0</v>
      </c>
      <c r="CB40" s="1">
        <v>0</v>
      </c>
      <c r="CC40" s="1">
        <v>0</v>
      </c>
      <c r="CD40" s="1">
        <v>0</v>
      </c>
      <c r="CE40" s="1">
        <v>0</v>
      </c>
      <c r="CF40" s="1">
        <v>0</v>
      </c>
      <c r="CG40" s="1">
        <v>0</v>
      </c>
      <c r="CH40" s="1">
        <v>0</v>
      </c>
      <c r="CI40" s="1">
        <v>0</v>
      </c>
      <c r="CJ40" s="1">
        <v>4</v>
      </c>
      <c r="CK40" s="1">
        <v>3</v>
      </c>
      <c r="CL40" s="1">
        <v>3</v>
      </c>
      <c r="CM40" s="1">
        <v>3</v>
      </c>
      <c r="CN40" s="1">
        <v>4</v>
      </c>
      <c r="CO40" s="1">
        <v>4</v>
      </c>
      <c r="CP40" s="1">
        <v>3</v>
      </c>
      <c r="CU40" s="1">
        <v>1</v>
      </c>
    </row>
    <row r="41" spans="1:99" x14ac:dyDescent="0.35">
      <c r="A41" s="1" t="s">
        <v>329</v>
      </c>
      <c r="B41" s="1">
        <v>185111048</v>
      </c>
      <c r="C41" s="1">
        <v>0</v>
      </c>
      <c r="D41" s="1">
        <v>0</v>
      </c>
      <c r="E41" s="1">
        <v>0</v>
      </c>
      <c r="F41" s="1">
        <v>0</v>
      </c>
      <c r="G41" s="1">
        <v>0</v>
      </c>
      <c r="H41" s="1">
        <v>0</v>
      </c>
      <c r="I41" s="1">
        <v>0</v>
      </c>
      <c r="J41" s="1">
        <v>0</v>
      </c>
      <c r="K41" s="1">
        <v>0</v>
      </c>
      <c r="L41" s="1">
        <v>0</v>
      </c>
      <c r="M41" s="1">
        <v>1</v>
      </c>
      <c r="N41" s="1">
        <v>0</v>
      </c>
      <c r="O41" s="1">
        <v>0</v>
      </c>
      <c r="P41" s="1">
        <v>2</v>
      </c>
      <c r="Q41" s="1">
        <v>1</v>
      </c>
      <c r="R41" s="1">
        <v>1</v>
      </c>
      <c r="S41" s="1">
        <v>1</v>
      </c>
      <c r="T41" s="1">
        <v>1</v>
      </c>
      <c r="U41" s="1">
        <v>4</v>
      </c>
      <c r="V41" s="1">
        <v>3</v>
      </c>
      <c r="W41" s="1">
        <v>3</v>
      </c>
      <c r="X41" s="1">
        <v>4</v>
      </c>
      <c r="Y41" s="1">
        <v>4</v>
      </c>
      <c r="Z41" s="1">
        <v>4</v>
      </c>
      <c r="AA41" s="1">
        <v>4</v>
      </c>
      <c r="AC41" s="1">
        <v>1</v>
      </c>
      <c r="AD41" s="1">
        <v>0</v>
      </c>
      <c r="AF41" s="3">
        <v>5700000</v>
      </c>
      <c r="AG41" s="1">
        <v>11</v>
      </c>
      <c r="AR41" s="1" t="s">
        <v>222</v>
      </c>
      <c r="BP41" s="1">
        <v>3</v>
      </c>
      <c r="BQ41" s="1" t="s">
        <v>290</v>
      </c>
      <c r="BR41" s="1" t="s">
        <v>330</v>
      </c>
      <c r="BS41" s="1" t="s">
        <v>331</v>
      </c>
      <c r="BT41" s="1" t="s">
        <v>79</v>
      </c>
      <c r="BU41" s="1">
        <v>1</v>
      </c>
      <c r="BV41" s="1">
        <v>2</v>
      </c>
      <c r="BW41" s="1">
        <v>1</v>
      </c>
      <c r="BX41" s="1">
        <v>0</v>
      </c>
      <c r="BY41" s="1">
        <v>0</v>
      </c>
      <c r="BZ41" s="1">
        <v>0</v>
      </c>
      <c r="CA41" s="1">
        <v>0</v>
      </c>
      <c r="CB41" s="1">
        <v>0</v>
      </c>
      <c r="CC41" s="1">
        <v>0</v>
      </c>
      <c r="CD41" s="1">
        <v>0</v>
      </c>
      <c r="CE41" s="1">
        <v>0</v>
      </c>
      <c r="CF41" s="1">
        <v>0</v>
      </c>
      <c r="CG41" s="1">
        <v>0</v>
      </c>
      <c r="CH41" s="1">
        <v>0</v>
      </c>
      <c r="CI41" s="1">
        <v>0</v>
      </c>
      <c r="CJ41" s="1">
        <v>4</v>
      </c>
      <c r="CK41" s="1">
        <v>4</v>
      </c>
      <c r="CL41" s="1">
        <v>4</v>
      </c>
      <c r="CM41" s="1">
        <v>4</v>
      </c>
      <c r="CN41" s="1">
        <v>4</v>
      </c>
      <c r="CO41" s="1">
        <v>4</v>
      </c>
      <c r="CP41" s="1">
        <v>4</v>
      </c>
      <c r="CU41" s="1">
        <v>1</v>
      </c>
    </row>
    <row r="42" spans="1:99" x14ac:dyDescent="0.35">
      <c r="A42" s="1" t="s">
        <v>332</v>
      </c>
      <c r="B42" s="1">
        <v>185111049</v>
      </c>
      <c r="C42" s="1">
        <v>1</v>
      </c>
      <c r="D42" s="1">
        <v>1</v>
      </c>
      <c r="E42" s="1">
        <v>0</v>
      </c>
      <c r="F42" s="1">
        <v>0</v>
      </c>
      <c r="G42" s="1">
        <v>0</v>
      </c>
      <c r="H42" s="1">
        <v>0</v>
      </c>
      <c r="I42" s="1">
        <v>0</v>
      </c>
      <c r="J42" s="1">
        <v>0</v>
      </c>
      <c r="K42" s="1">
        <v>0</v>
      </c>
      <c r="L42" s="1">
        <v>0</v>
      </c>
      <c r="M42" s="1">
        <v>0</v>
      </c>
      <c r="N42" s="1">
        <v>0</v>
      </c>
      <c r="O42" s="1">
        <v>0</v>
      </c>
      <c r="P42" s="1">
        <v>3</v>
      </c>
      <c r="Q42" s="1">
        <v>2</v>
      </c>
      <c r="R42" s="1">
        <v>2</v>
      </c>
      <c r="S42" s="1">
        <v>1</v>
      </c>
      <c r="T42" s="1">
        <v>3</v>
      </c>
      <c r="U42" s="1">
        <v>4</v>
      </c>
      <c r="V42" s="1">
        <v>3</v>
      </c>
      <c r="W42" s="1">
        <v>3</v>
      </c>
      <c r="X42" s="1">
        <v>3</v>
      </c>
      <c r="Y42" s="1">
        <v>4</v>
      </c>
      <c r="Z42" s="1">
        <v>4</v>
      </c>
      <c r="AA42" s="1">
        <v>4</v>
      </c>
      <c r="AC42" s="1">
        <v>1</v>
      </c>
      <c r="AD42" s="1">
        <v>0</v>
      </c>
      <c r="AF42" s="3">
        <v>3200000</v>
      </c>
      <c r="AG42" s="1">
        <v>13</v>
      </c>
      <c r="AT42" s="1" t="s">
        <v>93</v>
      </c>
      <c r="BP42" s="1">
        <v>3</v>
      </c>
      <c r="BQ42" s="1" t="s">
        <v>333</v>
      </c>
      <c r="BR42" s="1" t="s">
        <v>334</v>
      </c>
      <c r="BS42" s="1" t="s">
        <v>335</v>
      </c>
      <c r="BT42" s="1" t="s">
        <v>79</v>
      </c>
      <c r="BU42" s="1">
        <v>2</v>
      </c>
      <c r="BV42" s="1">
        <v>2</v>
      </c>
      <c r="BW42" s="1">
        <v>0</v>
      </c>
      <c r="BX42" s="1">
        <v>0</v>
      </c>
      <c r="BY42" s="1">
        <v>0</v>
      </c>
      <c r="BZ42" s="1">
        <v>0</v>
      </c>
      <c r="CA42" s="1">
        <v>0</v>
      </c>
      <c r="CB42" s="1">
        <v>0</v>
      </c>
      <c r="CC42" s="1">
        <v>0</v>
      </c>
      <c r="CD42" s="1">
        <v>0</v>
      </c>
      <c r="CE42" s="1">
        <v>0</v>
      </c>
      <c r="CF42" s="1">
        <v>0</v>
      </c>
      <c r="CG42" s="1">
        <v>0</v>
      </c>
      <c r="CH42" s="1">
        <v>1</v>
      </c>
      <c r="CI42" s="1">
        <v>0</v>
      </c>
      <c r="CJ42" s="1">
        <v>4</v>
      </c>
      <c r="CK42" s="1">
        <v>3</v>
      </c>
      <c r="CL42" s="1">
        <v>2</v>
      </c>
      <c r="CM42" s="1">
        <v>4</v>
      </c>
      <c r="CN42" s="1">
        <v>4</v>
      </c>
      <c r="CO42" s="1">
        <v>4</v>
      </c>
      <c r="CP42" s="1">
        <v>4</v>
      </c>
      <c r="CU42" s="1">
        <v>1</v>
      </c>
    </row>
    <row r="43" spans="1:99" x14ac:dyDescent="0.35">
      <c r="A43" s="1" t="s">
        <v>336</v>
      </c>
      <c r="B43" s="1">
        <v>185111050</v>
      </c>
      <c r="C43" s="1">
        <v>0</v>
      </c>
      <c r="D43" s="1">
        <v>0</v>
      </c>
      <c r="E43" s="1">
        <v>0</v>
      </c>
      <c r="F43" s="1">
        <v>0</v>
      </c>
      <c r="G43" s="1">
        <v>0</v>
      </c>
      <c r="H43" s="1">
        <v>0</v>
      </c>
      <c r="I43" s="1">
        <v>0</v>
      </c>
      <c r="J43" s="1">
        <v>0</v>
      </c>
      <c r="K43" s="1">
        <v>1</v>
      </c>
      <c r="L43" s="1">
        <v>0</v>
      </c>
      <c r="M43" s="1">
        <v>0</v>
      </c>
      <c r="N43" s="1">
        <v>0</v>
      </c>
      <c r="O43" s="1">
        <v>0</v>
      </c>
      <c r="P43" s="1">
        <v>0</v>
      </c>
      <c r="Q43" s="1">
        <v>1</v>
      </c>
      <c r="R43" s="1">
        <v>1</v>
      </c>
      <c r="S43" s="1">
        <v>1</v>
      </c>
      <c r="T43" s="1">
        <v>1</v>
      </c>
      <c r="U43" s="1">
        <v>3</v>
      </c>
      <c r="V43" s="1">
        <v>3</v>
      </c>
      <c r="W43" s="1">
        <v>3</v>
      </c>
      <c r="X43" s="1">
        <v>3</v>
      </c>
      <c r="Y43" s="1">
        <v>3</v>
      </c>
      <c r="Z43" s="1">
        <v>3</v>
      </c>
      <c r="AA43" s="1">
        <v>3</v>
      </c>
      <c r="AC43" s="1">
        <v>1</v>
      </c>
      <c r="AD43" s="1">
        <v>1</v>
      </c>
      <c r="AF43" s="3">
        <v>3700000</v>
      </c>
      <c r="AG43" s="1">
        <v>13</v>
      </c>
      <c r="AT43" s="1" t="s">
        <v>86</v>
      </c>
      <c r="BP43" s="1">
        <v>3</v>
      </c>
      <c r="BQ43" s="1" t="s">
        <v>337</v>
      </c>
      <c r="BR43" s="1" t="s">
        <v>338</v>
      </c>
      <c r="BS43" s="1" t="s">
        <v>339</v>
      </c>
      <c r="BT43" s="1" t="s">
        <v>79</v>
      </c>
      <c r="BU43" s="1">
        <v>2</v>
      </c>
      <c r="BV43" s="1">
        <v>2</v>
      </c>
      <c r="BW43" s="1">
        <v>1</v>
      </c>
      <c r="BX43" s="1">
        <v>0</v>
      </c>
      <c r="BY43" s="1">
        <v>0</v>
      </c>
      <c r="BZ43" s="1">
        <v>0</v>
      </c>
      <c r="CA43" s="1">
        <v>0</v>
      </c>
      <c r="CB43" s="1">
        <v>0</v>
      </c>
      <c r="CC43" s="1">
        <v>0</v>
      </c>
      <c r="CD43" s="1">
        <v>0</v>
      </c>
      <c r="CE43" s="1">
        <v>0</v>
      </c>
      <c r="CF43" s="1">
        <v>0</v>
      </c>
      <c r="CG43" s="1">
        <v>0</v>
      </c>
      <c r="CH43" s="1">
        <v>0</v>
      </c>
      <c r="CI43" s="1">
        <v>0</v>
      </c>
      <c r="CJ43" s="1">
        <v>3</v>
      </c>
      <c r="CK43" s="1">
        <v>3</v>
      </c>
      <c r="CL43" s="1">
        <v>3</v>
      </c>
      <c r="CM43" s="1">
        <v>3</v>
      </c>
      <c r="CN43" s="1">
        <v>3</v>
      </c>
      <c r="CO43" s="1">
        <v>3</v>
      </c>
      <c r="CP43" s="1">
        <v>3</v>
      </c>
      <c r="CU43" s="1">
        <v>1</v>
      </c>
    </row>
    <row r="44" spans="1:99" x14ac:dyDescent="0.35">
      <c r="A44" s="1" t="s">
        <v>340</v>
      </c>
      <c r="B44" s="1">
        <v>185111051</v>
      </c>
      <c r="C44" s="1">
        <v>0</v>
      </c>
      <c r="D44" s="1">
        <v>1</v>
      </c>
      <c r="E44" s="1">
        <v>0</v>
      </c>
      <c r="F44" s="1">
        <v>0</v>
      </c>
      <c r="G44" s="1">
        <v>0</v>
      </c>
      <c r="H44" s="1">
        <v>0</v>
      </c>
      <c r="I44" s="1">
        <v>0</v>
      </c>
      <c r="J44" s="1">
        <v>0</v>
      </c>
      <c r="K44" s="1">
        <v>1</v>
      </c>
      <c r="L44" s="1">
        <v>0</v>
      </c>
      <c r="M44" s="1">
        <v>0</v>
      </c>
      <c r="N44" s="1">
        <v>0</v>
      </c>
      <c r="O44" s="1">
        <v>0</v>
      </c>
      <c r="P44" s="1">
        <v>80</v>
      </c>
      <c r="Q44" s="1">
        <v>15</v>
      </c>
      <c r="R44" s="1">
        <v>10</v>
      </c>
      <c r="S44" s="1">
        <v>1</v>
      </c>
      <c r="T44" s="1">
        <v>1</v>
      </c>
      <c r="U44" s="1">
        <v>4</v>
      </c>
      <c r="V44" s="1">
        <v>3</v>
      </c>
      <c r="W44" s="1">
        <v>3</v>
      </c>
      <c r="X44" s="1">
        <v>3</v>
      </c>
      <c r="Y44" s="1">
        <v>3</v>
      </c>
      <c r="Z44" s="1">
        <v>4</v>
      </c>
      <c r="AA44" s="1">
        <v>4</v>
      </c>
      <c r="AC44" s="1">
        <v>1</v>
      </c>
      <c r="AD44" s="1">
        <v>3</v>
      </c>
      <c r="AF44" s="3">
        <v>3600000</v>
      </c>
      <c r="AG44" s="1">
        <v>13</v>
      </c>
      <c r="AT44" s="1" t="s">
        <v>93</v>
      </c>
      <c r="BP44" s="1">
        <v>3</v>
      </c>
      <c r="BQ44" s="1" t="s">
        <v>341</v>
      </c>
      <c r="BR44" s="1" t="s">
        <v>342</v>
      </c>
      <c r="BS44" s="1" t="s">
        <v>343</v>
      </c>
      <c r="BT44" s="1" t="s">
        <v>73</v>
      </c>
      <c r="BU44" s="1">
        <v>1</v>
      </c>
      <c r="BV44" s="1">
        <v>2</v>
      </c>
      <c r="BW44" s="1">
        <v>0</v>
      </c>
      <c r="BX44" s="1">
        <v>0</v>
      </c>
      <c r="BY44" s="1">
        <v>0</v>
      </c>
      <c r="BZ44" s="1">
        <v>0</v>
      </c>
      <c r="CA44" s="1">
        <v>0</v>
      </c>
      <c r="CB44" s="1">
        <v>0</v>
      </c>
      <c r="CC44" s="1">
        <v>0</v>
      </c>
      <c r="CD44" s="1">
        <v>0</v>
      </c>
      <c r="CE44" s="1">
        <v>0</v>
      </c>
      <c r="CF44" s="1">
        <v>0</v>
      </c>
      <c r="CG44" s="1">
        <v>0</v>
      </c>
      <c r="CH44" s="1">
        <v>0</v>
      </c>
      <c r="CJ44" s="1">
        <v>4</v>
      </c>
      <c r="CK44" s="1">
        <v>4</v>
      </c>
      <c r="CL44" s="1">
        <v>4</v>
      </c>
      <c r="CM44" s="1">
        <v>4</v>
      </c>
      <c r="CN44" s="1">
        <v>4</v>
      </c>
      <c r="CO44" s="1">
        <v>4</v>
      </c>
      <c r="CP44" s="1">
        <v>4</v>
      </c>
      <c r="CU44" s="1">
        <v>1</v>
      </c>
    </row>
    <row r="45" spans="1:99" x14ac:dyDescent="0.35">
      <c r="A45" s="1" t="s">
        <v>344</v>
      </c>
      <c r="B45" s="1">
        <v>185111055</v>
      </c>
      <c r="C45" s="1">
        <v>0</v>
      </c>
      <c r="D45" s="1">
        <v>1</v>
      </c>
      <c r="E45" s="1">
        <v>0</v>
      </c>
      <c r="F45" s="1">
        <v>0</v>
      </c>
      <c r="G45" s="1">
        <v>0</v>
      </c>
      <c r="H45" s="1">
        <v>0</v>
      </c>
      <c r="I45" s="1">
        <v>0</v>
      </c>
      <c r="J45" s="1">
        <v>0</v>
      </c>
      <c r="K45" s="1">
        <v>0</v>
      </c>
      <c r="L45" s="1">
        <v>0</v>
      </c>
      <c r="M45" s="1">
        <v>0</v>
      </c>
      <c r="N45" s="1">
        <v>0</v>
      </c>
      <c r="O45" s="1">
        <v>0</v>
      </c>
      <c r="P45" s="1">
        <v>10</v>
      </c>
      <c r="Q45" s="1">
        <v>8</v>
      </c>
      <c r="R45" s="1">
        <v>3</v>
      </c>
      <c r="S45" s="1">
        <v>4</v>
      </c>
      <c r="T45" s="1">
        <v>1</v>
      </c>
      <c r="U45" s="1">
        <v>4</v>
      </c>
      <c r="V45" s="1">
        <v>4</v>
      </c>
      <c r="W45" s="1">
        <v>4</v>
      </c>
      <c r="X45" s="1">
        <v>4</v>
      </c>
      <c r="Y45" s="1">
        <v>4</v>
      </c>
      <c r="Z45" s="1">
        <v>4</v>
      </c>
      <c r="AA45" s="1">
        <v>4</v>
      </c>
      <c r="CQ45" s="1">
        <v>1</v>
      </c>
      <c r="CR45" s="1" t="s">
        <v>345</v>
      </c>
      <c r="CS45" s="1" t="s">
        <v>346</v>
      </c>
      <c r="CT45" s="5">
        <v>44615</v>
      </c>
      <c r="CU45" s="1">
        <v>4</v>
      </c>
    </row>
    <row r="46" spans="1:99" x14ac:dyDescent="0.35">
      <c r="A46" s="1" t="s">
        <v>347</v>
      </c>
      <c r="B46" s="1">
        <v>185111056</v>
      </c>
      <c r="C46" s="1">
        <v>0</v>
      </c>
      <c r="D46" s="1">
        <v>0</v>
      </c>
      <c r="E46" s="1">
        <v>0</v>
      </c>
      <c r="F46" s="1">
        <v>0</v>
      </c>
      <c r="G46" s="1">
        <v>0</v>
      </c>
      <c r="H46" s="1">
        <v>0</v>
      </c>
      <c r="I46" s="1">
        <v>0</v>
      </c>
      <c r="J46" s="1">
        <v>0</v>
      </c>
      <c r="K46" s="1">
        <v>1</v>
      </c>
      <c r="L46" s="1">
        <v>0</v>
      </c>
      <c r="M46" s="1">
        <v>0</v>
      </c>
      <c r="N46" s="1">
        <v>0</v>
      </c>
      <c r="O46" s="1">
        <v>0</v>
      </c>
      <c r="P46" s="1" t="s">
        <v>348</v>
      </c>
      <c r="Q46" s="1" t="s">
        <v>349</v>
      </c>
      <c r="R46" s="1">
        <v>20</v>
      </c>
      <c r="S46" s="1">
        <v>1</v>
      </c>
      <c r="T46" s="1">
        <v>4</v>
      </c>
      <c r="U46" s="1">
        <v>4</v>
      </c>
      <c r="V46" s="1">
        <v>4</v>
      </c>
      <c r="W46" s="1">
        <v>2</v>
      </c>
      <c r="X46" s="1">
        <v>4</v>
      </c>
      <c r="Y46" s="1">
        <v>4</v>
      </c>
      <c r="Z46" s="1">
        <v>4</v>
      </c>
      <c r="AA46" s="1">
        <v>4</v>
      </c>
      <c r="AC46" s="1">
        <v>1</v>
      </c>
      <c r="AD46" s="1">
        <v>0</v>
      </c>
      <c r="AF46" s="3">
        <v>2500000</v>
      </c>
      <c r="AG46" s="1">
        <v>13</v>
      </c>
      <c r="AT46" s="1" t="s">
        <v>86</v>
      </c>
      <c r="BP46" s="1">
        <v>2</v>
      </c>
      <c r="BQ46" s="1" t="s">
        <v>350</v>
      </c>
      <c r="BR46" s="1" t="s">
        <v>351</v>
      </c>
      <c r="BS46" s="1" t="s">
        <v>352</v>
      </c>
      <c r="BT46" s="1" t="s">
        <v>79</v>
      </c>
      <c r="BU46" s="1">
        <v>1</v>
      </c>
      <c r="BV46" s="1">
        <v>1</v>
      </c>
      <c r="BW46" s="1">
        <v>1</v>
      </c>
      <c r="BX46" s="1">
        <v>0</v>
      </c>
      <c r="BY46" s="1">
        <v>0</v>
      </c>
      <c r="BZ46" s="1">
        <v>0</v>
      </c>
      <c r="CA46" s="1">
        <v>0</v>
      </c>
      <c r="CB46" s="1">
        <v>0</v>
      </c>
      <c r="CC46" s="1">
        <v>0</v>
      </c>
      <c r="CD46" s="1">
        <v>0</v>
      </c>
      <c r="CE46" s="1">
        <v>0</v>
      </c>
      <c r="CF46" s="1">
        <v>0</v>
      </c>
      <c r="CG46" s="1">
        <v>0</v>
      </c>
      <c r="CH46" s="1">
        <v>0</v>
      </c>
      <c r="CI46" s="1">
        <v>0</v>
      </c>
      <c r="CJ46" s="1">
        <v>4</v>
      </c>
      <c r="CK46" s="1">
        <v>4</v>
      </c>
      <c r="CL46" s="1">
        <v>3</v>
      </c>
      <c r="CM46" s="1">
        <v>4</v>
      </c>
      <c r="CN46" s="1">
        <v>4</v>
      </c>
      <c r="CO46" s="1">
        <v>4</v>
      </c>
      <c r="CP46" s="1">
        <v>4</v>
      </c>
      <c r="CU46" s="1">
        <v>4</v>
      </c>
    </row>
    <row r="47" spans="1:99" x14ac:dyDescent="0.35">
      <c r="A47" s="1" t="s">
        <v>353</v>
      </c>
      <c r="B47" s="1">
        <v>185111057</v>
      </c>
      <c r="C47" s="1">
        <v>1</v>
      </c>
      <c r="D47" s="1">
        <v>1</v>
      </c>
      <c r="E47" s="1">
        <v>0</v>
      </c>
      <c r="F47" s="1">
        <v>0</v>
      </c>
      <c r="G47" s="1">
        <v>0</v>
      </c>
      <c r="H47" s="1">
        <v>1</v>
      </c>
      <c r="I47" s="1">
        <v>1</v>
      </c>
      <c r="J47" s="1">
        <v>1</v>
      </c>
      <c r="K47" s="1">
        <v>0</v>
      </c>
      <c r="L47" s="1">
        <v>0</v>
      </c>
      <c r="M47" s="1">
        <v>0</v>
      </c>
      <c r="N47" s="1">
        <v>0</v>
      </c>
      <c r="O47" s="1">
        <v>0</v>
      </c>
      <c r="P47" s="1">
        <v>20</v>
      </c>
      <c r="Q47" s="1">
        <v>8</v>
      </c>
      <c r="R47" s="1">
        <v>5</v>
      </c>
      <c r="S47" s="1">
        <v>1</v>
      </c>
      <c r="T47" s="1">
        <v>1</v>
      </c>
      <c r="U47" s="1">
        <v>3</v>
      </c>
      <c r="V47" s="1">
        <v>3</v>
      </c>
      <c r="W47" s="1">
        <v>3</v>
      </c>
      <c r="X47" s="1">
        <v>3</v>
      </c>
      <c r="Y47" s="1">
        <v>3</v>
      </c>
      <c r="Z47" s="1">
        <v>3</v>
      </c>
      <c r="AA47" s="1">
        <v>3</v>
      </c>
      <c r="AC47" s="1">
        <v>1</v>
      </c>
      <c r="AD47" s="1">
        <v>4</v>
      </c>
      <c r="AF47" s="3">
        <v>6000000</v>
      </c>
      <c r="AG47" s="1">
        <v>13</v>
      </c>
      <c r="AT47" s="1" t="s">
        <v>354</v>
      </c>
      <c r="BP47" s="1">
        <v>3</v>
      </c>
      <c r="BQ47" s="1" t="s">
        <v>355</v>
      </c>
      <c r="BR47" s="1" t="s">
        <v>356</v>
      </c>
      <c r="BS47" s="1" t="s">
        <v>4320</v>
      </c>
      <c r="BT47" s="1" t="s">
        <v>79</v>
      </c>
      <c r="BU47" s="1">
        <v>3</v>
      </c>
      <c r="BV47" s="1">
        <v>1</v>
      </c>
      <c r="BW47" s="1">
        <v>0</v>
      </c>
      <c r="BX47" s="1">
        <v>1</v>
      </c>
      <c r="BY47" s="1">
        <v>0</v>
      </c>
      <c r="BZ47" s="1">
        <v>0</v>
      </c>
      <c r="CA47" s="1">
        <v>0</v>
      </c>
      <c r="CB47" s="1">
        <v>1</v>
      </c>
      <c r="CC47" s="1">
        <v>0</v>
      </c>
      <c r="CD47" s="1">
        <v>0</v>
      </c>
      <c r="CE47" s="1">
        <v>0</v>
      </c>
      <c r="CF47" s="1">
        <v>1</v>
      </c>
      <c r="CG47" s="1">
        <v>0</v>
      </c>
      <c r="CH47" s="1">
        <v>0</v>
      </c>
      <c r="CI47" s="1">
        <v>0</v>
      </c>
      <c r="CJ47" s="1">
        <v>4</v>
      </c>
      <c r="CK47" s="1">
        <v>3</v>
      </c>
      <c r="CL47" s="1">
        <v>2</v>
      </c>
      <c r="CM47" s="1">
        <v>2</v>
      </c>
      <c r="CN47" s="1">
        <v>4</v>
      </c>
      <c r="CO47" s="1">
        <v>3</v>
      </c>
      <c r="CP47" s="1">
        <v>3</v>
      </c>
      <c r="CU47" s="1">
        <v>1</v>
      </c>
    </row>
    <row r="48" spans="1:99" x14ac:dyDescent="0.35">
      <c r="A48" s="1" t="s">
        <v>357</v>
      </c>
      <c r="B48" s="1">
        <v>185111058</v>
      </c>
      <c r="C48" s="1">
        <v>0</v>
      </c>
      <c r="D48" s="1">
        <v>1</v>
      </c>
      <c r="E48" s="1">
        <v>0</v>
      </c>
      <c r="F48" s="1">
        <v>0</v>
      </c>
      <c r="G48" s="1">
        <v>0</v>
      </c>
      <c r="H48" s="1">
        <v>0</v>
      </c>
      <c r="I48" s="1">
        <v>0</v>
      </c>
      <c r="J48" s="1">
        <v>0</v>
      </c>
      <c r="K48" s="1">
        <v>1</v>
      </c>
      <c r="L48" s="1">
        <v>0</v>
      </c>
      <c r="M48" s="1">
        <v>0</v>
      </c>
      <c r="N48" s="1">
        <v>0</v>
      </c>
      <c r="O48" s="1">
        <v>0</v>
      </c>
      <c r="P48" s="1" t="s">
        <v>358</v>
      </c>
      <c r="Q48" s="1" t="s">
        <v>359</v>
      </c>
      <c r="R48" s="1" t="s">
        <v>360</v>
      </c>
      <c r="S48" s="1">
        <v>1</v>
      </c>
      <c r="T48" s="1">
        <v>1</v>
      </c>
      <c r="U48" s="1">
        <v>4</v>
      </c>
      <c r="V48" s="1">
        <v>2</v>
      </c>
      <c r="W48" s="1">
        <v>2</v>
      </c>
      <c r="X48" s="1">
        <v>3</v>
      </c>
      <c r="Y48" s="1">
        <v>3</v>
      </c>
      <c r="Z48" s="1">
        <v>3</v>
      </c>
      <c r="AA48" s="1">
        <v>3</v>
      </c>
      <c r="AC48" s="1">
        <v>1</v>
      </c>
      <c r="AD48" s="1">
        <v>5</v>
      </c>
      <c r="AF48" s="3">
        <v>4200000</v>
      </c>
      <c r="AG48" s="1">
        <v>13</v>
      </c>
      <c r="AT48" s="1" t="s">
        <v>86</v>
      </c>
      <c r="BP48" s="1">
        <v>1</v>
      </c>
      <c r="BQ48" s="1" t="s">
        <v>361</v>
      </c>
      <c r="BR48" s="1" t="s">
        <v>362</v>
      </c>
      <c r="BT48" s="1" t="s">
        <v>79</v>
      </c>
      <c r="BU48" s="1">
        <v>3</v>
      </c>
      <c r="BV48" s="1">
        <v>2</v>
      </c>
      <c r="BW48" s="1">
        <v>0</v>
      </c>
      <c r="BX48" s="1">
        <v>1</v>
      </c>
      <c r="BY48" s="1">
        <v>0</v>
      </c>
      <c r="BZ48" s="1">
        <v>0</v>
      </c>
      <c r="CA48" s="1">
        <v>0</v>
      </c>
      <c r="CB48" s="1">
        <v>0</v>
      </c>
      <c r="CC48" s="1">
        <v>1</v>
      </c>
      <c r="CD48" s="1">
        <v>0</v>
      </c>
      <c r="CE48" s="1">
        <v>0</v>
      </c>
      <c r="CF48" s="1">
        <v>0</v>
      </c>
      <c r="CG48" s="1">
        <v>0</v>
      </c>
      <c r="CH48" s="1">
        <v>1</v>
      </c>
      <c r="CI48" s="1">
        <v>0</v>
      </c>
      <c r="CJ48" s="1">
        <v>4</v>
      </c>
      <c r="CK48" s="1">
        <v>2</v>
      </c>
      <c r="CL48" s="1">
        <v>2</v>
      </c>
      <c r="CM48" s="1">
        <v>3</v>
      </c>
      <c r="CN48" s="1">
        <v>4</v>
      </c>
      <c r="CO48" s="1">
        <v>4</v>
      </c>
      <c r="CP48" s="1">
        <v>4</v>
      </c>
      <c r="CU48" s="1">
        <v>1</v>
      </c>
    </row>
    <row r="49" spans="1:99" x14ac:dyDescent="0.35">
      <c r="A49" s="1" t="s">
        <v>363</v>
      </c>
      <c r="B49" s="1">
        <v>185111059</v>
      </c>
      <c r="S49" s="1">
        <v>1</v>
      </c>
      <c r="T49" s="1">
        <v>1</v>
      </c>
      <c r="U49" s="1">
        <v>4</v>
      </c>
      <c r="V49" s="1">
        <v>3</v>
      </c>
      <c r="W49" s="1">
        <v>3</v>
      </c>
      <c r="X49" s="1">
        <v>3</v>
      </c>
      <c r="Y49" s="1">
        <v>4</v>
      </c>
      <c r="Z49" s="1">
        <v>4</v>
      </c>
      <c r="AA49" s="1">
        <v>3</v>
      </c>
      <c r="AC49" s="1">
        <v>1</v>
      </c>
      <c r="AD49" s="1">
        <v>6</v>
      </c>
      <c r="AF49" s="3">
        <v>3800000</v>
      </c>
      <c r="AG49" s="1">
        <v>13</v>
      </c>
      <c r="AT49" s="1" t="s">
        <v>86</v>
      </c>
      <c r="BP49" s="1">
        <v>3</v>
      </c>
      <c r="BQ49" s="1" t="s">
        <v>364</v>
      </c>
      <c r="BR49" s="1" t="s">
        <v>338</v>
      </c>
      <c r="BS49" s="1" t="s">
        <v>365</v>
      </c>
      <c r="BT49" s="1" t="s">
        <v>79</v>
      </c>
      <c r="BU49" s="1">
        <v>2</v>
      </c>
      <c r="BV49" s="1">
        <v>2</v>
      </c>
      <c r="BW49" s="1">
        <v>0</v>
      </c>
      <c r="BX49" s="1">
        <v>1</v>
      </c>
      <c r="BY49" s="1">
        <v>0</v>
      </c>
      <c r="BZ49" s="1">
        <v>0</v>
      </c>
      <c r="CA49" s="1">
        <v>0</v>
      </c>
      <c r="CB49" s="1">
        <v>0</v>
      </c>
      <c r="CC49" s="1">
        <v>0</v>
      </c>
      <c r="CD49" s="1">
        <v>0</v>
      </c>
      <c r="CE49" s="1">
        <v>1</v>
      </c>
      <c r="CF49" s="1">
        <v>0</v>
      </c>
      <c r="CG49" s="1">
        <v>1</v>
      </c>
      <c r="CH49" s="1">
        <v>1</v>
      </c>
      <c r="CI49" s="1">
        <v>0</v>
      </c>
      <c r="CJ49" s="1">
        <v>4</v>
      </c>
      <c r="CK49" s="1">
        <v>3</v>
      </c>
      <c r="CL49" s="1">
        <v>2</v>
      </c>
      <c r="CM49" s="1">
        <v>4</v>
      </c>
      <c r="CN49" s="1">
        <v>4</v>
      </c>
      <c r="CO49" s="1">
        <v>4</v>
      </c>
      <c r="CP49" s="1">
        <v>3</v>
      </c>
      <c r="CU49" s="1">
        <v>4</v>
      </c>
    </row>
    <row r="50" spans="1:99" x14ac:dyDescent="0.35">
      <c r="A50" s="1" t="s">
        <v>366</v>
      </c>
      <c r="B50" s="1">
        <v>185111060</v>
      </c>
      <c r="C50" s="1">
        <v>0</v>
      </c>
      <c r="D50" s="1">
        <v>1</v>
      </c>
      <c r="E50" s="1">
        <v>0</v>
      </c>
      <c r="F50" s="1">
        <v>0</v>
      </c>
      <c r="G50" s="1">
        <v>0</v>
      </c>
      <c r="H50" s="1">
        <v>0</v>
      </c>
      <c r="I50" s="1">
        <v>1</v>
      </c>
      <c r="J50" s="1">
        <v>0</v>
      </c>
      <c r="K50" s="1">
        <v>1</v>
      </c>
      <c r="L50" s="1">
        <v>0</v>
      </c>
      <c r="M50" s="1">
        <v>0</v>
      </c>
      <c r="N50" s="1">
        <v>0</v>
      </c>
      <c r="O50" s="1">
        <v>0</v>
      </c>
      <c r="P50" s="1">
        <v>20</v>
      </c>
      <c r="Q50" s="1">
        <v>9</v>
      </c>
      <c r="R50" s="1">
        <v>9</v>
      </c>
      <c r="S50" s="1">
        <v>1</v>
      </c>
      <c r="T50" s="1">
        <v>1</v>
      </c>
      <c r="U50" s="1">
        <v>4</v>
      </c>
      <c r="V50" s="1">
        <v>4</v>
      </c>
      <c r="W50" s="1">
        <v>4</v>
      </c>
      <c r="X50" s="1">
        <v>4</v>
      </c>
      <c r="Y50" s="1">
        <v>4</v>
      </c>
      <c r="Z50" s="1">
        <v>4</v>
      </c>
      <c r="AA50" s="1">
        <v>4</v>
      </c>
      <c r="AC50" s="1">
        <v>1</v>
      </c>
      <c r="AD50" s="1">
        <v>4</v>
      </c>
      <c r="AF50" s="3">
        <v>4000000</v>
      </c>
      <c r="AG50" s="1">
        <v>13</v>
      </c>
      <c r="AT50" s="1" t="s">
        <v>86</v>
      </c>
      <c r="BP50" s="1">
        <v>1</v>
      </c>
      <c r="BQ50" s="1" t="s">
        <v>361</v>
      </c>
      <c r="BR50" s="1" t="s">
        <v>367</v>
      </c>
      <c r="BT50" s="1" t="s">
        <v>107</v>
      </c>
      <c r="BU50" s="1">
        <v>2</v>
      </c>
      <c r="BV50" s="1">
        <v>2</v>
      </c>
      <c r="BW50" s="1">
        <v>1</v>
      </c>
      <c r="BX50" s="1">
        <v>0</v>
      </c>
      <c r="BY50" s="1">
        <v>0</v>
      </c>
      <c r="BZ50" s="1">
        <v>0</v>
      </c>
      <c r="CA50" s="1">
        <v>0</v>
      </c>
      <c r="CB50" s="1">
        <v>0</v>
      </c>
      <c r="CC50" s="1">
        <v>0</v>
      </c>
      <c r="CD50" s="1">
        <v>0</v>
      </c>
      <c r="CE50" s="1">
        <v>0</v>
      </c>
      <c r="CF50" s="1">
        <v>0</v>
      </c>
      <c r="CG50" s="1">
        <v>0</v>
      </c>
      <c r="CH50" s="1">
        <v>0</v>
      </c>
      <c r="CI50" s="1">
        <v>0</v>
      </c>
      <c r="CJ50" s="1">
        <v>4</v>
      </c>
      <c r="CK50" s="1">
        <v>4</v>
      </c>
      <c r="CL50" s="1">
        <v>4</v>
      </c>
      <c r="CM50" s="1">
        <v>4</v>
      </c>
      <c r="CN50" s="1">
        <v>4</v>
      </c>
      <c r="CO50" s="1">
        <v>4</v>
      </c>
      <c r="CP50" s="1">
        <v>4</v>
      </c>
      <c r="CU50" s="1">
        <v>1</v>
      </c>
    </row>
    <row r="51" spans="1:99" x14ac:dyDescent="0.35">
      <c r="A51" s="1" t="s">
        <v>368</v>
      </c>
      <c r="B51" s="1">
        <v>185111061</v>
      </c>
      <c r="C51" s="1">
        <v>0</v>
      </c>
      <c r="D51" s="1">
        <v>0</v>
      </c>
      <c r="E51" s="1">
        <v>0</v>
      </c>
      <c r="F51" s="1">
        <v>0</v>
      </c>
      <c r="G51" s="1">
        <v>0</v>
      </c>
      <c r="H51" s="1">
        <v>0</v>
      </c>
      <c r="I51" s="1">
        <v>0</v>
      </c>
      <c r="J51" s="1">
        <v>0</v>
      </c>
      <c r="K51" s="1">
        <v>1</v>
      </c>
      <c r="L51" s="1">
        <v>0</v>
      </c>
      <c r="M51" s="1">
        <v>0</v>
      </c>
      <c r="N51" s="1">
        <v>0</v>
      </c>
      <c r="O51" s="1">
        <v>0</v>
      </c>
      <c r="P51" s="1">
        <v>5</v>
      </c>
      <c r="Q51" s="1">
        <v>2</v>
      </c>
      <c r="R51" s="1">
        <v>3</v>
      </c>
      <c r="S51" s="1">
        <v>1</v>
      </c>
      <c r="T51" s="1">
        <v>1</v>
      </c>
      <c r="U51" s="1">
        <v>4</v>
      </c>
      <c r="V51" s="1">
        <v>3</v>
      </c>
      <c r="W51" s="1">
        <v>3</v>
      </c>
      <c r="X51" s="1">
        <v>4</v>
      </c>
      <c r="Y51" s="1">
        <v>4</v>
      </c>
      <c r="Z51" s="1">
        <v>4</v>
      </c>
      <c r="AA51" s="1">
        <v>4</v>
      </c>
      <c r="AC51" s="1">
        <v>2</v>
      </c>
      <c r="AE51" s="1">
        <v>6</v>
      </c>
      <c r="AF51" s="3">
        <v>4250</v>
      </c>
      <c r="AG51" s="1">
        <v>13</v>
      </c>
      <c r="AT51" s="1" t="s">
        <v>93</v>
      </c>
      <c r="BP51" s="1">
        <v>3</v>
      </c>
      <c r="BQ51" s="1" t="s">
        <v>369</v>
      </c>
      <c r="BR51" s="1" t="s">
        <v>370</v>
      </c>
      <c r="BS51" s="1" t="s">
        <v>371</v>
      </c>
      <c r="BT51" s="1" t="s">
        <v>79</v>
      </c>
      <c r="BU51" s="1">
        <v>1</v>
      </c>
      <c r="BV51" s="1">
        <v>2</v>
      </c>
      <c r="BW51" s="1">
        <v>1</v>
      </c>
      <c r="BX51" s="1">
        <v>0</v>
      </c>
      <c r="BY51" s="1">
        <v>0</v>
      </c>
      <c r="BZ51" s="1">
        <v>0</v>
      </c>
      <c r="CA51" s="1">
        <v>0</v>
      </c>
      <c r="CB51" s="1">
        <v>0</v>
      </c>
      <c r="CC51" s="1">
        <v>0</v>
      </c>
      <c r="CD51" s="1">
        <v>0</v>
      </c>
      <c r="CE51" s="1">
        <v>0</v>
      </c>
      <c r="CF51" s="1">
        <v>0</v>
      </c>
      <c r="CG51" s="1">
        <v>0</v>
      </c>
      <c r="CH51" s="1">
        <v>0</v>
      </c>
      <c r="CI51" s="1">
        <v>0</v>
      </c>
      <c r="CJ51" s="1">
        <v>4</v>
      </c>
      <c r="CK51" s="1">
        <v>4</v>
      </c>
      <c r="CL51" s="1">
        <v>3</v>
      </c>
      <c r="CM51" s="1">
        <v>4</v>
      </c>
      <c r="CN51" s="1">
        <v>4</v>
      </c>
      <c r="CO51" s="1">
        <v>4</v>
      </c>
      <c r="CP51" s="1">
        <v>4</v>
      </c>
      <c r="CU51" s="1">
        <v>4</v>
      </c>
    </row>
    <row r="52" spans="1:99" x14ac:dyDescent="0.35">
      <c r="A52" s="1" t="s">
        <v>372</v>
      </c>
      <c r="B52" s="1">
        <v>185111062</v>
      </c>
      <c r="C52" s="1">
        <v>0</v>
      </c>
      <c r="D52" s="1">
        <v>1</v>
      </c>
      <c r="E52" s="1">
        <v>1</v>
      </c>
      <c r="F52" s="1">
        <v>0</v>
      </c>
      <c r="G52" s="1">
        <v>0</v>
      </c>
      <c r="H52" s="1">
        <v>0</v>
      </c>
      <c r="I52" s="1">
        <v>0</v>
      </c>
      <c r="J52" s="1">
        <v>0</v>
      </c>
      <c r="K52" s="1">
        <v>0</v>
      </c>
      <c r="L52" s="1">
        <v>0</v>
      </c>
      <c r="M52" s="1">
        <v>0</v>
      </c>
      <c r="N52" s="1">
        <v>0</v>
      </c>
      <c r="O52" s="1">
        <v>0</v>
      </c>
      <c r="P52" s="1">
        <v>100</v>
      </c>
      <c r="Q52" s="1">
        <v>20</v>
      </c>
      <c r="R52" s="1">
        <v>15</v>
      </c>
      <c r="S52" s="1">
        <v>1</v>
      </c>
      <c r="T52" s="1">
        <v>1</v>
      </c>
      <c r="U52" s="1">
        <v>4</v>
      </c>
      <c r="V52" s="1">
        <v>3</v>
      </c>
      <c r="W52" s="1">
        <v>3</v>
      </c>
      <c r="X52" s="1">
        <v>4</v>
      </c>
      <c r="Y52" s="1">
        <v>4</v>
      </c>
      <c r="Z52" s="1">
        <v>4</v>
      </c>
      <c r="AA52" s="1">
        <v>4</v>
      </c>
      <c r="AC52" s="1">
        <v>1</v>
      </c>
      <c r="AD52" s="1">
        <v>6</v>
      </c>
      <c r="AF52" s="3">
        <v>2800000</v>
      </c>
      <c r="AG52" s="1">
        <v>13</v>
      </c>
      <c r="AT52" s="1" t="s">
        <v>86</v>
      </c>
      <c r="BP52" s="1">
        <v>2</v>
      </c>
      <c r="BQ52" s="1" t="s">
        <v>373</v>
      </c>
      <c r="BR52" s="1" t="s">
        <v>211</v>
      </c>
      <c r="BS52" s="1" t="s">
        <v>374</v>
      </c>
      <c r="BT52" s="1" t="s">
        <v>79</v>
      </c>
      <c r="BU52" s="1">
        <v>2</v>
      </c>
      <c r="BV52" s="1">
        <v>2</v>
      </c>
      <c r="BW52" s="1">
        <v>1</v>
      </c>
      <c r="BX52" s="1">
        <v>0</v>
      </c>
      <c r="BY52" s="1">
        <v>0</v>
      </c>
      <c r="BZ52" s="1">
        <v>0</v>
      </c>
      <c r="CA52" s="1">
        <v>0</v>
      </c>
      <c r="CB52" s="1">
        <v>0</v>
      </c>
      <c r="CC52" s="1">
        <v>0</v>
      </c>
      <c r="CD52" s="1">
        <v>0</v>
      </c>
      <c r="CE52" s="1">
        <v>0</v>
      </c>
      <c r="CF52" s="1">
        <v>0</v>
      </c>
      <c r="CG52" s="1">
        <v>0</v>
      </c>
      <c r="CH52" s="1">
        <v>0</v>
      </c>
      <c r="CI52" s="1">
        <v>0</v>
      </c>
      <c r="CJ52" s="1">
        <v>4</v>
      </c>
      <c r="CK52" s="1">
        <v>3</v>
      </c>
      <c r="CL52" s="1">
        <v>2</v>
      </c>
      <c r="CM52" s="1">
        <v>4</v>
      </c>
      <c r="CN52" s="1">
        <v>4</v>
      </c>
      <c r="CO52" s="1">
        <v>4</v>
      </c>
      <c r="CP52" s="1">
        <v>4</v>
      </c>
      <c r="CU52" s="1">
        <v>2</v>
      </c>
    </row>
    <row r="53" spans="1:99" x14ac:dyDescent="0.35">
      <c r="A53" s="1" t="s">
        <v>375</v>
      </c>
      <c r="B53" s="1">
        <v>185111064</v>
      </c>
      <c r="C53" s="1">
        <v>0</v>
      </c>
      <c r="D53" s="1">
        <v>1</v>
      </c>
      <c r="E53" s="1">
        <v>0</v>
      </c>
      <c r="F53" s="1">
        <v>0</v>
      </c>
      <c r="G53" s="1">
        <v>0</v>
      </c>
      <c r="H53" s="1">
        <v>1</v>
      </c>
      <c r="I53" s="1">
        <v>1</v>
      </c>
      <c r="J53" s="1">
        <v>0</v>
      </c>
      <c r="K53" s="1">
        <v>0</v>
      </c>
      <c r="L53" s="1">
        <v>0</v>
      </c>
      <c r="M53" s="1">
        <v>0</v>
      </c>
      <c r="N53" s="1">
        <v>0</v>
      </c>
      <c r="O53" s="1">
        <v>0</v>
      </c>
      <c r="P53" s="1">
        <v>60</v>
      </c>
      <c r="Q53" s="1">
        <v>30</v>
      </c>
      <c r="R53" s="1">
        <v>15</v>
      </c>
      <c r="S53" s="1">
        <v>1</v>
      </c>
      <c r="T53" s="1">
        <v>1</v>
      </c>
      <c r="U53" s="1">
        <v>4</v>
      </c>
      <c r="V53" s="1">
        <v>4</v>
      </c>
      <c r="W53" s="1">
        <v>4</v>
      </c>
      <c r="X53" s="1">
        <v>4</v>
      </c>
      <c r="Y53" s="1">
        <v>4</v>
      </c>
      <c r="Z53" s="1">
        <v>4</v>
      </c>
      <c r="AA53" s="1">
        <v>4</v>
      </c>
      <c r="AC53" s="1">
        <v>2</v>
      </c>
      <c r="AE53" s="1">
        <v>3</v>
      </c>
      <c r="AF53" s="3">
        <v>5800000</v>
      </c>
      <c r="AG53" s="1">
        <v>11</v>
      </c>
      <c r="AR53" s="1" t="s">
        <v>222</v>
      </c>
      <c r="BP53" s="1">
        <v>3</v>
      </c>
      <c r="BQ53" s="1" t="s">
        <v>290</v>
      </c>
      <c r="BR53" s="1" t="s">
        <v>376</v>
      </c>
      <c r="BS53" s="1" t="s">
        <v>377</v>
      </c>
      <c r="BT53" s="1" t="s">
        <v>73</v>
      </c>
      <c r="BU53" s="1">
        <v>2</v>
      </c>
      <c r="BV53" s="1">
        <v>2</v>
      </c>
      <c r="BW53" s="1">
        <v>1</v>
      </c>
      <c r="BX53" s="1">
        <v>0</v>
      </c>
      <c r="BY53" s="1">
        <v>0</v>
      </c>
      <c r="BZ53" s="1">
        <v>0</v>
      </c>
      <c r="CA53" s="1">
        <v>0</v>
      </c>
      <c r="CB53" s="1">
        <v>0</v>
      </c>
      <c r="CC53" s="1">
        <v>0</v>
      </c>
      <c r="CD53" s="1">
        <v>0</v>
      </c>
      <c r="CE53" s="1">
        <v>0</v>
      </c>
      <c r="CF53" s="1">
        <v>0</v>
      </c>
      <c r="CG53" s="1">
        <v>0</v>
      </c>
      <c r="CH53" s="1">
        <v>0</v>
      </c>
      <c r="CI53" s="1">
        <v>0</v>
      </c>
      <c r="CJ53" s="1">
        <v>4</v>
      </c>
      <c r="CK53" s="1">
        <v>4</v>
      </c>
      <c r="CL53" s="1">
        <v>4</v>
      </c>
      <c r="CM53" s="1">
        <v>4</v>
      </c>
      <c r="CN53" s="1">
        <v>4</v>
      </c>
      <c r="CO53" s="1">
        <v>4</v>
      </c>
      <c r="CP53" s="1">
        <v>4</v>
      </c>
      <c r="CU53" s="1">
        <v>1</v>
      </c>
    </row>
    <row r="54" spans="1:99" x14ac:dyDescent="0.35">
      <c r="A54" s="1" t="s">
        <v>378</v>
      </c>
      <c r="B54" s="1">
        <v>185111065</v>
      </c>
      <c r="C54" s="1">
        <v>0</v>
      </c>
      <c r="D54" s="1">
        <v>1</v>
      </c>
      <c r="E54" s="1">
        <v>0</v>
      </c>
      <c r="F54" s="1">
        <v>0</v>
      </c>
      <c r="G54" s="1">
        <v>0</v>
      </c>
      <c r="H54" s="1">
        <v>0</v>
      </c>
      <c r="I54" s="1">
        <v>0</v>
      </c>
      <c r="J54" s="1">
        <v>0</v>
      </c>
      <c r="K54" s="1">
        <v>1</v>
      </c>
      <c r="L54" s="1">
        <v>0</v>
      </c>
      <c r="M54" s="1">
        <v>0</v>
      </c>
      <c r="N54" s="1">
        <v>0</v>
      </c>
      <c r="O54" s="1">
        <v>0</v>
      </c>
      <c r="P54" s="1">
        <v>5</v>
      </c>
      <c r="Q54" s="1">
        <v>2</v>
      </c>
      <c r="R54" s="1">
        <v>2</v>
      </c>
      <c r="S54" s="1">
        <v>1</v>
      </c>
      <c r="T54" s="1">
        <v>1</v>
      </c>
      <c r="U54" s="1">
        <v>4</v>
      </c>
      <c r="V54" s="1">
        <v>3</v>
      </c>
      <c r="W54" s="1">
        <v>3</v>
      </c>
      <c r="X54" s="1">
        <v>3</v>
      </c>
      <c r="Y54" s="1">
        <v>3</v>
      </c>
      <c r="Z54" s="1">
        <v>3</v>
      </c>
      <c r="AA54" s="1">
        <v>3</v>
      </c>
      <c r="AC54" s="1">
        <v>1</v>
      </c>
      <c r="AD54" s="1">
        <v>3</v>
      </c>
      <c r="AF54" s="3">
        <v>4000000</v>
      </c>
      <c r="AG54" s="1">
        <v>12</v>
      </c>
      <c r="AS54" s="1" t="s">
        <v>244</v>
      </c>
      <c r="BP54" s="1">
        <v>3</v>
      </c>
      <c r="BQ54" s="1" t="s">
        <v>379</v>
      </c>
      <c r="BR54" s="1" t="s">
        <v>380</v>
      </c>
      <c r="BT54" s="1" t="s">
        <v>73</v>
      </c>
      <c r="BU54" s="1">
        <v>4</v>
      </c>
      <c r="BV54" s="1">
        <v>3</v>
      </c>
      <c r="BW54" s="1">
        <v>0</v>
      </c>
      <c r="BX54" s="1">
        <v>1</v>
      </c>
      <c r="BY54" s="1">
        <v>1</v>
      </c>
      <c r="BZ54" s="1">
        <v>0</v>
      </c>
      <c r="CA54" s="1">
        <v>0</v>
      </c>
      <c r="CB54" s="1">
        <v>0</v>
      </c>
      <c r="CC54" s="1">
        <v>0</v>
      </c>
      <c r="CD54" s="1">
        <v>0</v>
      </c>
      <c r="CE54" s="1">
        <v>0</v>
      </c>
      <c r="CF54" s="1">
        <v>0</v>
      </c>
      <c r="CG54" s="1">
        <v>0</v>
      </c>
      <c r="CH54" s="1">
        <v>0</v>
      </c>
      <c r="CI54" s="1">
        <v>0</v>
      </c>
      <c r="CJ54" s="1">
        <v>4</v>
      </c>
      <c r="CK54" s="1">
        <v>3</v>
      </c>
      <c r="CL54" s="1">
        <v>4</v>
      </c>
      <c r="CM54" s="1">
        <v>4</v>
      </c>
      <c r="CN54" s="1">
        <v>4</v>
      </c>
      <c r="CO54" s="1">
        <v>4</v>
      </c>
      <c r="CP54" s="1">
        <v>4</v>
      </c>
      <c r="CU54" s="1">
        <v>1</v>
      </c>
    </row>
    <row r="55" spans="1:99" x14ac:dyDescent="0.35">
      <c r="A55" s="1" t="s">
        <v>381</v>
      </c>
      <c r="B55" s="1">
        <v>185111066</v>
      </c>
      <c r="C55" s="1">
        <v>1</v>
      </c>
      <c r="D55" s="1">
        <v>1</v>
      </c>
      <c r="E55" s="1">
        <v>0</v>
      </c>
      <c r="F55" s="1">
        <v>0</v>
      </c>
      <c r="G55" s="1">
        <v>0</v>
      </c>
      <c r="H55" s="1">
        <v>0</v>
      </c>
      <c r="I55" s="1">
        <v>0</v>
      </c>
      <c r="J55" s="1">
        <v>0</v>
      </c>
      <c r="K55" s="1">
        <v>0</v>
      </c>
      <c r="L55" s="1">
        <v>0</v>
      </c>
      <c r="M55" s="1">
        <v>0</v>
      </c>
      <c r="N55" s="1">
        <v>0</v>
      </c>
      <c r="O55" s="1">
        <v>0</v>
      </c>
      <c r="P55" s="1">
        <v>25</v>
      </c>
      <c r="Q55" s="1">
        <v>8</v>
      </c>
      <c r="R55" s="1">
        <v>3</v>
      </c>
      <c r="S55" s="1">
        <v>5</v>
      </c>
      <c r="T55" s="1">
        <v>1</v>
      </c>
      <c r="U55" s="1">
        <v>4</v>
      </c>
      <c r="V55" s="1">
        <v>3</v>
      </c>
      <c r="W55" s="1">
        <v>3</v>
      </c>
      <c r="X55" s="1">
        <v>4</v>
      </c>
      <c r="Y55" s="1">
        <v>3</v>
      </c>
      <c r="Z55" s="1">
        <v>4</v>
      </c>
      <c r="AA55" s="1">
        <v>4</v>
      </c>
      <c r="CU55" s="1">
        <v>4</v>
      </c>
    </row>
    <row r="56" spans="1:99" x14ac:dyDescent="0.35">
      <c r="A56" s="1" t="s">
        <v>3578</v>
      </c>
      <c r="B56" s="1">
        <v>185111002</v>
      </c>
    </row>
    <row r="57" spans="1:99" x14ac:dyDescent="0.35">
      <c r="A57" s="1" t="s">
        <v>3579</v>
      </c>
      <c r="B57" s="1">
        <v>185111010</v>
      </c>
    </row>
    <row r="58" spans="1:99" x14ac:dyDescent="0.35">
      <c r="A58" s="1" t="s">
        <v>3580</v>
      </c>
      <c r="B58" s="1">
        <v>185111022</v>
      </c>
    </row>
    <row r="59" spans="1:99" x14ac:dyDescent="0.35">
      <c r="A59" s="1" t="s">
        <v>3581</v>
      </c>
      <c r="B59" s="1">
        <v>185111026</v>
      </c>
    </row>
    <row r="60" spans="1:99" x14ac:dyDescent="0.35">
      <c r="A60" s="1" t="s">
        <v>3582</v>
      </c>
      <c r="B60" s="1">
        <v>185111032</v>
      </c>
    </row>
    <row r="61" spans="1:99" x14ac:dyDescent="0.35">
      <c r="A61" s="1" t="s">
        <v>3583</v>
      </c>
      <c r="B61" s="1">
        <v>185111045</v>
      </c>
    </row>
    <row r="62" spans="1:99" x14ac:dyDescent="0.35">
      <c r="A62" s="1" t="s">
        <v>3584</v>
      </c>
      <c r="B62" s="1">
        <v>185111054</v>
      </c>
    </row>
    <row r="63" spans="1:99" x14ac:dyDescent="0.35">
      <c r="A63" s="1" t="s">
        <v>4150</v>
      </c>
      <c r="B63" s="1">
        <v>175111041</v>
      </c>
      <c r="C63" s="1">
        <v>0</v>
      </c>
      <c r="D63" s="1">
        <v>0</v>
      </c>
      <c r="E63" s="1">
        <v>0</v>
      </c>
      <c r="F63" s="1">
        <v>0</v>
      </c>
      <c r="G63" s="1">
        <v>0</v>
      </c>
      <c r="H63" s="1">
        <v>0</v>
      </c>
      <c r="I63" s="1">
        <v>0</v>
      </c>
      <c r="J63" s="1">
        <v>0</v>
      </c>
      <c r="K63" s="1">
        <v>1</v>
      </c>
      <c r="L63" s="1">
        <v>0</v>
      </c>
      <c r="M63" s="1">
        <v>0</v>
      </c>
      <c r="N63" s="1">
        <v>0</v>
      </c>
      <c r="O63" s="1">
        <v>0</v>
      </c>
      <c r="P63" s="1" t="s">
        <v>1086</v>
      </c>
      <c r="Q63" s="1" t="s">
        <v>1086</v>
      </c>
      <c r="R63" s="1" t="s">
        <v>385</v>
      </c>
      <c r="S63" s="1">
        <v>1</v>
      </c>
      <c r="T63" s="1">
        <v>4</v>
      </c>
      <c r="U63" s="1">
        <v>4</v>
      </c>
      <c r="V63" s="1">
        <v>3</v>
      </c>
      <c r="W63" s="1">
        <v>3</v>
      </c>
      <c r="X63" s="1">
        <v>4</v>
      </c>
      <c r="Y63" s="1">
        <v>3</v>
      </c>
      <c r="Z63" s="1">
        <v>4</v>
      </c>
      <c r="AA63" s="1">
        <v>3</v>
      </c>
      <c r="AC63" s="1">
        <v>1</v>
      </c>
      <c r="AD63" s="1">
        <v>0</v>
      </c>
      <c r="AE63" s="1">
        <v>0</v>
      </c>
      <c r="AF63" s="3">
        <v>1685000</v>
      </c>
      <c r="AG63" s="1">
        <v>13</v>
      </c>
      <c r="AT63" s="1" t="s">
        <v>354</v>
      </c>
      <c r="BP63" s="1">
        <v>3</v>
      </c>
      <c r="BQ63" s="1" t="s">
        <v>4151</v>
      </c>
      <c r="BR63" s="1" t="s">
        <v>4152</v>
      </c>
      <c r="BS63" s="1" t="s">
        <v>4153</v>
      </c>
      <c r="BT63" s="1" t="s">
        <v>79</v>
      </c>
      <c r="BU63" s="1">
        <v>3</v>
      </c>
      <c r="BV63" s="1">
        <v>3</v>
      </c>
      <c r="BW63" s="1">
        <v>0</v>
      </c>
      <c r="BX63" s="1">
        <v>1</v>
      </c>
      <c r="BY63" s="1">
        <v>0</v>
      </c>
      <c r="BZ63" s="1">
        <v>0</v>
      </c>
      <c r="CA63" s="1">
        <v>0</v>
      </c>
      <c r="CB63" s="1">
        <v>0</v>
      </c>
      <c r="CC63" s="1">
        <v>0</v>
      </c>
      <c r="CD63" s="1">
        <v>0</v>
      </c>
      <c r="CE63" s="1">
        <v>0</v>
      </c>
      <c r="CF63" s="1">
        <v>0</v>
      </c>
      <c r="CG63" s="1">
        <v>0</v>
      </c>
      <c r="CH63" s="1">
        <v>1</v>
      </c>
      <c r="CI63" s="1">
        <v>0</v>
      </c>
      <c r="CJ63" s="1">
        <v>4</v>
      </c>
      <c r="CK63" s="1">
        <v>4</v>
      </c>
      <c r="CL63" s="1">
        <v>3</v>
      </c>
      <c r="CM63" s="1">
        <v>4</v>
      </c>
      <c r="CN63" s="1">
        <v>4</v>
      </c>
      <c r="CO63" s="1">
        <v>4</v>
      </c>
      <c r="CP63" s="1">
        <v>4</v>
      </c>
      <c r="CU63" s="1">
        <v>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D68D79-0B34-49DF-87AB-54DEB631E80B}">
  <dimension ref="A1:CU58"/>
  <sheetViews>
    <sheetView topLeftCell="CS1" zoomScale="65" zoomScaleNormal="70" workbookViewId="0">
      <pane ySplit="1" topLeftCell="A20" activePane="bottomLeft" state="frozen"/>
      <selection pane="bottomLeft" activeCell="CU32" sqref="CU32"/>
    </sheetView>
  </sheetViews>
  <sheetFormatPr defaultColWidth="8.90625" defaultRowHeight="14.5" x14ac:dyDescent="0.35"/>
  <cols>
    <col min="1" max="1" width="30.81640625" style="1" bestFit="1" customWidth="1"/>
    <col min="2" max="2" width="10" style="1" bestFit="1" customWidth="1"/>
    <col min="3" max="9" width="64.08984375" style="1" bestFit="1" customWidth="1"/>
    <col min="10" max="14" width="65.08984375" style="1" bestFit="1" customWidth="1"/>
    <col min="15" max="15" width="67.54296875" style="1" bestFit="1" customWidth="1"/>
    <col min="16" max="16" width="110" style="1" bestFit="1" customWidth="1"/>
    <col min="17" max="17" width="63.90625" style="1" bestFit="1" customWidth="1"/>
    <col min="18" max="18" width="73" style="1" bestFit="1" customWidth="1"/>
    <col min="19" max="19" width="25" style="1" bestFit="1" customWidth="1"/>
    <col min="20" max="20" width="41.26953125" style="1" bestFit="1" customWidth="1"/>
    <col min="21" max="21" width="67.08984375" style="1" bestFit="1" customWidth="1"/>
    <col min="22" max="22" width="90.453125" style="1" bestFit="1" customWidth="1"/>
    <col min="23" max="23" width="74.90625" style="1" bestFit="1" customWidth="1"/>
    <col min="24" max="24" width="89.36328125" style="1" bestFit="1" customWidth="1"/>
    <col min="25" max="25" width="72.453125" style="1" bestFit="1" customWidth="1"/>
    <col min="26" max="26" width="75.1796875" style="1" bestFit="1" customWidth="1"/>
    <col min="27" max="27" width="79" style="1" bestFit="1" customWidth="1"/>
    <col min="28" max="28" width="43.08984375" style="1" bestFit="1" customWidth="1"/>
    <col min="29" max="29" width="73.1796875" style="1" bestFit="1" customWidth="1"/>
    <col min="30" max="30" width="43.36328125" style="1" bestFit="1" customWidth="1"/>
    <col min="31" max="31" width="50.54296875" style="1" bestFit="1" customWidth="1"/>
    <col min="32" max="32" width="120.26953125" style="1" bestFit="1" customWidth="1"/>
    <col min="33" max="33" width="39.08984375" style="1" bestFit="1" customWidth="1"/>
    <col min="34" max="35" width="45.7265625" style="1" bestFit="1" customWidth="1"/>
    <col min="36" max="37" width="46.1796875" style="1" bestFit="1" customWidth="1"/>
    <col min="38" max="38" width="45.7265625" style="1" bestFit="1" customWidth="1"/>
    <col min="39" max="52" width="46.1796875" style="1" bestFit="1" customWidth="1"/>
    <col min="53" max="55" width="45.7265625" style="1" bestFit="1" customWidth="1"/>
    <col min="56" max="64" width="46.1796875" style="1" bestFit="1" customWidth="1"/>
    <col min="65" max="67" width="45.7265625" style="1" bestFit="1" customWidth="1"/>
    <col min="68" max="68" width="58.90625" style="1" bestFit="1" customWidth="1"/>
    <col min="69" max="69" width="43.26953125" style="1" bestFit="1" customWidth="1"/>
    <col min="70" max="70" width="45.36328125" style="1" bestFit="1" customWidth="1"/>
    <col min="71" max="71" width="45.26953125" style="1" bestFit="1" customWidth="1"/>
    <col min="72" max="72" width="55.453125" style="1" bestFit="1" customWidth="1"/>
    <col min="73" max="73" width="217.453125" style="1" bestFit="1" customWidth="1"/>
    <col min="74" max="74" width="65.08984375" style="1" bestFit="1" customWidth="1"/>
    <col min="75" max="83" width="117.26953125" style="1" bestFit="1" customWidth="1"/>
    <col min="84" max="86" width="118.26953125" style="1" bestFit="1" customWidth="1"/>
    <col min="87" max="87" width="120.7265625" style="1" bestFit="1" customWidth="1"/>
    <col min="88" max="88" width="76.6328125" style="1" bestFit="1" customWidth="1"/>
    <col min="89" max="89" width="100.26953125" style="1" bestFit="1" customWidth="1"/>
    <col min="90" max="90" width="84.36328125" style="1" bestFit="1" customWidth="1"/>
    <col min="91" max="91" width="98.6328125" style="1" bestFit="1" customWidth="1"/>
    <col min="92" max="92" width="81.90625" style="1" bestFit="1" customWidth="1"/>
    <col min="93" max="93" width="84.7265625" style="1" bestFit="1" customWidth="1"/>
    <col min="94" max="94" width="88.54296875" style="1" bestFit="1" customWidth="1"/>
    <col min="95" max="95" width="40.54296875" style="1" bestFit="1" customWidth="1"/>
    <col min="96" max="96" width="53.36328125" style="1" bestFit="1" customWidth="1"/>
    <col min="97" max="97" width="23.90625" style="1" bestFit="1" customWidth="1"/>
    <col min="98" max="98" width="24.7265625" style="1" bestFit="1" customWidth="1"/>
    <col min="99" max="99" width="51.90625" style="1" bestFit="1" customWidth="1"/>
    <col min="100" max="16384" width="8.90625" style="1"/>
  </cols>
  <sheetData>
    <row r="1" spans="1:99" s="6" customFormat="1" x14ac:dyDescent="0.35">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6" t="s">
        <v>15</v>
      </c>
      <c r="Q1" s="6" t="s">
        <v>16</v>
      </c>
      <c r="R1" s="6" t="s">
        <v>17</v>
      </c>
      <c r="S1" s="6" t="s">
        <v>18</v>
      </c>
      <c r="T1" s="6" t="s">
        <v>19</v>
      </c>
      <c r="U1" s="6" t="s">
        <v>20</v>
      </c>
      <c r="V1" s="6" t="s">
        <v>21</v>
      </c>
      <c r="W1" s="6" t="s">
        <v>22</v>
      </c>
      <c r="X1" s="6" t="s">
        <v>23</v>
      </c>
      <c r="Y1" s="6" t="s">
        <v>24</v>
      </c>
      <c r="Z1" s="6" t="s">
        <v>25</v>
      </c>
      <c r="AA1" s="6" t="s">
        <v>26</v>
      </c>
      <c r="AB1" s="6" t="s">
        <v>27</v>
      </c>
      <c r="AC1" s="6" t="s">
        <v>28</v>
      </c>
      <c r="AD1" s="6" t="s">
        <v>29</v>
      </c>
      <c r="AE1" s="6" t="s">
        <v>30</v>
      </c>
      <c r="AF1" s="6" t="s">
        <v>31</v>
      </c>
      <c r="AG1" s="6" t="s">
        <v>32</v>
      </c>
      <c r="AH1" s="6" t="s">
        <v>33</v>
      </c>
      <c r="AI1" s="6" t="s">
        <v>33</v>
      </c>
      <c r="AJ1" s="6" t="s">
        <v>34</v>
      </c>
      <c r="AK1" s="6" t="s">
        <v>34</v>
      </c>
      <c r="AL1" s="6" t="s">
        <v>33</v>
      </c>
      <c r="AM1" s="6" t="s">
        <v>34</v>
      </c>
      <c r="AN1" s="6" t="s">
        <v>34</v>
      </c>
      <c r="AO1" s="6" t="s">
        <v>34</v>
      </c>
      <c r="AP1" s="6" t="s">
        <v>34</v>
      </c>
      <c r="AQ1" s="6" t="s">
        <v>34</v>
      </c>
      <c r="AR1" s="6" t="s">
        <v>34</v>
      </c>
      <c r="AS1" s="6" t="s">
        <v>34</v>
      </c>
      <c r="AT1" s="6" t="s">
        <v>34</v>
      </c>
      <c r="AU1" s="6" t="s">
        <v>34</v>
      </c>
      <c r="AV1" s="6" t="s">
        <v>34</v>
      </c>
      <c r="AW1" s="6" t="s">
        <v>34</v>
      </c>
      <c r="AX1" s="6" t="s">
        <v>34</v>
      </c>
      <c r="AY1" s="6" t="s">
        <v>34</v>
      </c>
      <c r="AZ1" s="6" t="s">
        <v>34</v>
      </c>
      <c r="BA1" s="6" t="s">
        <v>33</v>
      </c>
      <c r="BB1" s="6" t="s">
        <v>33</v>
      </c>
      <c r="BC1" s="6" t="s">
        <v>33</v>
      </c>
      <c r="BD1" s="6" t="s">
        <v>34</v>
      </c>
      <c r="BE1" s="6" t="s">
        <v>34</v>
      </c>
      <c r="BF1" s="6" t="s">
        <v>34</v>
      </c>
      <c r="BG1" s="6" t="s">
        <v>34</v>
      </c>
      <c r="BH1" s="6" t="s">
        <v>34</v>
      </c>
      <c r="BI1" s="6" t="s">
        <v>34</v>
      </c>
      <c r="BJ1" s="6" t="s">
        <v>34</v>
      </c>
      <c r="BK1" s="6" t="s">
        <v>34</v>
      </c>
      <c r="BL1" s="6" t="s">
        <v>34</v>
      </c>
      <c r="BM1" s="6" t="s">
        <v>33</v>
      </c>
      <c r="BN1" s="6" t="s">
        <v>33</v>
      </c>
      <c r="BO1" s="6" t="s">
        <v>33</v>
      </c>
      <c r="BP1" s="6" t="s">
        <v>35</v>
      </c>
      <c r="BQ1" s="6" t="s">
        <v>36</v>
      </c>
      <c r="BR1" s="6" t="s">
        <v>37</v>
      </c>
      <c r="BS1" s="6" t="s">
        <v>38</v>
      </c>
      <c r="BT1" s="6" t="s">
        <v>39</v>
      </c>
      <c r="BU1" s="6" t="s">
        <v>40</v>
      </c>
      <c r="BV1" s="6" t="s">
        <v>41</v>
      </c>
      <c r="BW1" s="6" t="s">
        <v>42</v>
      </c>
      <c r="BX1" s="6" t="s">
        <v>43</v>
      </c>
      <c r="BY1" s="6" t="s">
        <v>44</v>
      </c>
      <c r="BZ1" s="6" t="s">
        <v>45</v>
      </c>
      <c r="CA1" s="6" t="s">
        <v>46</v>
      </c>
      <c r="CB1" s="6" t="s">
        <v>47</v>
      </c>
      <c r="CC1" s="6" t="s">
        <v>48</v>
      </c>
      <c r="CD1" s="6" t="s">
        <v>49</v>
      </c>
      <c r="CE1" s="6" t="s">
        <v>50</v>
      </c>
      <c r="CF1" s="6" t="s">
        <v>51</v>
      </c>
      <c r="CG1" s="6" t="s">
        <v>52</v>
      </c>
      <c r="CH1" s="6" t="s">
        <v>53</v>
      </c>
      <c r="CI1" s="6" t="s">
        <v>54</v>
      </c>
      <c r="CJ1" s="6" t="s">
        <v>55</v>
      </c>
      <c r="CK1" s="6" t="s">
        <v>56</v>
      </c>
      <c r="CL1" s="6" t="s">
        <v>57</v>
      </c>
      <c r="CM1" s="6" t="s">
        <v>58</v>
      </c>
      <c r="CN1" s="6" t="s">
        <v>59</v>
      </c>
      <c r="CO1" s="6" t="s">
        <v>60</v>
      </c>
      <c r="CP1" s="6" t="s">
        <v>61</v>
      </c>
      <c r="CQ1" s="6" t="s">
        <v>62</v>
      </c>
      <c r="CR1" s="6" t="s">
        <v>63</v>
      </c>
      <c r="CS1" s="6" t="s">
        <v>64</v>
      </c>
      <c r="CT1" s="6" t="s">
        <v>65</v>
      </c>
      <c r="CU1" s="6" t="s">
        <v>66</v>
      </c>
    </row>
    <row r="2" spans="1:99" x14ac:dyDescent="0.35">
      <c r="A2" s="1" t="s">
        <v>382</v>
      </c>
      <c r="B2" s="1">
        <v>175134003</v>
      </c>
      <c r="C2" s="1">
        <v>0</v>
      </c>
      <c r="D2" s="1">
        <v>1</v>
      </c>
      <c r="E2" s="1">
        <v>0</v>
      </c>
      <c r="F2" s="1">
        <v>0</v>
      </c>
      <c r="G2" s="1">
        <v>0</v>
      </c>
      <c r="H2" s="1">
        <v>0</v>
      </c>
      <c r="I2" s="1">
        <v>0</v>
      </c>
      <c r="J2" s="1">
        <v>0</v>
      </c>
      <c r="K2" s="1">
        <v>1</v>
      </c>
      <c r="L2" s="1">
        <v>0</v>
      </c>
      <c r="M2" s="1">
        <v>0</v>
      </c>
      <c r="N2" s="1">
        <v>0</v>
      </c>
      <c r="O2" s="1">
        <v>0</v>
      </c>
      <c r="P2" s="1" t="s">
        <v>383</v>
      </c>
      <c r="Q2" s="1">
        <v>6</v>
      </c>
      <c r="R2" s="1">
        <v>5</v>
      </c>
      <c r="S2" s="1">
        <v>5</v>
      </c>
      <c r="T2" s="1">
        <v>1</v>
      </c>
      <c r="U2" s="1">
        <v>4</v>
      </c>
      <c r="V2" s="1">
        <v>3</v>
      </c>
      <c r="W2" s="1">
        <v>3</v>
      </c>
      <c r="X2" s="1">
        <v>4</v>
      </c>
      <c r="Y2" s="1">
        <v>3</v>
      </c>
      <c r="Z2" s="1">
        <v>4</v>
      </c>
      <c r="AA2" s="1">
        <v>4</v>
      </c>
      <c r="CU2" s="1">
        <v>4</v>
      </c>
    </row>
    <row r="3" spans="1:99" x14ac:dyDescent="0.35">
      <c r="A3" s="1" t="s">
        <v>384</v>
      </c>
      <c r="B3" s="1">
        <v>175134004</v>
      </c>
      <c r="C3" s="1">
        <v>0</v>
      </c>
      <c r="D3" s="1">
        <v>0</v>
      </c>
      <c r="E3" s="1">
        <v>0</v>
      </c>
      <c r="F3" s="1">
        <v>0</v>
      </c>
      <c r="G3" s="1">
        <v>0</v>
      </c>
      <c r="H3" s="1">
        <v>0</v>
      </c>
      <c r="I3" s="1">
        <v>0</v>
      </c>
      <c r="J3" s="1">
        <v>0</v>
      </c>
      <c r="K3" s="1">
        <v>1</v>
      </c>
      <c r="L3" s="1">
        <v>0</v>
      </c>
      <c r="M3" s="1">
        <v>0</v>
      </c>
      <c r="N3" s="1">
        <v>0</v>
      </c>
      <c r="O3" s="1">
        <v>0</v>
      </c>
      <c r="P3" s="1" t="s">
        <v>385</v>
      </c>
      <c r="Q3" s="1" t="s">
        <v>385</v>
      </c>
      <c r="R3" s="1" t="s">
        <v>386</v>
      </c>
      <c r="S3" s="1">
        <v>1</v>
      </c>
      <c r="T3" s="1">
        <v>3</v>
      </c>
      <c r="U3" s="1">
        <v>4</v>
      </c>
      <c r="V3" s="1">
        <v>3</v>
      </c>
      <c r="W3" s="1">
        <v>3</v>
      </c>
      <c r="X3" s="1">
        <v>3</v>
      </c>
      <c r="Y3" s="1">
        <v>4</v>
      </c>
      <c r="Z3" s="1">
        <v>4</v>
      </c>
      <c r="AA3" s="1">
        <v>4</v>
      </c>
      <c r="AC3" s="1">
        <v>1</v>
      </c>
      <c r="AD3" s="1">
        <v>1</v>
      </c>
      <c r="AE3" s="1">
        <v>1</v>
      </c>
      <c r="AF3" s="3">
        <v>3600000</v>
      </c>
      <c r="AG3" s="1">
        <v>13</v>
      </c>
      <c r="AT3" s="1" t="s">
        <v>387</v>
      </c>
      <c r="BP3" s="1">
        <v>6</v>
      </c>
      <c r="BQ3" s="1" t="s">
        <v>388</v>
      </c>
      <c r="BR3" s="1" t="s">
        <v>389</v>
      </c>
      <c r="BS3" s="1" t="s">
        <v>390</v>
      </c>
      <c r="BT3" s="1" t="s">
        <v>79</v>
      </c>
      <c r="BU3" s="1">
        <v>1</v>
      </c>
      <c r="BV3" s="1">
        <v>2</v>
      </c>
      <c r="BW3" s="1">
        <v>1</v>
      </c>
      <c r="BX3" s="1">
        <v>0</v>
      </c>
      <c r="BY3" s="1">
        <v>0</v>
      </c>
      <c r="BZ3" s="1">
        <v>0</v>
      </c>
      <c r="CA3" s="1">
        <v>0</v>
      </c>
      <c r="CB3" s="1">
        <v>0</v>
      </c>
      <c r="CC3" s="1">
        <v>0</v>
      </c>
      <c r="CD3" s="1">
        <v>0</v>
      </c>
      <c r="CE3" s="1">
        <v>0</v>
      </c>
      <c r="CF3" s="1">
        <v>0</v>
      </c>
      <c r="CG3" s="1">
        <v>0</v>
      </c>
      <c r="CH3" s="1">
        <v>0</v>
      </c>
      <c r="CI3" s="1">
        <v>0</v>
      </c>
      <c r="CJ3" s="1">
        <v>4</v>
      </c>
      <c r="CK3" s="1">
        <v>4</v>
      </c>
      <c r="CL3" s="1">
        <v>4</v>
      </c>
      <c r="CM3" s="1">
        <v>4</v>
      </c>
      <c r="CN3" s="1">
        <v>4</v>
      </c>
      <c r="CO3" s="1">
        <v>4</v>
      </c>
      <c r="CP3" s="1">
        <v>4</v>
      </c>
      <c r="CU3" s="1">
        <v>1</v>
      </c>
    </row>
    <row r="4" spans="1:99" x14ac:dyDescent="0.35">
      <c r="A4" s="1" t="s">
        <v>391</v>
      </c>
      <c r="B4" s="1">
        <v>175134005</v>
      </c>
      <c r="C4" s="1">
        <v>0</v>
      </c>
      <c r="D4" s="1">
        <v>0</v>
      </c>
      <c r="E4" s="1">
        <v>0</v>
      </c>
      <c r="F4" s="1">
        <v>0</v>
      </c>
      <c r="G4" s="1">
        <v>0</v>
      </c>
      <c r="H4" s="1">
        <v>0</v>
      </c>
      <c r="I4" s="1">
        <v>0</v>
      </c>
      <c r="J4" s="1">
        <v>0</v>
      </c>
      <c r="K4" s="1">
        <v>1</v>
      </c>
      <c r="L4" s="1">
        <v>0</v>
      </c>
      <c r="M4" s="1">
        <v>0</v>
      </c>
      <c r="N4" s="1">
        <v>0</v>
      </c>
      <c r="O4" s="1">
        <v>0</v>
      </c>
      <c r="P4" s="1">
        <v>2</v>
      </c>
      <c r="Q4" s="1">
        <v>7</v>
      </c>
      <c r="R4" s="1">
        <v>7</v>
      </c>
      <c r="S4" s="1">
        <v>1</v>
      </c>
      <c r="T4" s="1">
        <v>1</v>
      </c>
      <c r="U4" s="1">
        <v>4</v>
      </c>
      <c r="V4" s="1">
        <v>3</v>
      </c>
      <c r="W4" s="1">
        <v>3</v>
      </c>
      <c r="X4" s="1">
        <v>4</v>
      </c>
      <c r="Y4" s="1">
        <v>4</v>
      </c>
      <c r="Z4" s="1">
        <v>4</v>
      </c>
      <c r="AA4" s="1">
        <v>4</v>
      </c>
      <c r="AC4" s="1">
        <v>1</v>
      </c>
      <c r="AD4" s="1">
        <v>1</v>
      </c>
      <c r="AF4" s="3">
        <v>2300000</v>
      </c>
      <c r="AG4" s="1">
        <v>13</v>
      </c>
      <c r="AT4" s="1" t="s">
        <v>392</v>
      </c>
      <c r="BP4" s="1">
        <v>3</v>
      </c>
      <c r="BQ4" s="1" t="s">
        <v>393</v>
      </c>
      <c r="BR4" s="1" t="s">
        <v>394</v>
      </c>
      <c r="BS4" s="1" t="s">
        <v>395</v>
      </c>
      <c r="BT4" s="1" t="s">
        <v>79</v>
      </c>
      <c r="BU4" s="1">
        <v>2</v>
      </c>
      <c r="BV4" s="1">
        <v>3</v>
      </c>
      <c r="BW4" s="1">
        <v>0</v>
      </c>
      <c r="BX4" s="1">
        <v>1</v>
      </c>
      <c r="BY4" s="1">
        <v>0</v>
      </c>
      <c r="BZ4" s="1">
        <v>0</v>
      </c>
      <c r="CA4" s="1">
        <v>0</v>
      </c>
      <c r="CB4" s="1">
        <v>0</v>
      </c>
      <c r="CC4" s="1">
        <v>0</v>
      </c>
      <c r="CD4" s="1">
        <v>0</v>
      </c>
      <c r="CE4" s="1">
        <v>0</v>
      </c>
      <c r="CF4" s="1">
        <v>1</v>
      </c>
      <c r="CG4" s="1">
        <v>1</v>
      </c>
      <c r="CH4" s="1">
        <v>0</v>
      </c>
      <c r="CI4" s="1">
        <v>0</v>
      </c>
      <c r="CJ4" s="1">
        <v>4</v>
      </c>
      <c r="CK4" s="1">
        <v>3</v>
      </c>
      <c r="CL4" s="1">
        <v>3</v>
      </c>
      <c r="CM4" s="1">
        <v>4</v>
      </c>
      <c r="CN4" s="1">
        <v>4</v>
      </c>
      <c r="CO4" s="1">
        <v>4</v>
      </c>
      <c r="CP4" s="1">
        <v>4</v>
      </c>
      <c r="CU4" s="1">
        <v>4</v>
      </c>
    </row>
    <row r="5" spans="1:99" x14ac:dyDescent="0.35">
      <c r="A5" s="1" t="s">
        <v>396</v>
      </c>
      <c r="B5" s="1">
        <v>175134012</v>
      </c>
      <c r="C5" s="1">
        <v>0</v>
      </c>
      <c r="D5" s="1">
        <v>0</v>
      </c>
      <c r="E5" s="1">
        <v>0</v>
      </c>
      <c r="F5" s="1">
        <v>0</v>
      </c>
      <c r="G5" s="1">
        <v>0</v>
      </c>
      <c r="H5" s="1">
        <v>0</v>
      </c>
      <c r="I5" s="1">
        <v>0</v>
      </c>
      <c r="J5" s="1">
        <v>0</v>
      </c>
      <c r="K5" s="1">
        <v>1</v>
      </c>
      <c r="L5" s="1">
        <v>0</v>
      </c>
      <c r="M5" s="1">
        <v>0</v>
      </c>
      <c r="N5" s="1">
        <v>0</v>
      </c>
      <c r="O5" s="1">
        <v>0</v>
      </c>
      <c r="P5" s="1" t="s">
        <v>397</v>
      </c>
      <c r="Q5" s="1" t="s">
        <v>398</v>
      </c>
      <c r="R5" s="1" t="s">
        <v>399</v>
      </c>
      <c r="S5" s="1">
        <v>5</v>
      </c>
      <c r="T5" s="1">
        <v>1</v>
      </c>
      <c r="U5" s="1">
        <v>4</v>
      </c>
      <c r="V5" s="1">
        <v>3</v>
      </c>
      <c r="W5" s="1">
        <v>3</v>
      </c>
      <c r="X5" s="1">
        <v>3</v>
      </c>
      <c r="Y5" s="1">
        <v>3</v>
      </c>
      <c r="Z5" s="1">
        <v>3</v>
      </c>
      <c r="AA5" s="1">
        <v>4</v>
      </c>
      <c r="CU5" s="1">
        <v>4</v>
      </c>
    </row>
    <row r="6" spans="1:99" x14ac:dyDescent="0.35">
      <c r="A6" s="1" t="s">
        <v>400</v>
      </c>
      <c r="B6" s="1">
        <v>175134018</v>
      </c>
      <c r="C6" s="1">
        <v>0</v>
      </c>
      <c r="D6" s="1">
        <v>1</v>
      </c>
      <c r="E6" s="1">
        <v>0</v>
      </c>
      <c r="F6" s="1">
        <v>0</v>
      </c>
      <c r="G6" s="1">
        <v>0</v>
      </c>
      <c r="H6" s="1">
        <v>0</v>
      </c>
      <c r="I6" s="1">
        <v>0</v>
      </c>
      <c r="J6" s="1">
        <v>0</v>
      </c>
      <c r="K6" s="1">
        <v>0</v>
      </c>
      <c r="L6" s="1">
        <v>0</v>
      </c>
      <c r="M6" s="1">
        <v>0</v>
      </c>
      <c r="N6" s="1">
        <v>0</v>
      </c>
      <c r="O6" s="1">
        <v>0</v>
      </c>
      <c r="P6" s="1" t="s">
        <v>401</v>
      </c>
      <c r="Q6" s="1">
        <v>3</v>
      </c>
      <c r="R6" s="1">
        <v>3</v>
      </c>
      <c r="S6" s="1">
        <v>1</v>
      </c>
      <c r="T6" s="1">
        <v>1</v>
      </c>
      <c r="U6" s="1">
        <v>3</v>
      </c>
      <c r="V6" s="1">
        <v>4</v>
      </c>
      <c r="W6" s="1">
        <v>2</v>
      </c>
      <c r="X6" s="1">
        <v>4</v>
      </c>
      <c r="Y6" s="1">
        <v>3</v>
      </c>
      <c r="Z6" s="1">
        <v>4</v>
      </c>
      <c r="AA6" s="1">
        <v>4</v>
      </c>
      <c r="AC6" s="1">
        <v>1</v>
      </c>
      <c r="AD6" s="1">
        <v>2</v>
      </c>
      <c r="AF6" s="3">
        <v>6000000</v>
      </c>
      <c r="AG6" s="1">
        <v>13</v>
      </c>
      <c r="AT6" s="1" t="s">
        <v>402</v>
      </c>
      <c r="BP6" s="1">
        <v>3</v>
      </c>
      <c r="BQ6" s="1" t="s">
        <v>403</v>
      </c>
      <c r="BT6" s="1" t="s">
        <v>79</v>
      </c>
      <c r="BU6" s="1">
        <v>1</v>
      </c>
      <c r="BV6" s="1">
        <v>2</v>
      </c>
      <c r="BW6" s="1">
        <v>1</v>
      </c>
      <c r="BX6" s="1">
        <v>0</v>
      </c>
      <c r="BY6" s="1">
        <v>0</v>
      </c>
      <c r="BZ6" s="1">
        <v>0</v>
      </c>
      <c r="CA6" s="1">
        <v>0</v>
      </c>
      <c r="CB6" s="1">
        <v>0</v>
      </c>
      <c r="CC6" s="1">
        <v>0</v>
      </c>
      <c r="CD6" s="1">
        <v>0</v>
      </c>
      <c r="CE6" s="1">
        <v>0</v>
      </c>
      <c r="CF6" s="1">
        <v>0</v>
      </c>
      <c r="CG6" s="1">
        <v>0</v>
      </c>
      <c r="CH6" s="1">
        <v>0</v>
      </c>
      <c r="CI6" s="1">
        <v>0</v>
      </c>
      <c r="CJ6" s="1">
        <v>3</v>
      </c>
      <c r="CK6" s="1">
        <v>4</v>
      </c>
      <c r="CL6" s="1">
        <v>2</v>
      </c>
      <c r="CM6" s="1">
        <v>4</v>
      </c>
      <c r="CN6" s="1">
        <v>3</v>
      </c>
      <c r="CO6" s="1">
        <v>4</v>
      </c>
      <c r="CP6" s="1">
        <v>4</v>
      </c>
      <c r="CU6" s="1">
        <v>4</v>
      </c>
    </row>
    <row r="7" spans="1:99" x14ac:dyDescent="0.35">
      <c r="A7" s="1" t="s">
        <v>404</v>
      </c>
      <c r="B7" s="1">
        <v>175134019</v>
      </c>
      <c r="C7" s="1">
        <v>1</v>
      </c>
      <c r="D7" s="1">
        <v>1</v>
      </c>
      <c r="E7" s="1">
        <v>0</v>
      </c>
      <c r="F7" s="1">
        <v>0</v>
      </c>
      <c r="G7" s="1">
        <v>0</v>
      </c>
      <c r="H7" s="1">
        <v>0</v>
      </c>
      <c r="I7" s="1">
        <v>0</v>
      </c>
      <c r="J7" s="1">
        <v>0</v>
      </c>
      <c r="K7" s="1">
        <v>0</v>
      </c>
      <c r="L7" s="1">
        <v>0</v>
      </c>
      <c r="M7" s="1">
        <v>0</v>
      </c>
      <c r="N7" s="1">
        <v>0</v>
      </c>
      <c r="O7" s="1">
        <v>0</v>
      </c>
      <c r="P7" s="1">
        <v>50</v>
      </c>
      <c r="Q7" s="1">
        <v>30</v>
      </c>
      <c r="R7" s="1">
        <v>20</v>
      </c>
      <c r="S7" s="1">
        <v>1</v>
      </c>
      <c r="T7" s="1">
        <v>1</v>
      </c>
      <c r="U7" s="1">
        <v>4</v>
      </c>
      <c r="V7" s="1">
        <v>4</v>
      </c>
      <c r="W7" s="1">
        <v>3</v>
      </c>
      <c r="X7" s="1">
        <v>4</v>
      </c>
      <c r="Y7" s="1">
        <v>4</v>
      </c>
      <c r="Z7" s="1">
        <v>4</v>
      </c>
      <c r="AA7" s="1">
        <v>4</v>
      </c>
      <c r="AC7" s="1">
        <v>1</v>
      </c>
      <c r="AD7" s="1">
        <v>1</v>
      </c>
      <c r="AF7" s="3">
        <v>4000000</v>
      </c>
      <c r="AG7" s="1">
        <v>13</v>
      </c>
      <c r="AT7" s="1" t="s">
        <v>86</v>
      </c>
      <c r="BP7" s="1">
        <v>3</v>
      </c>
      <c r="BQ7" s="1" t="s">
        <v>405</v>
      </c>
      <c r="BR7" s="1" t="s">
        <v>406</v>
      </c>
      <c r="BS7" s="1" t="s">
        <v>4321</v>
      </c>
      <c r="BT7" s="1" t="s">
        <v>79</v>
      </c>
      <c r="BU7" s="1">
        <v>3</v>
      </c>
      <c r="BV7" s="1">
        <v>2</v>
      </c>
      <c r="BW7" s="1">
        <v>1</v>
      </c>
      <c r="BX7" s="1">
        <v>0</v>
      </c>
      <c r="BY7" s="1">
        <v>0</v>
      </c>
      <c r="BZ7" s="1">
        <v>0</v>
      </c>
      <c r="CA7" s="1">
        <v>0</v>
      </c>
      <c r="CB7" s="1">
        <v>0</v>
      </c>
      <c r="CC7" s="1">
        <v>0</v>
      </c>
      <c r="CD7" s="1">
        <v>0</v>
      </c>
      <c r="CE7" s="1">
        <v>0</v>
      </c>
      <c r="CF7" s="1">
        <v>0</v>
      </c>
      <c r="CG7" s="1">
        <v>0</v>
      </c>
      <c r="CH7" s="1">
        <v>0</v>
      </c>
      <c r="CI7" s="1">
        <v>0</v>
      </c>
      <c r="CJ7" s="1">
        <v>4</v>
      </c>
      <c r="CK7" s="1">
        <v>4</v>
      </c>
      <c r="CL7" s="1">
        <v>3</v>
      </c>
      <c r="CM7" s="1">
        <v>4</v>
      </c>
      <c r="CN7" s="1">
        <v>4</v>
      </c>
      <c r="CO7" s="1">
        <v>4</v>
      </c>
      <c r="CP7" s="1">
        <v>4</v>
      </c>
      <c r="CU7" s="1">
        <v>1</v>
      </c>
    </row>
    <row r="8" spans="1:99" x14ac:dyDescent="0.35">
      <c r="A8" s="1" t="s">
        <v>407</v>
      </c>
      <c r="B8" s="1">
        <v>175134024</v>
      </c>
      <c r="C8" s="1">
        <v>0</v>
      </c>
      <c r="D8" s="1">
        <v>0</v>
      </c>
      <c r="E8" s="1">
        <v>0</v>
      </c>
      <c r="F8" s="1">
        <v>0</v>
      </c>
      <c r="G8" s="1">
        <v>0</v>
      </c>
      <c r="H8" s="1">
        <v>0</v>
      </c>
      <c r="I8" s="1">
        <v>0</v>
      </c>
      <c r="J8" s="1">
        <v>0</v>
      </c>
      <c r="K8" s="1">
        <v>0</v>
      </c>
      <c r="L8" s="1">
        <v>1</v>
      </c>
      <c r="M8" s="1">
        <v>0</v>
      </c>
      <c r="N8" s="1">
        <v>0</v>
      </c>
      <c r="O8" s="1">
        <v>0</v>
      </c>
      <c r="P8" s="1">
        <v>2</v>
      </c>
      <c r="Q8" s="1">
        <v>2</v>
      </c>
      <c r="R8" s="1">
        <v>2</v>
      </c>
    </row>
    <row r="9" spans="1:99" x14ac:dyDescent="0.35">
      <c r="A9" s="1" t="s">
        <v>408</v>
      </c>
      <c r="B9" s="1">
        <v>175134025</v>
      </c>
      <c r="C9" s="1">
        <v>0</v>
      </c>
      <c r="D9" s="1">
        <v>1</v>
      </c>
      <c r="E9" s="1">
        <v>0</v>
      </c>
      <c r="F9" s="1">
        <v>0</v>
      </c>
      <c r="G9" s="1">
        <v>0</v>
      </c>
      <c r="H9" s="1">
        <v>1</v>
      </c>
      <c r="I9" s="1">
        <v>0</v>
      </c>
      <c r="J9" s="1">
        <v>0</v>
      </c>
      <c r="K9" s="1">
        <v>0</v>
      </c>
      <c r="L9" s="1">
        <v>0</v>
      </c>
      <c r="M9" s="1">
        <v>0</v>
      </c>
      <c r="N9" s="1">
        <v>0</v>
      </c>
      <c r="O9" s="1">
        <v>0</v>
      </c>
      <c r="P9" s="1">
        <v>500</v>
      </c>
      <c r="Q9" s="1">
        <v>60</v>
      </c>
      <c r="R9" s="1">
        <v>10</v>
      </c>
      <c r="S9" s="1">
        <v>5</v>
      </c>
      <c r="T9" s="1">
        <v>1</v>
      </c>
      <c r="U9" s="1">
        <v>4</v>
      </c>
      <c r="V9" s="1">
        <v>3</v>
      </c>
      <c r="W9" s="1">
        <v>3</v>
      </c>
      <c r="X9" s="1">
        <v>3</v>
      </c>
      <c r="Y9" s="1">
        <v>3</v>
      </c>
      <c r="Z9" s="1">
        <v>3</v>
      </c>
      <c r="AA9" s="1">
        <v>3</v>
      </c>
      <c r="CU9" s="1">
        <v>4</v>
      </c>
    </row>
    <row r="10" spans="1:99" x14ac:dyDescent="0.35">
      <c r="A10" s="1" t="s">
        <v>409</v>
      </c>
      <c r="B10" s="1">
        <v>175134026</v>
      </c>
      <c r="C10" s="1">
        <v>1</v>
      </c>
      <c r="D10" s="1">
        <v>1</v>
      </c>
      <c r="E10" s="1">
        <v>0</v>
      </c>
      <c r="F10" s="1">
        <v>1</v>
      </c>
      <c r="G10" s="1">
        <v>0</v>
      </c>
      <c r="H10" s="1">
        <v>0</v>
      </c>
      <c r="I10" s="1">
        <v>0</v>
      </c>
      <c r="J10" s="1">
        <v>0</v>
      </c>
      <c r="K10" s="1">
        <v>1</v>
      </c>
      <c r="L10" s="1">
        <v>1</v>
      </c>
      <c r="M10" s="1">
        <v>1</v>
      </c>
      <c r="N10" s="1">
        <v>0</v>
      </c>
      <c r="O10" s="1">
        <v>0</v>
      </c>
      <c r="P10" s="1">
        <v>26</v>
      </c>
      <c r="Q10" s="1">
        <v>6</v>
      </c>
      <c r="R10" s="1">
        <v>0</v>
      </c>
      <c r="S10" s="1">
        <v>5</v>
      </c>
      <c r="T10" s="1">
        <v>1</v>
      </c>
      <c r="U10" s="1">
        <v>4</v>
      </c>
      <c r="V10" s="1">
        <v>3</v>
      </c>
      <c r="W10" s="1">
        <v>3</v>
      </c>
      <c r="X10" s="1">
        <v>3</v>
      </c>
      <c r="Y10" s="1">
        <v>3</v>
      </c>
      <c r="Z10" s="1">
        <v>3</v>
      </c>
      <c r="AA10" s="1">
        <v>4</v>
      </c>
      <c r="CU10" s="1">
        <v>4</v>
      </c>
    </row>
    <row r="11" spans="1:99" x14ac:dyDescent="0.35">
      <c r="A11" s="1" t="s">
        <v>410</v>
      </c>
      <c r="B11" s="1">
        <v>175134028</v>
      </c>
      <c r="C11" s="1">
        <v>0</v>
      </c>
      <c r="D11" s="1">
        <v>1</v>
      </c>
      <c r="E11" s="1">
        <v>0</v>
      </c>
      <c r="F11" s="1">
        <v>0</v>
      </c>
      <c r="G11" s="1">
        <v>0</v>
      </c>
      <c r="H11" s="1">
        <v>0</v>
      </c>
      <c r="I11" s="1">
        <v>0</v>
      </c>
      <c r="J11" s="1">
        <v>0</v>
      </c>
      <c r="K11" s="1">
        <v>0</v>
      </c>
      <c r="L11" s="1">
        <v>0</v>
      </c>
      <c r="M11" s="1">
        <v>0</v>
      </c>
      <c r="N11" s="1">
        <v>0</v>
      </c>
      <c r="O11" s="1">
        <v>0</v>
      </c>
      <c r="P11" s="1" t="s">
        <v>411</v>
      </c>
      <c r="Q11" s="1" t="s">
        <v>399</v>
      </c>
      <c r="R11" s="1" t="s">
        <v>399</v>
      </c>
      <c r="S11" s="1">
        <v>1</v>
      </c>
      <c r="T11" s="1">
        <v>1</v>
      </c>
      <c r="U11" s="1">
        <v>4</v>
      </c>
      <c r="V11" s="1">
        <v>3</v>
      </c>
      <c r="W11" s="1">
        <v>3</v>
      </c>
      <c r="X11" s="1">
        <v>3</v>
      </c>
      <c r="Y11" s="1">
        <v>4</v>
      </c>
      <c r="Z11" s="1">
        <v>4</v>
      </c>
      <c r="AA11" s="1">
        <v>4</v>
      </c>
      <c r="AC11" s="1">
        <v>2</v>
      </c>
      <c r="AE11" s="1">
        <v>3</v>
      </c>
      <c r="AF11" s="3">
        <v>4500000</v>
      </c>
      <c r="AG11" s="1">
        <v>13</v>
      </c>
      <c r="AT11" s="1" t="s">
        <v>86</v>
      </c>
      <c r="BQ11" s="1" t="s">
        <v>412</v>
      </c>
      <c r="BR11" s="1" t="s">
        <v>413</v>
      </c>
      <c r="BT11" s="1" t="s">
        <v>79</v>
      </c>
      <c r="BU11" s="1">
        <v>3</v>
      </c>
      <c r="BV11" s="1">
        <v>2</v>
      </c>
      <c r="BW11" s="1">
        <v>0</v>
      </c>
      <c r="BX11" s="1">
        <v>0</v>
      </c>
      <c r="BY11" s="1">
        <v>1</v>
      </c>
      <c r="BZ11" s="1">
        <v>0</v>
      </c>
      <c r="CA11" s="1">
        <v>0</v>
      </c>
      <c r="CB11" s="1">
        <v>1</v>
      </c>
      <c r="CC11" s="1">
        <v>1</v>
      </c>
      <c r="CD11" s="1">
        <v>0</v>
      </c>
      <c r="CE11" s="1">
        <v>0</v>
      </c>
      <c r="CF11" s="1">
        <v>1</v>
      </c>
      <c r="CG11" s="1">
        <v>0</v>
      </c>
      <c r="CH11" s="1">
        <v>0</v>
      </c>
      <c r="CI11" s="1">
        <v>0</v>
      </c>
      <c r="CJ11" s="1">
        <v>4</v>
      </c>
      <c r="CK11" s="1">
        <v>3</v>
      </c>
      <c r="CL11" s="1">
        <v>2</v>
      </c>
      <c r="CM11" s="1">
        <v>3</v>
      </c>
      <c r="CN11" s="1">
        <v>4</v>
      </c>
      <c r="CO11" s="1">
        <v>3</v>
      </c>
      <c r="CP11" s="1">
        <v>4</v>
      </c>
      <c r="CU11" s="1">
        <v>1</v>
      </c>
    </row>
    <row r="12" spans="1:99" x14ac:dyDescent="0.35">
      <c r="A12" s="1" t="s">
        <v>414</v>
      </c>
      <c r="B12" s="1">
        <v>175134029</v>
      </c>
      <c r="C12" s="1">
        <v>0</v>
      </c>
      <c r="D12" s="1">
        <v>1</v>
      </c>
      <c r="E12" s="1">
        <v>0</v>
      </c>
      <c r="F12" s="1">
        <v>0</v>
      </c>
      <c r="G12" s="1">
        <v>0</v>
      </c>
      <c r="H12" s="1">
        <v>0</v>
      </c>
      <c r="I12" s="1">
        <v>0</v>
      </c>
      <c r="J12" s="1">
        <v>0</v>
      </c>
      <c r="K12" s="1">
        <v>0</v>
      </c>
      <c r="L12" s="1">
        <v>0</v>
      </c>
      <c r="M12" s="1">
        <v>0</v>
      </c>
      <c r="N12" s="1">
        <v>0</v>
      </c>
      <c r="O12" s="1">
        <v>0</v>
      </c>
      <c r="P12" s="1" t="s">
        <v>117</v>
      </c>
      <c r="Q12" s="1" t="s">
        <v>117</v>
      </c>
      <c r="R12" s="1" t="s">
        <v>117</v>
      </c>
      <c r="S12" s="1">
        <v>5</v>
      </c>
      <c r="T12" s="1">
        <v>1</v>
      </c>
      <c r="U12" s="1">
        <v>4</v>
      </c>
      <c r="V12" s="1">
        <v>3</v>
      </c>
      <c r="W12" s="1">
        <v>2</v>
      </c>
      <c r="X12" s="1">
        <v>3</v>
      </c>
      <c r="Y12" s="1">
        <v>3</v>
      </c>
      <c r="Z12" s="1">
        <v>4</v>
      </c>
      <c r="AA12" s="1">
        <v>4</v>
      </c>
      <c r="CU12" s="1">
        <v>4</v>
      </c>
    </row>
    <row r="13" spans="1:99" x14ac:dyDescent="0.35">
      <c r="A13" s="1" t="s">
        <v>415</v>
      </c>
      <c r="B13" s="1">
        <v>175134030</v>
      </c>
      <c r="C13" s="1">
        <v>0</v>
      </c>
      <c r="D13" s="1">
        <v>1</v>
      </c>
      <c r="E13" s="1">
        <v>0</v>
      </c>
      <c r="F13" s="1">
        <v>0</v>
      </c>
      <c r="G13" s="1">
        <v>0</v>
      </c>
      <c r="H13" s="1">
        <v>0</v>
      </c>
      <c r="I13" s="1">
        <v>0</v>
      </c>
      <c r="J13" s="1">
        <v>0</v>
      </c>
      <c r="K13" s="1">
        <v>1</v>
      </c>
      <c r="L13" s="1">
        <v>0</v>
      </c>
      <c r="M13" s="1">
        <v>0</v>
      </c>
      <c r="N13" s="1">
        <v>0</v>
      </c>
      <c r="O13" s="1">
        <v>0</v>
      </c>
      <c r="P13" s="1">
        <v>150</v>
      </c>
      <c r="Q13" s="1">
        <v>50</v>
      </c>
      <c r="R13" s="1">
        <v>10</v>
      </c>
      <c r="S13" s="1">
        <v>1</v>
      </c>
      <c r="T13" s="1">
        <v>1</v>
      </c>
      <c r="U13" s="1">
        <v>4</v>
      </c>
      <c r="V13" s="1">
        <v>3</v>
      </c>
      <c r="W13" s="1">
        <v>3</v>
      </c>
      <c r="X13" s="1">
        <v>3</v>
      </c>
      <c r="Y13" s="1">
        <v>3</v>
      </c>
      <c r="Z13" s="1">
        <v>3</v>
      </c>
      <c r="AA13" s="1">
        <v>3</v>
      </c>
      <c r="AC13" s="1">
        <v>1</v>
      </c>
      <c r="AD13" s="1">
        <v>3</v>
      </c>
      <c r="AE13" s="1">
        <v>3</v>
      </c>
      <c r="AF13" s="3">
        <v>3000000</v>
      </c>
      <c r="AG13" s="1">
        <v>13</v>
      </c>
      <c r="AT13" s="1" t="s">
        <v>209</v>
      </c>
      <c r="BP13" s="1">
        <v>3</v>
      </c>
      <c r="BQ13" s="1" t="s">
        <v>416</v>
      </c>
      <c r="BR13" s="1" t="s">
        <v>417</v>
      </c>
      <c r="BS13" s="1" t="s">
        <v>418</v>
      </c>
      <c r="BT13" s="1" t="s">
        <v>107</v>
      </c>
      <c r="BU13" s="1">
        <v>3</v>
      </c>
      <c r="BV13" s="1">
        <v>3</v>
      </c>
      <c r="BW13" s="1">
        <v>0</v>
      </c>
      <c r="BX13" s="1">
        <v>1</v>
      </c>
      <c r="BY13" s="1">
        <v>0</v>
      </c>
      <c r="BZ13" s="1">
        <v>0</v>
      </c>
      <c r="CA13" s="1">
        <v>0</v>
      </c>
      <c r="CB13" s="1">
        <v>0</v>
      </c>
      <c r="CC13" s="1">
        <v>0</v>
      </c>
      <c r="CD13" s="1">
        <v>0</v>
      </c>
      <c r="CE13" s="1">
        <v>0</v>
      </c>
      <c r="CF13" s="1">
        <v>1</v>
      </c>
      <c r="CG13" s="1">
        <v>0</v>
      </c>
      <c r="CH13" s="1">
        <v>1</v>
      </c>
      <c r="CI13" s="1">
        <v>0</v>
      </c>
      <c r="CJ13" s="1">
        <v>4</v>
      </c>
      <c r="CK13" s="1">
        <v>4</v>
      </c>
      <c r="CL13" s="1">
        <v>3</v>
      </c>
      <c r="CM13" s="1">
        <v>4</v>
      </c>
      <c r="CN13" s="1">
        <v>4</v>
      </c>
      <c r="CO13" s="1">
        <v>4</v>
      </c>
      <c r="CP13" s="1">
        <v>4</v>
      </c>
      <c r="CU13" s="1">
        <v>2</v>
      </c>
    </row>
    <row r="14" spans="1:99" x14ac:dyDescent="0.35">
      <c r="A14" s="1" t="s">
        <v>419</v>
      </c>
      <c r="B14" s="1">
        <v>175134033</v>
      </c>
      <c r="C14" s="1">
        <v>1</v>
      </c>
      <c r="D14" s="1">
        <v>1</v>
      </c>
      <c r="E14" s="1">
        <v>0</v>
      </c>
      <c r="F14" s="1">
        <v>0</v>
      </c>
      <c r="G14" s="1">
        <v>0</v>
      </c>
      <c r="H14" s="1">
        <v>0</v>
      </c>
      <c r="I14" s="1">
        <v>0</v>
      </c>
      <c r="J14" s="1">
        <v>0</v>
      </c>
      <c r="K14" s="1">
        <v>1</v>
      </c>
      <c r="L14" s="1">
        <v>0</v>
      </c>
      <c r="M14" s="1">
        <v>0</v>
      </c>
      <c r="N14" s="1">
        <v>0</v>
      </c>
      <c r="O14" s="1">
        <v>0</v>
      </c>
      <c r="P14" s="1">
        <v>10</v>
      </c>
      <c r="Q14" s="1">
        <v>3</v>
      </c>
      <c r="R14" s="1">
        <v>1</v>
      </c>
      <c r="S14" s="1">
        <v>5</v>
      </c>
      <c r="T14" s="1">
        <v>1</v>
      </c>
      <c r="U14" s="1">
        <v>4</v>
      </c>
      <c r="V14" s="1">
        <v>4</v>
      </c>
      <c r="W14" s="1">
        <v>2</v>
      </c>
      <c r="X14" s="1">
        <v>3</v>
      </c>
      <c r="Y14" s="1">
        <v>4</v>
      </c>
      <c r="Z14" s="1">
        <v>4</v>
      </c>
      <c r="AA14" s="1">
        <v>4</v>
      </c>
      <c r="CU14" s="1">
        <v>4</v>
      </c>
    </row>
    <row r="15" spans="1:99" x14ac:dyDescent="0.35">
      <c r="A15" s="1" t="s">
        <v>420</v>
      </c>
      <c r="B15" s="1">
        <v>175134034</v>
      </c>
      <c r="C15" s="1">
        <v>1</v>
      </c>
      <c r="D15" s="1">
        <v>1</v>
      </c>
      <c r="E15" s="1">
        <v>0</v>
      </c>
      <c r="F15" s="1">
        <v>0</v>
      </c>
      <c r="G15" s="1">
        <v>0</v>
      </c>
      <c r="H15" s="1">
        <v>1</v>
      </c>
      <c r="I15" s="1">
        <v>1</v>
      </c>
      <c r="J15" s="1">
        <v>0</v>
      </c>
      <c r="K15" s="1">
        <v>1</v>
      </c>
      <c r="L15" s="1">
        <v>0</v>
      </c>
      <c r="M15" s="1">
        <v>0</v>
      </c>
      <c r="N15" s="1">
        <v>0</v>
      </c>
      <c r="O15" s="1">
        <v>0</v>
      </c>
      <c r="P15" s="1" t="s">
        <v>421</v>
      </c>
      <c r="Q15" s="1" t="s">
        <v>422</v>
      </c>
      <c r="R15" s="1" t="s">
        <v>423</v>
      </c>
      <c r="S15" s="1">
        <v>1</v>
      </c>
      <c r="T15" s="1">
        <v>1</v>
      </c>
      <c r="U15" s="1">
        <v>3</v>
      </c>
      <c r="V15" s="1">
        <v>3</v>
      </c>
      <c r="W15" s="1">
        <v>3</v>
      </c>
      <c r="X15" s="1">
        <v>4</v>
      </c>
      <c r="Y15" s="1">
        <v>4</v>
      </c>
      <c r="Z15" s="1">
        <v>3</v>
      </c>
      <c r="AA15" s="1">
        <v>3</v>
      </c>
      <c r="AC15" s="1">
        <v>2</v>
      </c>
      <c r="AE15" s="1">
        <v>2</v>
      </c>
      <c r="AF15" s="3">
        <v>6000000</v>
      </c>
      <c r="AG15" s="1">
        <v>13</v>
      </c>
      <c r="AT15" s="1" t="s">
        <v>83</v>
      </c>
      <c r="BP15" s="1">
        <v>3</v>
      </c>
      <c r="BQ15" s="1" t="s">
        <v>424</v>
      </c>
      <c r="BT15" s="1" t="s">
        <v>73</v>
      </c>
      <c r="BU15" s="1">
        <v>3</v>
      </c>
      <c r="BV15" s="1">
        <v>3</v>
      </c>
      <c r="BW15" s="1">
        <v>0</v>
      </c>
      <c r="BX15" s="1">
        <v>1</v>
      </c>
      <c r="BY15" s="1">
        <v>0</v>
      </c>
      <c r="BZ15" s="1">
        <v>0</v>
      </c>
      <c r="CA15" s="1">
        <v>0</v>
      </c>
      <c r="CB15" s="1">
        <v>0</v>
      </c>
      <c r="CC15" s="1">
        <v>0</v>
      </c>
      <c r="CD15" s="1">
        <v>0</v>
      </c>
      <c r="CE15" s="1">
        <v>0</v>
      </c>
      <c r="CF15" s="1">
        <v>1</v>
      </c>
      <c r="CG15" s="1">
        <v>0</v>
      </c>
      <c r="CH15" s="1">
        <v>0</v>
      </c>
      <c r="CI15" s="1">
        <v>0</v>
      </c>
      <c r="CJ15" s="1">
        <v>4</v>
      </c>
      <c r="CK15" s="1">
        <v>2</v>
      </c>
      <c r="CL15" s="1">
        <v>3</v>
      </c>
      <c r="CM15" s="1">
        <v>3</v>
      </c>
      <c r="CN15" s="1">
        <v>4</v>
      </c>
      <c r="CO15" s="1">
        <v>4</v>
      </c>
      <c r="CP15" s="1">
        <v>3</v>
      </c>
      <c r="CU15" s="1">
        <v>1</v>
      </c>
    </row>
    <row r="16" spans="1:99" x14ac:dyDescent="0.35">
      <c r="A16" s="1" t="s">
        <v>425</v>
      </c>
      <c r="B16" s="1">
        <v>175134035</v>
      </c>
      <c r="C16" s="1">
        <v>0</v>
      </c>
      <c r="D16" s="1">
        <v>1</v>
      </c>
      <c r="E16" s="1">
        <v>0</v>
      </c>
      <c r="F16" s="1">
        <v>0</v>
      </c>
      <c r="G16" s="1">
        <v>0</v>
      </c>
      <c r="H16" s="1">
        <v>0</v>
      </c>
      <c r="I16" s="1">
        <v>0</v>
      </c>
      <c r="J16" s="1">
        <v>0</v>
      </c>
      <c r="K16" s="1">
        <v>0</v>
      </c>
      <c r="L16" s="1">
        <v>0</v>
      </c>
      <c r="M16" s="1">
        <v>0</v>
      </c>
      <c r="N16" s="1">
        <v>0</v>
      </c>
      <c r="O16" s="1">
        <v>0</v>
      </c>
      <c r="P16" s="1">
        <v>30</v>
      </c>
      <c r="Q16" s="1">
        <v>20</v>
      </c>
      <c r="R16" s="1">
        <v>8</v>
      </c>
    </row>
    <row r="17" spans="1:99" x14ac:dyDescent="0.35">
      <c r="A17" s="1" t="s">
        <v>426</v>
      </c>
      <c r="B17" s="1">
        <v>175134036</v>
      </c>
      <c r="C17" s="1">
        <v>0</v>
      </c>
      <c r="D17" s="1">
        <v>1</v>
      </c>
      <c r="E17" s="1">
        <v>0</v>
      </c>
      <c r="F17" s="1">
        <v>0</v>
      </c>
      <c r="G17" s="1">
        <v>0</v>
      </c>
      <c r="H17" s="1">
        <v>0</v>
      </c>
      <c r="I17" s="1">
        <v>0</v>
      </c>
      <c r="J17" s="1">
        <v>0</v>
      </c>
      <c r="K17" s="1">
        <v>0</v>
      </c>
      <c r="L17" s="1">
        <v>0</v>
      </c>
      <c r="M17" s="1">
        <v>0</v>
      </c>
      <c r="N17" s="1">
        <v>0</v>
      </c>
      <c r="O17" s="1">
        <v>0</v>
      </c>
      <c r="P17" s="7">
        <v>44105</v>
      </c>
      <c r="Q17" s="4">
        <v>46300</v>
      </c>
      <c r="R17" s="1">
        <v>5</v>
      </c>
      <c r="S17" s="1">
        <v>1</v>
      </c>
      <c r="T17" s="1">
        <v>1</v>
      </c>
      <c r="U17" s="1">
        <v>3</v>
      </c>
      <c r="V17" s="1">
        <v>3</v>
      </c>
      <c r="W17" s="1">
        <v>3</v>
      </c>
      <c r="X17" s="1">
        <v>3</v>
      </c>
      <c r="Y17" s="1">
        <v>3</v>
      </c>
      <c r="Z17" s="1">
        <v>3</v>
      </c>
      <c r="AA17" s="1">
        <v>3</v>
      </c>
      <c r="AC17" s="1">
        <v>1</v>
      </c>
      <c r="AD17" s="1">
        <v>1</v>
      </c>
      <c r="AF17" s="3">
        <v>2800000</v>
      </c>
      <c r="AG17" s="1">
        <v>13</v>
      </c>
      <c r="AT17" s="1" t="s">
        <v>427</v>
      </c>
      <c r="BP17" s="1">
        <v>3</v>
      </c>
      <c r="BQ17" s="1" t="s">
        <v>428</v>
      </c>
      <c r="BR17" s="1" t="s">
        <v>429</v>
      </c>
      <c r="BT17" s="1" t="s">
        <v>79</v>
      </c>
      <c r="BU17" s="1">
        <v>1</v>
      </c>
      <c r="BV17" s="1">
        <v>2</v>
      </c>
      <c r="BW17" s="1">
        <v>1</v>
      </c>
      <c r="BX17" s="1">
        <v>0</v>
      </c>
      <c r="BY17" s="1">
        <v>0</v>
      </c>
      <c r="BZ17" s="1">
        <v>0</v>
      </c>
      <c r="CA17" s="1">
        <v>0</v>
      </c>
      <c r="CB17" s="1">
        <v>0</v>
      </c>
      <c r="CC17" s="1">
        <v>0</v>
      </c>
      <c r="CD17" s="1">
        <v>0</v>
      </c>
      <c r="CE17" s="1">
        <v>0</v>
      </c>
      <c r="CF17" s="1">
        <v>0</v>
      </c>
      <c r="CG17" s="1">
        <v>0</v>
      </c>
      <c r="CH17" s="1">
        <v>0</v>
      </c>
      <c r="CI17" s="1">
        <v>0</v>
      </c>
      <c r="CJ17" s="1">
        <v>4</v>
      </c>
      <c r="CK17" s="1">
        <v>4</v>
      </c>
      <c r="CL17" s="1">
        <v>4</v>
      </c>
      <c r="CM17" s="1">
        <v>4</v>
      </c>
      <c r="CN17" s="1">
        <v>4</v>
      </c>
      <c r="CO17" s="1">
        <v>4</v>
      </c>
      <c r="CP17" s="1">
        <v>4</v>
      </c>
      <c r="CU17" s="1">
        <v>1</v>
      </c>
    </row>
    <row r="18" spans="1:99" x14ac:dyDescent="0.35">
      <c r="A18" s="1" t="s">
        <v>430</v>
      </c>
      <c r="B18" s="1">
        <v>175134037</v>
      </c>
      <c r="C18" s="1">
        <v>0</v>
      </c>
      <c r="D18" s="1">
        <v>1</v>
      </c>
      <c r="E18" s="1">
        <v>0</v>
      </c>
      <c r="F18" s="1">
        <v>0</v>
      </c>
      <c r="G18" s="1">
        <v>0</v>
      </c>
      <c r="H18" s="1">
        <v>0</v>
      </c>
      <c r="I18" s="1">
        <v>0</v>
      </c>
      <c r="J18" s="1">
        <v>0</v>
      </c>
      <c r="K18" s="1">
        <v>0</v>
      </c>
      <c r="L18" s="1">
        <v>0</v>
      </c>
      <c r="M18" s="1">
        <v>0</v>
      </c>
      <c r="N18" s="1">
        <v>0</v>
      </c>
      <c r="O18" s="1">
        <v>0</v>
      </c>
      <c r="P18" s="1" t="s">
        <v>431</v>
      </c>
      <c r="Q18" s="1">
        <v>20</v>
      </c>
      <c r="R18" s="1">
        <v>6</v>
      </c>
      <c r="S18" s="1">
        <v>1</v>
      </c>
      <c r="T18" s="1">
        <v>1</v>
      </c>
      <c r="U18" s="1">
        <v>3</v>
      </c>
      <c r="V18" s="1">
        <v>3</v>
      </c>
      <c r="W18" s="1">
        <v>2</v>
      </c>
      <c r="X18" s="1">
        <v>3</v>
      </c>
      <c r="Y18" s="1">
        <v>3</v>
      </c>
      <c r="Z18" s="1">
        <v>3</v>
      </c>
      <c r="AA18" s="1">
        <v>4</v>
      </c>
      <c r="AC18" s="1">
        <v>2</v>
      </c>
      <c r="AE18" s="1">
        <v>6</v>
      </c>
      <c r="AF18" s="3">
        <v>3824000</v>
      </c>
      <c r="AG18" s="1">
        <v>13</v>
      </c>
      <c r="AT18" s="1" t="s">
        <v>86</v>
      </c>
      <c r="BP18" s="1">
        <v>3</v>
      </c>
      <c r="BQ18" s="1" t="s">
        <v>432</v>
      </c>
      <c r="BR18" s="1" t="s">
        <v>433</v>
      </c>
      <c r="BS18" s="1" t="s">
        <v>434</v>
      </c>
      <c r="BT18" s="1" t="s">
        <v>79</v>
      </c>
      <c r="BU18" s="1">
        <v>3</v>
      </c>
      <c r="BV18" s="1">
        <v>2</v>
      </c>
      <c r="BW18" s="1">
        <v>1</v>
      </c>
      <c r="BX18" s="1">
        <v>0</v>
      </c>
      <c r="BY18" s="1">
        <v>0</v>
      </c>
      <c r="BZ18" s="1">
        <v>0</v>
      </c>
      <c r="CA18" s="1">
        <v>0</v>
      </c>
      <c r="CB18" s="1">
        <v>0</v>
      </c>
      <c r="CC18" s="1">
        <v>0</v>
      </c>
      <c r="CD18" s="1">
        <v>0</v>
      </c>
      <c r="CE18" s="1">
        <v>0</v>
      </c>
      <c r="CF18" s="1">
        <v>0</v>
      </c>
      <c r="CG18" s="1">
        <v>0</v>
      </c>
      <c r="CH18" s="1">
        <v>0</v>
      </c>
      <c r="CI18" s="1">
        <v>0</v>
      </c>
      <c r="CJ18" s="1">
        <v>4</v>
      </c>
      <c r="CK18" s="1">
        <v>3</v>
      </c>
      <c r="CL18" s="1">
        <v>2</v>
      </c>
      <c r="CM18" s="1">
        <v>4</v>
      </c>
      <c r="CN18" s="1">
        <v>4</v>
      </c>
      <c r="CO18" s="1">
        <v>4</v>
      </c>
      <c r="CP18" s="1">
        <v>4</v>
      </c>
      <c r="CU18" s="1">
        <v>1</v>
      </c>
    </row>
    <row r="19" spans="1:99" x14ac:dyDescent="0.35">
      <c r="A19" s="1" t="s">
        <v>435</v>
      </c>
      <c r="B19" s="1">
        <v>175134038</v>
      </c>
      <c r="C19" s="1">
        <v>0</v>
      </c>
      <c r="D19" s="1">
        <v>1</v>
      </c>
      <c r="E19" s="1">
        <v>1</v>
      </c>
      <c r="F19" s="1">
        <v>0</v>
      </c>
      <c r="G19" s="1">
        <v>0</v>
      </c>
      <c r="H19" s="1">
        <v>0</v>
      </c>
      <c r="I19" s="1">
        <v>0</v>
      </c>
      <c r="J19" s="1">
        <v>1</v>
      </c>
      <c r="K19" s="1">
        <v>0</v>
      </c>
      <c r="L19" s="1">
        <v>0</v>
      </c>
      <c r="M19" s="1">
        <v>0</v>
      </c>
      <c r="N19" s="1">
        <v>0</v>
      </c>
      <c r="O19" s="1">
        <v>0</v>
      </c>
      <c r="P19" s="1" t="s">
        <v>436</v>
      </c>
      <c r="Q19" s="1">
        <v>5</v>
      </c>
      <c r="R19" s="1">
        <v>4</v>
      </c>
      <c r="S19" s="1">
        <v>1</v>
      </c>
      <c r="T19" s="1">
        <v>1</v>
      </c>
      <c r="U19" s="1">
        <v>3</v>
      </c>
      <c r="V19" s="1">
        <v>3</v>
      </c>
      <c r="W19" s="1">
        <v>4</v>
      </c>
      <c r="X19" s="1">
        <v>4</v>
      </c>
      <c r="Y19" s="1">
        <v>3</v>
      </c>
      <c r="Z19" s="1">
        <v>3</v>
      </c>
      <c r="AA19" s="1">
        <v>3</v>
      </c>
      <c r="AC19" s="1">
        <v>2</v>
      </c>
      <c r="AE19" s="1">
        <v>1</v>
      </c>
      <c r="AF19" s="3">
        <v>3650000</v>
      </c>
      <c r="AG19" s="1">
        <v>13</v>
      </c>
      <c r="AT19" s="1" t="s">
        <v>86</v>
      </c>
      <c r="BP19" s="1">
        <v>3</v>
      </c>
      <c r="BQ19" s="1" t="s">
        <v>437</v>
      </c>
      <c r="BR19" s="1" t="s">
        <v>438</v>
      </c>
      <c r="BT19" s="1" t="s">
        <v>79</v>
      </c>
      <c r="BU19" s="1">
        <v>5</v>
      </c>
      <c r="BV19" s="1">
        <v>2</v>
      </c>
      <c r="BW19" s="1">
        <v>0</v>
      </c>
      <c r="BX19" s="1">
        <v>1</v>
      </c>
      <c r="BY19" s="1">
        <v>0</v>
      </c>
      <c r="BZ19" s="1">
        <v>0</v>
      </c>
      <c r="CA19" s="1">
        <v>0</v>
      </c>
      <c r="CB19" s="1">
        <v>0</v>
      </c>
      <c r="CC19" s="1">
        <v>0</v>
      </c>
      <c r="CD19" s="1">
        <v>0</v>
      </c>
      <c r="CE19" s="1">
        <v>0</v>
      </c>
      <c r="CF19" s="1">
        <v>0</v>
      </c>
      <c r="CG19" s="1">
        <v>0</v>
      </c>
      <c r="CH19" s="1">
        <v>1</v>
      </c>
      <c r="CI19" s="1">
        <v>0</v>
      </c>
      <c r="CJ19" s="1">
        <v>4</v>
      </c>
      <c r="CK19" s="1">
        <v>3</v>
      </c>
      <c r="CL19" s="1">
        <v>4</v>
      </c>
      <c r="CM19" s="1">
        <v>4</v>
      </c>
      <c r="CN19" s="1">
        <v>4</v>
      </c>
      <c r="CO19" s="1">
        <v>4</v>
      </c>
      <c r="CP19" s="1">
        <v>4</v>
      </c>
      <c r="CU19" s="1">
        <v>1</v>
      </c>
    </row>
    <row r="20" spans="1:99" x14ac:dyDescent="0.35">
      <c r="A20" s="1" t="s">
        <v>439</v>
      </c>
      <c r="B20" s="1">
        <v>175134039</v>
      </c>
      <c r="C20" s="1">
        <v>0</v>
      </c>
      <c r="D20" s="1">
        <v>1</v>
      </c>
      <c r="E20" s="1">
        <v>0</v>
      </c>
      <c r="F20" s="1">
        <v>0</v>
      </c>
      <c r="G20" s="1">
        <v>0</v>
      </c>
      <c r="H20" s="1">
        <v>0</v>
      </c>
      <c r="I20" s="1">
        <v>0</v>
      </c>
      <c r="J20" s="1">
        <v>1</v>
      </c>
      <c r="K20" s="1">
        <v>1</v>
      </c>
      <c r="L20" s="1">
        <v>0</v>
      </c>
      <c r="M20" s="1">
        <v>0</v>
      </c>
      <c r="N20" s="1">
        <v>0</v>
      </c>
      <c r="O20" s="1">
        <v>0</v>
      </c>
      <c r="P20" s="1">
        <v>40</v>
      </c>
      <c r="Q20" s="1">
        <v>10</v>
      </c>
      <c r="R20" s="1">
        <v>8</v>
      </c>
      <c r="S20" s="1">
        <v>1</v>
      </c>
      <c r="T20" s="1">
        <v>1</v>
      </c>
      <c r="U20" s="1">
        <v>4</v>
      </c>
      <c r="V20" s="1">
        <v>3</v>
      </c>
      <c r="W20" s="1">
        <v>3</v>
      </c>
      <c r="X20" s="1">
        <v>3</v>
      </c>
      <c r="Y20" s="1">
        <v>4</v>
      </c>
      <c r="Z20" s="1">
        <v>3</v>
      </c>
      <c r="AA20" s="1">
        <v>3</v>
      </c>
      <c r="AC20" s="1">
        <v>1</v>
      </c>
      <c r="AD20" s="1">
        <v>3</v>
      </c>
      <c r="AF20" s="3">
        <v>3000000</v>
      </c>
      <c r="AG20" s="1">
        <v>13</v>
      </c>
      <c r="AT20" s="1" t="s">
        <v>86</v>
      </c>
      <c r="BP20" s="1">
        <v>3</v>
      </c>
      <c r="BQ20" s="1" t="s">
        <v>440</v>
      </c>
      <c r="BR20" s="1" t="s">
        <v>441</v>
      </c>
      <c r="BS20" s="1" t="s">
        <v>442</v>
      </c>
      <c r="BT20" s="1" t="s">
        <v>79</v>
      </c>
      <c r="BU20" s="1">
        <v>3</v>
      </c>
      <c r="BV20" s="1">
        <v>2</v>
      </c>
      <c r="BW20" s="1">
        <v>0</v>
      </c>
      <c r="BX20" s="1">
        <v>0</v>
      </c>
      <c r="BY20" s="1">
        <v>0</v>
      </c>
      <c r="BZ20" s="1">
        <v>0</v>
      </c>
      <c r="CA20" s="1">
        <v>0</v>
      </c>
      <c r="CB20" s="1">
        <v>0</v>
      </c>
      <c r="CC20" s="1">
        <v>0</v>
      </c>
      <c r="CD20" s="1">
        <v>0</v>
      </c>
      <c r="CE20" s="1">
        <v>0</v>
      </c>
      <c r="CF20" s="1">
        <v>1</v>
      </c>
      <c r="CG20" s="1">
        <v>0</v>
      </c>
      <c r="CH20" s="1">
        <v>1</v>
      </c>
      <c r="CI20" s="1">
        <v>0</v>
      </c>
      <c r="CJ20" s="1">
        <v>4</v>
      </c>
      <c r="CK20" s="1">
        <v>3</v>
      </c>
      <c r="CL20" s="1">
        <v>3</v>
      </c>
      <c r="CM20" s="1">
        <v>4</v>
      </c>
      <c r="CN20" s="1">
        <v>4</v>
      </c>
      <c r="CO20" s="1">
        <v>4</v>
      </c>
      <c r="CP20" s="1">
        <v>4</v>
      </c>
      <c r="CU20" s="1">
        <v>2</v>
      </c>
    </row>
    <row r="21" spans="1:99" x14ac:dyDescent="0.35">
      <c r="A21" s="1" t="s">
        <v>443</v>
      </c>
      <c r="B21" s="1">
        <v>175134044</v>
      </c>
      <c r="C21" s="1">
        <v>1</v>
      </c>
      <c r="D21" s="1">
        <v>1</v>
      </c>
      <c r="E21" s="1">
        <v>0</v>
      </c>
      <c r="F21" s="1">
        <v>1</v>
      </c>
      <c r="G21" s="1">
        <v>0</v>
      </c>
      <c r="H21" s="1">
        <v>0</v>
      </c>
      <c r="I21" s="1">
        <v>0</v>
      </c>
      <c r="J21" s="1">
        <v>1</v>
      </c>
      <c r="K21" s="1">
        <v>0</v>
      </c>
      <c r="L21" s="1">
        <v>0</v>
      </c>
      <c r="M21" s="1">
        <v>0</v>
      </c>
      <c r="N21" s="1">
        <v>0</v>
      </c>
      <c r="O21" s="1">
        <v>0</v>
      </c>
      <c r="P21" s="1">
        <v>30</v>
      </c>
      <c r="Q21" s="1">
        <v>4</v>
      </c>
      <c r="R21" s="1">
        <v>2</v>
      </c>
      <c r="S21" s="1">
        <v>1</v>
      </c>
      <c r="T21" s="1">
        <v>1</v>
      </c>
      <c r="U21" s="1">
        <v>3</v>
      </c>
      <c r="V21" s="1">
        <v>3</v>
      </c>
      <c r="W21" s="1">
        <v>3</v>
      </c>
      <c r="X21" s="1">
        <v>3</v>
      </c>
      <c r="Y21" s="1">
        <v>3</v>
      </c>
      <c r="Z21" s="1">
        <v>3</v>
      </c>
      <c r="AA21" s="1">
        <v>3</v>
      </c>
      <c r="AC21" s="1">
        <v>1</v>
      </c>
      <c r="AD21" s="1">
        <v>1</v>
      </c>
      <c r="AF21" s="3">
        <v>2200000</v>
      </c>
      <c r="AG21" s="1">
        <v>13</v>
      </c>
      <c r="AT21" s="1" t="s">
        <v>109</v>
      </c>
      <c r="BP21" s="1">
        <v>3</v>
      </c>
      <c r="BQ21" s="1" t="s">
        <v>444</v>
      </c>
      <c r="BR21" s="1" t="s">
        <v>445</v>
      </c>
      <c r="BS21" s="1" t="s">
        <v>446</v>
      </c>
      <c r="BT21" s="1" t="s">
        <v>73</v>
      </c>
      <c r="BU21" s="1">
        <v>1</v>
      </c>
      <c r="BV21" s="1">
        <v>2</v>
      </c>
      <c r="BW21" s="1">
        <v>1</v>
      </c>
      <c r="BX21" s="1">
        <v>0</v>
      </c>
      <c r="BY21" s="1">
        <v>0</v>
      </c>
      <c r="BZ21" s="1">
        <v>0</v>
      </c>
      <c r="CA21" s="1">
        <v>0</v>
      </c>
      <c r="CB21" s="1">
        <v>0</v>
      </c>
      <c r="CC21" s="1">
        <v>0</v>
      </c>
      <c r="CD21" s="1">
        <v>0</v>
      </c>
      <c r="CE21" s="1">
        <v>0</v>
      </c>
      <c r="CF21" s="1">
        <v>0</v>
      </c>
      <c r="CG21" s="1">
        <v>0</v>
      </c>
      <c r="CH21" s="1">
        <v>0</v>
      </c>
      <c r="CI21" s="1">
        <v>0</v>
      </c>
      <c r="CJ21" s="1">
        <v>4</v>
      </c>
      <c r="CK21" s="1">
        <v>4</v>
      </c>
      <c r="CL21" s="1">
        <v>4</v>
      </c>
      <c r="CM21" s="1">
        <v>4</v>
      </c>
      <c r="CN21" s="1">
        <v>4</v>
      </c>
      <c r="CO21" s="1">
        <v>4</v>
      </c>
      <c r="CP21" s="1">
        <v>4</v>
      </c>
      <c r="CU21" s="1">
        <v>3</v>
      </c>
    </row>
    <row r="22" spans="1:99" x14ac:dyDescent="0.35">
      <c r="A22" s="1" t="s">
        <v>447</v>
      </c>
      <c r="B22" s="1">
        <v>175134045</v>
      </c>
      <c r="C22" s="1">
        <v>0</v>
      </c>
      <c r="D22" s="1">
        <v>1</v>
      </c>
      <c r="E22" s="1">
        <v>0</v>
      </c>
      <c r="F22" s="1">
        <v>0</v>
      </c>
      <c r="G22" s="1">
        <v>0</v>
      </c>
      <c r="H22" s="1">
        <v>0</v>
      </c>
      <c r="I22" s="1">
        <v>0</v>
      </c>
      <c r="J22" s="1">
        <v>1</v>
      </c>
      <c r="K22" s="1">
        <v>1</v>
      </c>
      <c r="L22" s="1">
        <v>0</v>
      </c>
      <c r="M22" s="1">
        <v>0</v>
      </c>
      <c r="N22" s="1">
        <v>0</v>
      </c>
      <c r="O22" s="1">
        <v>0</v>
      </c>
      <c r="P22" s="1" t="s">
        <v>180</v>
      </c>
      <c r="Q22" s="1" t="s">
        <v>117</v>
      </c>
      <c r="R22" s="1" t="s">
        <v>448</v>
      </c>
      <c r="S22" s="1">
        <v>1</v>
      </c>
      <c r="T22" s="1">
        <v>1</v>
      </c>
      <c r="U22" s="1">
        <v>4</v>
      </c>
      <c r="V22" s="1">
        <v>3</v>
      </c>
      <c r="W22" s="1">
        <v>3</v>
      </c>
      <c r="X22" s="1">
        <v>4</v>
      </c>
      <c r="Y22" s="1">
        <v>3</v>
      </c>
      <c r="Z22" s="1">
        <v>4</v>
      </c>
      <c r="AA22" s="1">
        <v>4</v>
      </c>
      <c r="AC22" s="1">
        <v>1</v>
      </c>
      <c r="AD22" s="1">
        <v>6</v>
      </c>
      <c r="AF22" s="3">
        <v>4500000</v>
      </c>
      <c r="AG22" s="1">
        <v>13</v>
      </c>
      <c r="AT22" s="1" t="s">
        <v>86</v>
      </c>
      <c r="BP22" s="1">
        <v>3</v>
      </c>
      <c r="BQ22" s="1" t="s">
        <v>87</v>
      </c>
      <c r="BR22" s="1" t="s">
        <v>449</v>
      </c>
      <c r="BS22" s="1" t="s">
        <v>450</v>
      </c>
      <c r="BT22" s="1" t="s">
        <v>79</v>
      </c>
      <c r="BU22" s="1">
        <v>1</v>
      </c>
      <c r="BV22" s="1">
        <v>2</v>
      </c>
      <c r="BW22" s="1">
        <v>1</v>
      </c>
      <c r="BX22" s="1">
        <v>0</v>
      </c>
      <c r="BY22" s="1">
        <v>0</v>
      </c>
      <c r="BZ22" s="1">
        <v>0</v>
      </c>
      <c r="CA22" s="1">
        <v>0</v>
      </c>
      <c r="CB22" s="1">
        <v>0</v>
      </c>
      <c r="CC22" s="1">
        <v>0</v>
      </c>
      <c r="CD22" s="1">
        <v>0</v>
      </c>
      <c r="CE22" s="1">
        <v>0</v>
      </c>
      <c r="CF22" s="1">
        <v>0</v>
      </c>
      <c r="CG22" s="1">
        <v>0</v>
      </c>
      <c r="CH22" s="1">
        <v>0</v>
      </c>
      <c r="CI22" s="1">
        <v>0</v>
      </c>
      <c r="CJ22" s="1">
        <v>4</v>
      </c>
      <c r="CK22" s="1">
        <v>4</v>
      </c>
      <c r="CL22" s="1">
        <v>3</v>
      </c>
      <c r="CM22" s="1">
        <v>4</v>
      </c>
      <c r="CN22" s="1">
        <v>4</v>
      </c>
      <c r="CO22" s="1">
        <v>4</v>
      </c>
      <c r="CP22" s="1">
        <v>4</v>
      </c>
      <c r="CU22" s="1">
        <v>1</v>
      </c>
    </row>
    <row r="23" spans="1:99" x14ac:dyDescent="0.35">
      <c r="A23" s="1" t="s">
        <v>451</v>
      </c>
      <c r="B23" s="1">
        <v>175134047</v>
      </c>
      <c r="C23" s="1">
        <v>0</v>
      </c>
      <c r="D23" s="1">
        <v>1</v>
      </c>
      <c r="E23" s="1">
        <v>1</v>
      </c>
      <c r="F23" s="1">
        <v>0</v>
      </c>
      <c r="G23" s="1">
        <v>0</v>
      </c>
      <c r="H23" s="1">
        <v>0</v>
      </c>
      <c r="I23" s="1">
        <v>0</v>
      </c>
      <c r="J23" s="1">
        <v>1</v>
      </c>
      <c r="K23" s="1">
        <v>0</v>
      </c>
      <c r="L23" s="1">
        <v>0</v>
      </c>
      <c r="M23" s="1">
        <v>0</v>
      </c>
      <c r="N23" s="1">
        <v>0</v>
      </c>
      <c r="O23" s="1">
        <v>0</v>
      </c>
      <c r="P23" s="1">
        <v>20</v>
      </c>
      <c r="Q23" s="1">
        <v>10</v>
      </c>
      <c r="R23" s="1">
        <v>7</v>
      </c>
      <c r="S23" s="1">
        <v>1</v>
      </c>
      <c r="T23" s="1">
        <v>1</v>
      </c>
      <c r="U23" s="1">
        <v>3</v>
      </c>
      <c r="V23" s="1">
        <v>3</v>
      </c>
      <c r="W23" s="1">
        <v>3</v>
      </c>
      <c r="X23" s="1">
        <v>4</v>
      </c>
      <c r="Y23" s="1">
        <v>4</v>
      </c>
      <c r="Z23" s="1">
        <v>4</v>
      </c>
      <c r="AA23" s="1">
        <v>4</v>
      </c>
      <c r="AC23" s="1">
        <v>1</v>
      </c>
      <c r="AD23" s="1">
        <v>4</v>
      </c>
      <c r="AF23" s="3">
        <v>4900000</v>
      </c>
      <c r="AG23" s="1">
        <v>11</v>
      </c>
      <c r="AR23" s="1" t="s">
        <v>130</v>
      </c>
      <c r="BP23" s="1">
        <v>3</v>
      </c>
      <c r="BQ23" s="1" t="s">
        <v>452</v>
      </c>
      <c r="BR23" s="1" t="s">
        <v>453</v>
      </c>
      <c r="BS23" s="1" t="s">
        <v>454</v>
      </c>
      <c r="BT23" s="1" t="s">
        <v>73</v>
      </c>
      <c r="BU23" s="1">
        <v>4</v>
      </c>
      <c r="BV23" s="1">
        <v>2</v>
      </c>
      <c r="BW23" s="1">
        <v>0</v>
      </c>
      <c r="BX23" s="1">
        <v>0</v>
      </c>
      <c r="BY23" s="1">
        <v>1</v>
      </c>
      <c r="BZ23" s="1">
        <v>0</v>
      </c>
      <c r="CA23" s="1">
        <v>0</v>
      </c>
      <c r="CB23" s="1">
        <v>0</v>
      </c>
      <c r="CC23" s="1">
        <v>0</v>
      </c>
      <c r="CD23" s="1">
        <v>1</v>
      </c>
      <c r="CE23" s="1">
        <v>0</v>
      </c>
      <c r="CF23" s="1">
        <v>0</v>
      </c>
      <c r="CG23" s="1">
        <v>0</v>
      </c>
      <c r="CH23" s="1">
        <v>0</v>
      </c>
      <c r="CI23" s="1">
        <v>0</v>
      </c>
      <c r="CJ23" s="1">
        <v>4</v>
      </c>
      <c r="CK23" s="1">
        <v>3</v>
      </c>
      <c r="CL23" s="1">
        <v>4</v>
      </c>
      <c r="CM23" s="1">
        <v>4</v>
      </c>
      <c r="CN23" s="1">
        <v>4</v>
      </c>
      <c r="CO23" s="1">
        <v>4</v>
      </c>
      <c r="CP23" s="1">
        <v>4</v>
      </c>
      <c r="CU23" s="1">
        <v>1</v>
      </c>
    </row>
    <row r="24" spans="1:99" x14ac:dyDescent="0.35">
      <c r="A24" s="1" t="s">
        <v>455</v>
      </c>
      <c r="B24" s="1">
        <v>175134048</v>
      </c>
      <c r="C24" s="1">
        <v>0</v>
      </c>
      <c r="D24" s="1">
        <v>1</v>
      </c>
      <c r="E24" s="1">
        <v>0</v>
      </c>
      <c r="F24" s="1">
        <v>0</v>
      </c>
      <c r="G24" s="1">
        <v>0</v>
      </c>
      <c r="H24" s="1">
        <v>0</v>
      </c>
      <c r="I24" s="1">
        <v>0</v>
      </c>
      <c r="J24" s="1">
        <v>0</v>
      </c>
      <c r="K24" s="1">
        <v>0</v>
      </c>
      <c r="L24" s="1">
        <v>0</v>
      </c>
      <c r="M24" s="1">
        <v>0</v>
      </c>
      <c r="N24" s="1">
        <v>0</v>
      </c>
      <c r="O24" s="1">
        <v>0</v>
      </c>
      <c r="P24" s="1">
        <v>50</v>
      </c>
      <c r="Q24" s="1">
        <v>15</v>
      </c>
      <c r="R24" s="1">
        <v>2</v>
      </c>
      <c r="S24" s="1">
        <v>5</v>
      </c>
      <c r="T24" s="1">
        <v>1</v>
      </c>
      <c r="U24" s="1">
        <v>4</v>
      </c>
      <c r="V24" s="1">
        <v>4</v>
      </c>
      <c r="W24" s="1">
        <v>3</v>
      </c>
      <c r="X24" s="1">
        <v>4</v>
      </c>
      <c r="Y24" s="1">
        <v>4</v>
      </c>
      <c r="Z24" s="1">
        <v>4</v>
      </c>
      <c r="AA24" s="1">
        <v>4</v>
      </c>
      <c r="CU24" s="1">
        <v>4</v>
      </c>
    </row>
    <row r="25" spans="1:99" x14ac:dyDescent="0.35">
      <c r="A25" s="1" t="s">
        <v>456</v>
      </c>
      <c r="B25" s="1">
        <v>175134050</v>
      </c>
      <c r="C25" s="1">
        <v>0</v>
      </c>
      <c r="D25" s="1">
        <v>1</v>
      </c>
      <c r="E25" s="1">
        <v>0</v>
      </c>
      <c r="F25" s="1">
        <v>0</v>
      </c>
      <c r="G25" s="1">
        <v>0</v>
      </c>
      <c r="H25" s="1">
        <v>0</v>
      </c>
      <c r="I25" s="1">
        <v>0</v>
      </c>
      <c r="J25" s="1">
        <v>0</v>
      </c>
      <c r="K25" s="1">
        <v>0</v>
      </c>
      <c r="L25" s="1">
        <v>0</v>
      </c>
      <c r="M25" s="1">
        <v>0</v>
      </c>
      <c r="N25" s="1">
        <v>0</v>
      </c>
      <c r="O25" s="1">
        <v>0</v>
      </c>
      <c r="P25" s="1" t="s">
        <v>289</v>
      </c>
      <c r="Q25" s="1" t="s">
        <v>289</v>
      </c>
      <c r="R25" s="1" t="s">
        <v>117</v>
      </c>
      <c r="S25" s="1">
        <v>1</v>
      </c>
      <c r="T25" s="1">
        <v>1</v>
      </c>
      <c r="U25" s="1">
        <v>4</v>
      </c>
      <c r="V25" s="1">
        <v>4</v>
      </c>
      <c r="W25" s="1">
        <v>4</v>
      </c>
      <c r="X25" s="1">
        <v>4</v>
      </c>
      <c r="Y25" s="1">
        <v>4</v>
      </c>
      <c r="Z25" s="1">
        <v>4</v>
      </c>
      <c r="AA25" s="1">
        <v>4</v>
      </c>
      <c r="AC25" s="1">
        <v>1</v>
      </c>
      <c r="AD25" s="1">
        <v>1</v>
      </c>
      <c r="AF25" s="3">
        <v>4000000</v>
      </c>
      <c r="AG25" s="1">
        <v>13</v>
      </c>
      <c r="AT25" s="1" t="s">
        <v>86</v>
      </c>
      <c r="BP25" s="1">
        <v>3</v>
      </c>
      <c r="BQ25" s="1" t="s">
        <v>457</v>
      </c>
      <c r="BR25" s="1" t="s">
        <v>458</v>
      </c>
      <c r="BT25" s="1" t="s">
        <v>79</v>
      </c>
      <c r="BU25" s="1">
        <v>1</v>
      </c>
      <c r="BV25" s="1">
        <v>2</v>
      </c>
      <c r="BW25" s="1">
        <v>1</v>
      </c>
      <c r="BX25" s="1">
        <v>0</v>
      </c>
      <c r="BY25" s="1">
        <v>0</v>
      </c>
      <c r="BZ25" s="1">
        <v>0</v>
      </c>
      <c r="CA25" s="1">
        <v>0</v>
      </c>
      <c r="CB25" s="1">
        <v>0</v>
      </c>
      <c r="CC25" s="1">
        <v>0</v>
      </c>
      <c r="CD25" s="1">
        <v>0</v>
      </c>
      <c r="CE25" s="1">
        <v>0</v>
      </c>
      <c r="CF25" s="1">
        <v>0</v>
      </c>
      <c r="CG25" s="1">
        <v>0</v>
      </c>
      <c r="CH25" s="1">
        <v>0</v>
      </c>
      <c r="CI25" s="1">
        <v>0</v>
      </c>
      <c r="CJ25" s="1">
        <v>4</v>
      </c>
      <c r="CK25" s="1">
        <v>4</v>
      </c>
      <c r="CL25" s="1">
        <v>4</v>
      </c>
      <c r="CM25" s="1">
        <v>4</v>
      </c>
      <c r="CN25" s="1">
        <v>4</v>
      </c>
      <c r="CO25" s="1">
        <v>4</v>
      </c>
      <c r="CP25" s="1">
        <v>4</v>
      </c>
      <c r="CU25" s="1">
        <v>2</v>
      </c>
    </row>
    <row r="26" spans="1:99" x14ac:dyDescent="0.35">
      <c r="A26" s="1" t="s">
        <v>459</v>
      </c>
      <c r="B26" s="1">
        <v>175134051</v>
      </c>
      <c r="C26" s="1">
        <v>0</v>
      </c>
      <c r="D26" s="1">
        <v>1</v>
      </c>
      <c r="E26" s="1">
        <v>0</v>
      </c>
      <c r="F26" s="1">
        <v>0</v>
      </c>
      <c r="G26" s="1">
        <v>0</v>
      </c>
      <c r="H26" s="1">
        <v>0</v>
      </c>
      <c r="I26" s="1">
        <v>0</v>
      </c>
      <c r="J26" s="1">
        <v>0</v>
      </c>
      <c r="K26" s="1">
        <v>1</v>
      </c>
      <c r="L26" s="1">
        <v>0</v>
      </c>
      <c r="M26" s="1">
        <v>0</v>
      </c>
      <c r="N26" s="1">
        <v>0</v>
      </c>
      <c r="O26" s="1">
        <v>0</v>
      </c>
      <c r="P26" s="1">
        <v>5</v>
      </c>
      <c r="Q26" s="1">
        <v>1</v>
      </c>
      <c r="R26" s="1">
        <v>0</v>
      </c>
      <c r="S26" s="1">
        <v>5</v>
      </c>
      <c r="T26" s="1">
        <v>1</v>
      </c>
      <c r="U26" s="1">
        <v>3</v>
      </c>
      <c r="V26" s="1">
        <v>3</v>
      </c>
      <c r="W26" s="1">
        <v>2</v>
      </c>
      <c r="X26" s="1">
        <v>3</v>
      </c>
      <c r="Y26" s="1">
        <v>3</v>
      </c>
      <c r="Z26" s="1">
        <v>3</v>
      </c>
      <c r="AA26" s="1">
        <v>3</v>
      </c>
      <c r="CU26" s="1">
        <v>4</v>
      </c>
    </row>
    <row r="27" spans="1:99" x14ac:dyDescent="0.35">
      <c r="A27" s="1" t="s">
        <v>460</v>
      </c>
      <c r="B27" s="1">
        <v>175134052</v>
      </c>
      <c r="C27" s="1">
        <v>0</v>
      </c>
      <c r="D27" s="1">
        <v>1</v>
      </c>
      <c r="E27" s="1">
        <v>0</v>
      </c>
      <c r="F27" s="1">
        <v>0</v>
      </c>
      <c r="G27" s="1">
        <v>0</v>
      </c>
      <c r="H27" s="1">
        <v>0</v>
      </c>
      <c r="I27" s="1">
        <v>0</v>
      </c>
      <c r="J27" s="1">
        <v>0</v>
      </c>
      <c r="K27" s="1">
        <v>1</v>
      </c>
      <c r="L27" s="1">
        <v>0</v>
      </c>
      <c r="M27" s="1">
        <v>0</v>
      </c>
      <c r="N27" s="1">
        <v>0</v>
      </c>
      <c r="O27" s="1">
        <v>0</v>
      </c>
      <c r="P27" s="1" t="s">
        <v>461</v>
      </c>
      <c r="Q27" s="1">
        <v>10</v>
      </c>
      <c r="R27" s="1">
        <v>10</v>
      </c>
    </row>
    <row r="28" spans="1:99" x14ac:dyDescent="0.35">
      <c r="A28" s="1" t="s">
        <v>462</v>
      </c>
      <c r="B28" s="1">
        <v>175134053</v>
      </c>
      <c r="C28" s="1">
        <v>0</v>
      </c>
      <c r="D28" s="1">
        <v>1</v>
      </c>
      <c r="E28" s="1">
        <v>0</v>
      </c>
      <c r="F28" s="1">
        <v>0</v>
      </c>
      <c r="G28" s="1">
        <v>0</v>
      </c>
      <c r="H28" s="1">
        <v>0</v>
      </c>
      <c r="I28" s="1">
        <v>0</v>
      </c>
      <c r="J28" s="1">
        <v>0</v>
      </c>
      <c r="K28" s="1">
        <v>0</v>
      </c>
      <c r="L28" s="1">
        <v>0</v>
      </c>
      <c r="M28" s="1">
        <v>0</v>
      </c>
      <c r="N28" s="1">
        <v>0</v>
      </c>
      <c r="O28" s="1">
        <v>0</v>
      </c>
      <c r="P28" s="1" t="s">
        <v>463</v>
      </c>
      <c r="Q28" s="1">
        <v>8</v>
      </c>
      <c r="R28" s="1">
        <v>8</v>
      </c>
      <c r="S28" s="1">
        <v>1</v>
      </c>
      <c r="T28" s="1">
        <v>1</v>
      </c>
      <c r="U28" s="1">
        <v>4</v>
      </c>
      <c r="V28" s="1">
        <v>3</v>
      </c>
      <c r="W28" s="1">
        <v>4</v>
      </c>
      <c r="X28" s="1">
        <v>3</v>
      </c>
      <c r="Y28" s="1">
        <v>4</v>
      </c>
      <c r="Z28" s="1">
        <v>4</v>
      </c>
      <c r="AA28" s="1">
        <v>4</v>
      </c>
      <c r="AC28" s="1">
        <v>1</v>
      </c>
      <c r="AD28" s="1">
        <v>0</v>
      </c>
      <c r="AF28" s="3">
        <v>5000000</v>
      </c>
      <c r="AG28" s="1">
        <v>13</v>
      </c>
      <c r="AT28" s="1" t="s">
        <v>86</v>
      </c>
      <c r="BP28" s="1">
        <v>3</v>
      </c>
      <c r="BQ28" s="1" t="s">
        <v>464</v>
      </c>
      <c r="BR28" s="1" t="s">
        <v>465</v>
      </c>
      <c r="BS28" s="1" t="s">
        <v>466</v>
      </c>
      <c r="BT28" s="1" t="s">
        <v>79</v>
      </c>
      <c r="BU28" s="1">
        <v>1</v>
      </c>
      <c r="BV28" s="1">
        <v>2</v>
      </c>
      <c r="BW28" s="1">
        <v>1</v>
      </c>
      <c r="BX28" s="1">
        <v>0</v>
      </c>
      <c r="BY28" s="1">
        <v>0</v>
      </c>
      <c r="BZ28" s="1">
        <v>0</v>
      </c>
      <c r="CA28" s="1">
        <v>0</v>
      </c>
      <c r="CB28" s="1">
        <v>0</v>
      </c>
      <c r="CC28" s="1">
        <v>0</v>
      </c>
      <c r="CD28" s="1">
        <v>0</v>
      </c>
      <c r="CE28" s="1">
        <v>0</v>
      </c>
      <c r="CF28" s="1">
        <v>0</v>
      </c>
      <c r="CG28" s="1">
        <v>0</v>
      </c>
      <c r="CH28" s="1">
        <v>0</v>
      </c>
      <c r="CI28" s="1">
        <v>0</v>
      </c>
      <c r="CJ28" s="1">
        <v>4</v>
      </c>
      <c r="CK28" s="1">
        <v>4</v>
      </c>
      <c r="CL28" s="1">
        <v>4</v>
      </c>
      <c r="CM28" s="1">
        <v>4</v>
      </c>
      <c r="CN28" s="1">
        <v>4</v>
      </c>
      <c r="CO28" s="1">
        <v>4</v>
      </c>
      <c r="CP28" s="1">
        <v>4</v>
      </c>
      <c r="CU28" s="1">
        <v>1</v>
      </c>
    </row>
    <row r="29" spans="1:99" x14ac:dyDescent="0.35">
      <c r="A29" s="1" t="s">
        <v>467</v>
      </c>
      <c r="B29" s="1">
        <v>175134055</v>
      </c>
      <c r="C29" s="1">
        <v>0</v>
      </c>
      <c r="D29" s="1">
        <v>0</v>
      </c>
      <c r="E29" s="1">
        <v>0</v>
      </c>
      <c r="F29" s="1">
        <v>0</v>
      </c>
      <c r="G29" s="1">
        <v>0</v>
      </c>
      <c r="H29" s="1">
        <v>0</v>
      </c>
      <c r="I29" s="1">
        <v>0</v>
      </c>
      <c r="J29" s="1">
        <v>1</v>
      </c>
      <c r="K29" s="1">
        <v>1</v>
      </c>
      <c r="L29" s="1">
        <v>0</v>
      </c>
      <c r="M29" s="1">
        <v>0</v>
      </c>
      <c r="N29" s="1">
        <v>0</v>
      </c>
      <c r="O29" s="1">
        <v>0</v>
      </c>
      <c r="P29" s="1">
        <v>1</v>
      </c>
      <c r="Q29" s="1">
        <v>1</v>
      </c>
      <c r="R29" s="1">
        <v>7</v>
      </c>
      <c r="S29" s="1">
        <v>1</v>
      </c>
      <c r="T29" s="1">
        <v>1</v>
      </c>
      <c r="U29" s="1">
        <v>4</v>
      </c>
      <c r="V29" s="1">
        <v>4</v>
      </c>
      <c r="W29" s="1">
        <v>3</v>
      </c>
      <c r="X29" s="1">
        <v>4</v>
      </c>
      <c r="Y29" s="1">
        <v>4</v>
      </c>
      <c r="Z29" s="1">
        <v>4</v>
      </c>
      <c r="AA29" s="1">
        <v>4</v>
      </c>
      <c r="AC29" s="1">
        <v>1</v>
      </c>
      <c r="AD29" s="1">
        <v>0</v>
      </c>
      <c r="AF29" s="3">
        <v>4000000</v>
      </c>
      <c r="AG29" s="1">
        <v>13</v>
      </c>
      <c r="AT29" s="1" t="s">
        <v>86</v>
      </c>
      <c r="BP29" s="1">
        <v>3</v>
      </c>
      <c r="BQ29" s="1" t="s">
        <v>457</v>
      </c>
      <c r="BR29" s="1" t="s">
        <v>468</v>
      </c>
      <c r="BS29" s="1" t="s">
        <v>469</v>
      </c>
      <c r="BT29" s="1" t="s">
        <v>79</v>
      </c>
      <c r="BU29" s="1">
        <v>2</v>
      </c>
      <c r="BV29" s="1">
        <v>2</v>
      </c>
      <c r="BW29" s="1">
        <v>1</v>
      </c>
      <c r="BX29" s="1">
        <v>0</v>
      </c>
      <c r="BY29" s="1">
        <v>0</v>
      </c>
      <c r="BZ29" s="1">
        <v>0</v>
      </c>
      <c r="CA29" s="1">
        <v>0</v>
      </c>
      <c r="CB29" s="1">
        <v>0</v>
      </c>
      <c r="CC29" s="1">
        <v>0</v>
      </c>
      <c r="CD29" s="1">
        <v>0</v>
      </c>
      <c r="CE29" s="1">
        <v>0</v>
      </c>
      <c r="CF29" s="1">
        <v>0</v>
      </c>
      <c r="CG29" s="1">
        <v>0</v>
      </c>
      <c r="CH29" s="1">
        <v>0</v>
      </c>
      <c r="CI29" s="1">
        <v>0</v>
      </c>
      <c r="CJ29" s="1">
        <v>4</v>
      </c>
      <c r="CK29" s="1">
        <v>4</v>
      </c>
      <c r="CL29" s="1">
        <v>4</v>
      </c>
      <c r="CM29" s="1">
        <v>4</v>
      </c>
      <c r="CN29" s="1">
        <v>4</v>
      </c>
      <c r="CO29" s="1">
        <v>4</v>
      </c>
      <c r="CP29" s="1">
        <v>4</v>
      </c>
      <c r="CU29" s="1">
        <v>2</v>
      </c>
    </row>
    <row r="30" spans="1:99" x14ac:dyDescent="0.35">
      <c r="A30" s="1" t="s">
        <v>470</v>
      </c>
      <c r="B30" s="1">
        <v>175134056</v>
      </c>
      <c r="C30" s="1">
        <v>0</v>
      </c>
      <c r="D30" s="1">
        <v>1</v>
      </c>
      <c r="E30" s="1">
        <v>0</v>
      </c>
      <c r="F30" s="1">
        <v>0</v>
      </c>
      <c r="G30" s="1">
        <v>0</v>
      </c>
      <c r="H30" s="1">
        <v>0</v>
      </c>
      <c r="I30" s="1">
        <v>0</v>
      </c>
      <c r="J30" s="1">
        <v>1</v>
      </c>
      <c r="K30" s="1">
        <v>1</v>
      </c>
      <c r="L30" s="1">
        <v>0</v>
      </c>
      <c r="M30" s="1">
        <v>0</v>
      </c>
      <c r="N30" s="1">
        <v>0</v>
      </c>
      <c r="O30" s="1">
        <v>0</v>
      </c>
      <c r="P30" s="1" t="s">
        <v>471</v>
      </c>
      <c r="Q30" s="1">
        <v>9</v>
      </c>
      <c r="R30" s="1">
        <v>3</v>
      </c>
      <c r="S30" s="1">
        <v>1</v>
      </c>
      <c r="T30" s="1">
        <v>1</v>
      </c>
      <c r="U30" s="1">
        <v>3</v>
      </c>
      <c r="V30" s="1">
        <v>3</v>
      </c>
      <c r="W30" s="1">
        <v>3</v>
      </c>
      <c r="X30" s="1">
        <v>3</v>
      </c>
      <c r="Y30" s="1">
        <v>4</v>
      </c>
      <c r="Z30" s="1">
        <v>4</v>
      </c>
      <c r="AA30" s="1">
        <v>4</v>
      </c>
      <c r="AC30" s="1">
        <v>1</v>
      </c>
      <c r="AD30" s="1">
        <v>6</v>
      </c>
      <c r="AF30" s="3">
        <v>5000000</v>
      </c>
      <c r="AG30" s="1">
        <v>12</v>
      </c>
      <c r="AS30" s="1" t="s">
        <v>472</v>
      </c>
      <c r="BP30" s="1">
        <v>3</v>
      </c>
      <c r="BQ30" s="1" t="s">
        <v>473</v>
      </c>
      <c r="BR30" s="1" t="s">
        <v>474</v>
      </c>
      <c r="BS30" s="1" t="s">
        <v>475</v>
      </c>
      <c r="BT30" s="1" t="s">
        <v>107</v>
      </c>
      <c r="BU30" s="1">
        <v>1</v>
      </c>
      <c r="BV30" s="1">
        <v>2</v>
      </c>
      <c r="BW30" s="1">
        <v>1</v>
      </c>
      <c r="BX30" s="1">
        <v>0</v>
      </c>
      <c r="BY30" s="1">
        <v>0</v>
      </c>
      <c r="BZ30" s="1">
        <v>0</v>
      </c>
      <c r="CA30" s="1">
        <v>0</v>
      </c>
      <c r="CB30" s="1">
        <v>0</v>
      </c>
      <c r="CC30" s="1">
        <v>0</v>
      </c>
      <c r="CD30" s="1">
        <v>0</v>
      </c>
      <c r="CE30" s="1">
        <v>0</v>
      </c>
      <c r="CF30" s="1">
        <v>0</v>
      </c>
      <c r="CG30" s="1">
        <v>0</v>
      </c>
      <c r="CH30" s="1">
        <v>0</v>
      </c>
      <c r="CI30" s="1">
        <v>0</v>
      </c>
      <c r="CJ30" s="1">
        <v>4</v>
      </c>
      <c r="CK30" s="1">
        <v>4</v>
      </c>
      <c r="CL30" s="1">
        <v>2</v>
      </c>
      <c r="CM30" s="1">
        <v>4</v>
      </c>
      <c r="CN30" s="1">
        <v>4</v>
      </c>
      <c r="CO30" s="1">
        <v>4</v>
      </c>
      <c r="CP30" s="1">
        <v>4</v>
      </c>
      <c r="CU30" s="1">
        <v>1</v>
      </c>
    </row>
    <row r="31" spans="1:99" x14ac:dyDescent="0.35">
      <c r="A31" s="1" t="s">
        <v>476</v>
      </c>
      <c r="B31" s="1">
        <v>175134057</v>
      </c>
      <c r="C31" s="1">
        <v>0</v>
      </c>
      <c r="D31" s="1">
        <v>1</v>
      </c>
      <c r="E31" s="1">
        <v>0</v>
      </c>
      <c r="F31" s="1">
        <v>0</v>
      </c>
      <c r="G31" s="1">
        <v>0</v>
      </c>
      <c r="H31" s="1">
        <v>0</v>
      </c>
      <c r="I31" s="1">
        <v>0</v>
      </c>
      <c r="J31" s="1">
        <v>0</v>
      </c>
      <c r="K31" s="1">
        <v>1</v>
      </c>
      <c r="L31" s="1">
        <v>0</v>
      </c>
      <c r="M31" s="1">
        <v>0</v>
      </c>
      <c r="N31" s="1">
        <v>0</v>
      </c>
      <c r="O31" s="1">
        <v>0</v>
      </c>
      <c r="P31" s="1">
        <v>4</v>
      </c>
      <c r="Q31" s="1">
        <v>4</v>
      </c>
      <c r="R31" s="1">
        <v>3</v>
      </c>
      <c r="S31" s="1">
        <v>5</v>
      </c>
      <c r="T31" s="1">
        <v>1</v>
      </c>
      <c r="U31" s="1">
        <v>4</v>
      </c>
      <c r="V31" s="1">
        <v>3</v>
      </c>
      <c r="W31" s="1">
        <v>3</v>
      </c>
      <c r="X31" s="1">
        <v>3</v>
      </c>
      <c r="Y31" s="1">
        <v>3</v>
      </c>
      <c r="Z31" s="1">
        <v>4</v>
      </c>
      <c r="AA31" s="1">
        <v>3</v>
      </c>
      <c r="CU31" s="1">
        <v>2</v>
      </c>
    </row>
    <row r="32" spans="1:99" x14ac:dyDescent="0.35">
      <c r="A32" s="1" t="s">
        <v>477</v>
      </c>
      <c r="B32" s="1">
        <v>175134059</v>
      </c>
    </row>
    <row r="33" spans="1:99" x14ac:dyDescent="0.35">
      <c r="A33" s="1" t="s">
        <v>478</v>
      </c>
      <c r="B33" s="1">
        <v>175134060</v>
      </c>
      <c r="C33" s="1">
        <v>0</v>
      </c>
      <c r="D33" s="1">
        <v>1</v>
      </c>
      <c r="E33" s="1">
        <v>0</v>
      </c>
      <c r="F33" s="1">
        <v>0</v>
      </c>
      <c r="G33" s="1">
        <v>0</v>
      </c>
      <c r="H33" s="1">
        <v>0</v>
      </c>
      <c r="I33" s="1">
        <v>1</v>
      </c>
      <c r="J33" s="1">
        <v>0</v>
      </c>
      <c r="K33" s="1">
        <v>0</v>
      </c>
      <c r="L33" s="1">
        <v>0</v>
      </c>
      <c r="M33" s="1">
        <v>0</v>
      </c>
      <c r="N33" s="1">
        <v>0</v>
      </c>
      <c r="O33" s="1">
        <v>0</v>
      </c>
      <c r="P33" s="1">
        <v>100</v>
      </c>
      <c r="Q33" s="1">
        <v>20</v>
      </c>
      <c r="R33" s="1">
        <v>2</v>
      </c>
    </row>
    <row r="34" spans="1:99" x14ac:dyDescent="0.35">
      <c r="A34" s="1" t="s">
        <v>479</v>
      </c>
      <c r="B34" s="1">
        <v>175134061</v>
      </c>
      <c r="C34" s="1">
        <v>0</v>
      </c>
      <c r="D34" s="1">
        <v>1</v>
      </c>
      <c r="E34" s="1">
        <v>0</v>
      </c>
      <c r="F34" s="1">
        <v>0</v>
      </c>
      <c r="G34" s="1">
        <v>0</v>
      </c>
      <c r="H34" s="1">
        <v>0</v>
      </c>
      <c r="I34" s="1">
        <v>0</v>
      </c>
      <c r="J34" s="1">
        <v>0</v>
      </c>
      <c r="K34" s="1">
        <v>1</v>
      </c>
      <c r="L34" s="1">
        <v>0</v>
      </c>
      <c r="M34" s="1">
        <v>1</v>
      </c>
      <c r="N34" s="1">
        <v>0</v>
      </c>
      <c r="O34" s="1">
        <v>0</v>
      </c>
      <c r="P34" s="1">
        <v>3</v>
      </c>
      <c r="Q34" s="1">
        <v>0</v>
      </c>
      <c r="R34" s="1">
        <v>0</v>
      </c>
      <c r="S34" s="1">
        <v>1</v>
      </c>
      <c r="T34" s="1">
        <v>1</v>
      </c>
      <c r="U34" s="1">
        <v>3</v>
      </c>
      <c r="V34" s="1">
        <v>3</v>
      </c>
      <c r="W34" s="1">
        <v>2</v>
      </c>
      <c r="X34" s="1">
        <v>3</v>
      </c>
      <c r="Y34" s="1">
        <v>3</v>
      </c>
      <c r="Z34" s="1">
        <v>3</v>
      </c>
      <c r="AA34" s="1">
        <v>3</v>
      </c>
      <c r="AC34" s="1">
        <v>1</v>
      </c>
      <c r="AD34" s="1">
        <v>4</v>
      </c>
      <c r="AF34" s="3">
        <v>3774860</v>
      </c>
      <c r="AG34" s="1">
        <v>13</v>
      </c>
      <c r="AT34" s="1" t="s">
        <v>86</v>
      </c>
      <c r="BP34" s="1">
        <v>3</v>
      </c>
      <c r="BQ34" s="1" t="s">
        <v>480</v>
      </c>
      <c r="BR34" s="1" t="s">
        <v>481</v>
      </c>
      <c r="BT34" s="1" t="s">
        <v>107</v>
      </c>
      <c r="BU34" s="1">
        <v>4</v>
      </c>
      <c r="BV34" s="1">
        <v>2</v>
      </c>
      <c r="BW34" s="1">
        <v>0</v>
      </c>
      <c r="BX34" s="1">
        <v>1</v>
      </c>
      <c r="BY34" s="1">
        <v>0</v>
      </c>
      <c r="BZ34" s="1">
        <v>0</v>
      </c>
      <c r="CA34" s="1">
        <v>0</v>
      </c>
      <c r="CB34" s="1">
        <v>0</v>
      </c>
      <c r="CC34" s="1">
        <v>1</v>
      </c>
      <c r="CD34" s="1">
        <v>0</v>
      </c>
      <c r="CE34" s="1">
        <v>0</v>
      </c>
      <c r="CF34" s="1">
        <v>0</v>
      </c>
      <c r="CG34" s="1">
        <v>0</v>
      </c>
      <c r="CH34" s="1">
        <v>0</v>
      </c>
      <c r="CI34" s="1">
        <v>0</v>
      </c>
      <c r="CJ34" s="1">
        <v>3</v>
      </c>
      <c r="CK34" s="1">
        <v>2</v>
      </c>
      <c r="CL34" s="1">
        <v>2</v>
      </c>
      <c r="CM34" s="1">
        <v>3</v>
      </c>
      <c r="CN34" s="1">
        <v>3</v>
      </c>
      <c r="CO34" s="1">
        <v>3</v>
      </c>
      <c r="CP34" s="1">
        <v>3</v>
      </c>
      <c r="CU34" s="1">
        <v>2</v>
      </c>
    </row>
    <row r="35" spans="1:99" x14ac:dyDescent="0.35">
      <c r="A35" s="1" t="s">
        <v>482</v>
      </c>
      <c r="B35" s="1">
        <v>175134064</v>
      </c>
      <c r="C35" s="1">
        <v>0</v>
      </c>
      <c r="D35" s="1">
        <v>1</v>
      </c>
      <c r="E35" s="1">
        <v>0</v>
      </c>
      <c r="F35" s="1">
        <v>0</v>
      </c>
      <c r="G35" s="1">
        <v>0</v>
      </c>
      <c r="H35" s="1">
        <v>0</v>
      </c>
      <c r="I35" s="1">
        <v>0</v>
      </c>
      <c r="J35" s="1">
        <v>0</v>
      </c>
      <c r="K35" s="1">
        <v>1</v>
      </c>
      <c r="L35" s="1">
        <v>0</v>
      </c>
      <c r="M35" s="1">
        <v>0</v>
      </c>
      <c r="N35" s="1">
        <v>0</v>
      </c>
      <c r="O35" s="1">
        <v>0</v>
      </c>
      <c r="P35" s="1">
        <v>15</v>
      </c>
      <c r="Q35" s="1">
        <v>6</v>
      </c>
      <c r="R35" s="1">
        <v>6</v>
      </c>
      <c r="S35" s="1">
        <v>1</v>
      </c>
      <c r="T35" s="1">
        <v>1</v>
      </c>
      <c r="U35" s="1">
        <v>4</v>
      </c>
      <c r="V35" s="1">
        <v>3</v>
      </c>
      <c r="W35" s="1">
        <v>3</v>
      </c>
      <c r="X35" s="1">
        <v>2</v>
      </c>
      <c r="Y35" s="1">
        <v>3</v>
      </c>
      <c r="Z35" s="1">
        <v>4</v>
      </c>
      <c r="AA35" s="1">
        <v>3</v>
      </c>
      <c r="AC35" s="1">
        <v>1</v>
      </c>
      <c r="AD35" s="1">
        <v>1</v>
      </c>
      <c r="AF35" s="3">
        <v>4000000</v>
      </c>
      <c r="AG35" s="1">
        <v>13</v>
      </c>
      <c r="AT35" s="1" t="s">
        <v>86</v>
      </c>
      <c r="BP35" s="1">
        <v>3</v>
      </c>
      <c r="BQ35" s="1" t="s">
        <v>483</v>
      </c>
      <c r="BR35" s="1" t="s">
        <v>484</v>
      </c>
      <c r="BS35" s="1" t="s">
        <v>485</v>
      </c>
      <c r="BT35" s="1" t="s">
        <v>79</v>
      </c>
      <c r="BU35" s="1">
        <v>1</v>
      </c>
      <c r="BV35" s="1">
        <v>2</v>
      </c>
      <c r="BW35" s="1">
        <v>1</v>
      </c>
      <c r="BX35" s="1">
        <v>0</v>
      </c>
      <c r="BY35" s="1">
        <v>0</v>
      </c>
      <c r="BZ35" s="1">
        <v>0</v>
      </c>
      <c r="CA35" s="1">
        <v>0</v>
      </c>
      <c r="CB35" s="1">
        <v>0</v>
      </c>
      <c r="CC35" s="1">
        <v>0</v>
      </c>
      <c r="CD35" s="1">
        <v>0</v>
      </c>
      <c r="CE35" s="1">
        <v>0</v>
      </c>
      <c r="CF35" s="1">
        <v>0</v>
      </c>
      <c r="CG35" s="1">
        <v>0</v>
      </c>
      <c r="CH35" s="1">
        <v>0</v>
      </c>
      <c r="CI35" s="1">
        <v>0</v>
      </c>
      <c r="CJ35" s="1">
        <v>4</v>
      </c>
      <c r="CK35" s="1">
        <v>3</v>
      </c>
      <c r="CL35" s="1">
        <v>2</v>
      </c>
      <c r="CM35" s="1">
        <v>3</v>
      </c>
      <c r="CN35" s="1">
        <v>4</v>
      </c>
      <c r="CO35" s="1">
        <v>4</v>
      </c>
      <c r="CP35" s="1">
        <v>4</v>
      </c>
      <c r="CU35" s="1">
        <v>1</v>
      </c>
    </row>
    <row r="36" spans="1:99" x14ac:dyDescent="0.35">
      <c r="A36" s="1" t="s">
        <v>3585</v>
      </c>
      <c r="B36" s="1">
        <v>175134001</v>
      </c>
    </row>
    <row r="37" spans="1:99" x14ac:dyDescent="0.35">
      <c r="A37" s="1" t="s">
        <v>3586</v>
      </c>
      <c r="B37" s="1">
        <v>175134002</v>
      </c>
    </row>
    <row r="38" spans="1:99" x14ac:dyDescent="0.35">
      <c r="A38" s="1" t="s">
        <v>3587</v>
      </c>
      <c r="B38" s="1">
        <v>175134006</v>
      </c>
    </row>
    <row r="39" spans="1:99" x14ac:dyDescent="0.35">
      <c r="A39" s="1" t="s">
        <v>3588</v>
      </c>
      <c r="B39" s="1">
        <v>175134007</v>
      </c>
    </row>
    <row r="40" spans="1:99" x14ac:dyDescent="0.35">
      <c r="A40" s="1" t="s">
        <v>3589</v>
      </c>
      <c r="B40" s="1">
        <v>175134008</v>
      </c>
    </row>
    <row r="41" spans="1:99" x14ac:dyDescent="0.35">
      <c r="A41" s="1" t="s">
        <v>3590</v>
      </c>
      <c r="B41" s="1">
        <v>175134009</v>
      </c>
    </row>
    <row r="42" spans="1:99" x14ac:dyDescent="0.35">
      <c r="A42" s="1" t="s">
        <v>3591</v>
      </c>
      <c r="B42" s="1">
        <v>175134010</v>
      </c>
    </row>
    <row r="43" spans="1:99" x14ac:dyDescent="0.35">
      <c r="A43" s="1" t="s">
        <v>3592</v>
      </c>
      <c r="B43" s="1">
        <v>175134011</v>
      </c>
    </row>
    <row r="44" spans="1:99" x14ac:dyDescent="0.35">
      <c r="A44" s="1" t="s">
        <v>3593</v>
      </c>
      <c r="B44" s="1">
        <v>175134014</v>
      </c>
    </row>
    <row r="45" spans="1:99" x14ac:dyDescent="0.35">
      <c r="A45" s="1" t="s">
        <v>3594</v>
      </c>
      <c r="B45" s="1">
        <v>175134015</v>
      </c>
    </row>
    <row r="46" spans="1:99" x14ac:dyDescent="0.35">
      <c r="A46" s="1" t="s">
        <v>3595</v>
      </c>
      <c r="B46" s="1">
        <v>175134017</v>
      </c>
    </row>
    <row r="47" spans="1:99" x14ac:dyDescent="0.35">
      <c r="A47" s="1" t="s">
        <v>3596</v>
      </c>
      <c r="B47" s="1">
        <v>175134020</v>
      </c>
    </row>
    <row r="48" spans="1:99" x14ac:dyDescent="0.35">
      <c r="A48" s="1" t="s">
        <v>3597</v>
      </c>
      <c r="B48" s="1">
        <v>175134021</v>
      </c>
    </row>
    <row r="49" spans="1:2" x14ac:dyDescent="0.35">
      <c r="A49" s="1" t="s">
        <v>3598</v>
      </c>
      <c r="B49" s="1">
        <v>175134022</v>
      </c>
    </row>
    <row r="50" spans="1:2" x14ac:dyDescent="0.35">
      <c r="A50" s="1" t="s">
        <v>3599</v>
      </c>
      <c r="B50" s="1">
        <v>175134023</v>
      </c>
    </row>
    <row r="51" spans="1:2" x14ac:dyDescent="0.35">
      <c r="A51" s="1" t="s">
        <v>3600</v>
      </c>
      <c r="B51" s="1">
        <v>175134027</v>
      </c>
    </row>
    <row r="52" spans="1:2" x14ac:dyDescent="0.35">
      <c r="A52" s="1" t="s">
        <v>3601</v>
      </c>
      <c r="B52" s="1">
        <v>175134031</v>
      </c>
    </row>
    <row r="53" spans="1:2" x14ac:dyDescent="0.35">
      <c r="A53" s="1" t="s">
        <v>3602</v>
      </c>
      <c r="B53" s="1">
        <v>175134032</v>
      </c>
    </row>
    <row r="54" spans="1:2" x14ac:dyDescent="0.35">
      <c r="A54" s="1" t="s">
        <v>3603</v>
      </c>
      <c r="B54" s="1">
        <v>175134041</v>
      </c>
    </row>
    <row r="55" spans="1:2" x14ac:dyDescent="0.35">
      <c r="A55" s="1" t="s">
        <v>3604</v>
      </c>
      <c r="B55" s="1">
        <v>175134042</v>
      </c>
    </row>
    <row r="56" spans="1:2" x14ac:dyDescent="0.35">
      <c r="A56" s="1" t="s">
        <v>3605</v>
      </c>
      <c r="B56" s="1">
        <v>175134046</v>
      </c>
    </row>
    <row r="57" spans="1:2" x14ac:dyDescent="0.35">
      <c r="A57" s="1" t="s">
        <v>3606</v>
      </c>
      <c r="B57" s="1">
        <v>175134054</v>
      </c>
    </row>
    <row r="58" spans="1:2" x14ac:dyDescent="0.35">
      <c r="A58" s="1" t="s">
        <v>3607</v>
      </c>
      <c r="B58" s="1">
        <v>175134063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F1AAE4-722B-42BC-807C-8D2BA1BBACD4}">
  <dimension ref="A1:CU50"/>
  <sheetViews>
    <sheetView topLeftCell="CU1" zoomScale="55" zoomScaleNormal="55" workbookViewId="0">
      <pane ySplit="1" topLeftCell="A14" activePane="bottomLeft" state="frozen"/>
      <selection pane="bottomLeft" activeCell="CU19" sqref="CU19"/>
    </sheetView>
  </sheetViews>
  <sheetFormatPr defaultColWidth="8.90625" defaultRowHeight="14.5" x14ac:dyDescent="0.35"/>
  <cols>
    <col min="1" max="1" width="32.08984375" style="1" bestFit="1" customWidth="1"/>
    <col min="2" max="2" width="10" style="1" bestFit="1" customWidth="1"/>
    <col min="3" max="9" width="63.6328125" style="1" bestFit="1" customWidth="1"/>
    <col min="10" max="14" width="64.6328125" style="1" bestFit="1" customWidth="1"/>
    <col min="15" max="15" width="67" style="1" bestFit="1" customWidth="1"/>
    <col min="16" max="16" width="108.90625" style="1" bestFit="1" customWidth="1"/>
    <col min="17" max="17" width="63.54296875" style="1" bestFit="1" customWidth="1"/>
    <col min="18" max="18" width="72.54296875" style="1" bestFit="1" customWidth="1"/>
    <col min="19" max="19" width="24.81640625" style="1" bestFit="1" customWidth="1"/>
    <col min="20" max="20" width="41.08984375" style="1" bestFit="1" customWidth="1"/>
    <col min="21" max="21" width="66.54296875" style="1" bestFit="1" customWidth="1"/>
    <col min="22" max="22" width="90" style="1" bestFit="1" customWidth="1"/>
    <col min="23" max="23" width="74.36328125" style="1" bestFit="1" customWidth="1"/>
    <col min="24" max="24" width="88.90625" style="1" bestFit="1" customWidth="1"/>
    <col min="25" max="25" width="72" style="1" bestFit="1" customWidth="1"/>
    <col min="26" max="26" width="74.54296875" style="1" bestFit="1" customWidth="1"/>
    <col min="27" max="27" width="78.453125" style="1" bestFit="1" customWidth="1"/>
    <col min="28" max="28" width="42.36328125" style="1" bestFit="1" customWidth="1"/>
    <col min="29" max="29" width="72.90625" style="1" bestFit="1" customWidth="1"/>
    <col min="30" max="30" width="43.08984375" style="1" bestFit="1" customWidth="1"/>
    <col min="31" max="31" width="50.08984375" style="1" bestFit="1" customWidth="1"/>
    <col min="32" max="32" width="118.453125" style="1" bestFit="1" customWidth="1"/>
    <col min="33" max="33" width="38.6328125" style="1" bestFit="1" customWidth="1"/>
    <col min="34" max="35" width="45" style="1" bestFit="1" customWidth="1"/>
    <col min="36" max="37" width="45.36328125" style="1" bestFit="1" customWidth="1"/>
    <col min="38" max="38" width="45" style="1" bestFit="1" customWidth="1"/>
    <col min="39" max="52" width="45.36328125" style="1" bestFit="1" customWidth="1"/>
    <col min="53" max="55" width="45" style="1" bestFit="1" customWidth="1"/>
    <col min="56" max="64" width="45.36328125" style="1" bestFit="1" customWidth="1"/>
    <col min="65" max="67" width="45" style="1" bestFit="1" customWidth="1"/>
    <col min="68" max="68" width="58.453125" style="1" bestFit="1" customWidth="1"/>
    <col min="69" max="69" width="43.1796875" style="1" bestFit="1" customWidth="1"/>
    <col min="70" max="70" width="45.08984375" style="1" bestFit="1" customWidth="1"/>
    <col min="71" max="71" width="45" style="1" bestFit="1" customWidth="1"/>
    <col min="72" max="72" width="55.1796875" style="1" bestFit="1" customWidth="1"/>
    <col min="73" max="73" width="216.453125" style="1" bestFit="1" customWidth="1"/>
    <col min="74" max="74" width="64.36328125" style="1" bestFit="1" customWidth="1"/>
    <col min="75" max="83" width="116.54296875" style="1" bestFit="1" customWidth="1"/>
    <col min="84" max="86" width="117.54296875" style="1" bestFit="1" customWidth="1"/>
    <col min="87" max="87" width="119.81640625" style="1" bestFit="1" customWidth="1"/>
    <col min="88" max="88" width="76" style="1" bestFit="1" customWidth="1"/>
    <col min="89" max="89" width="99.54296875" style="1" bestFit="1" customWidth="1"/>
    <col min="90" max="90" width="83.90625" style="1" bestFit="1" customWidth="1"/>
    <col min="91" max="91" width="98.36328125" style="1" bestFit="1" customWidth="1"/>
    <col min="92" max="92" width="81.453125" style="1" bestFit="1" customWidth="1"/>
    <col min="93" max="93" width="84.08984375" style="1" bestFit="1" customWidth="1"/>
    <col min="94" max="94" width="88" style="1" bestFit="1" customWidth="1"/>
    <col min="95" max="95" width="40.1796875" style="1" bestFit="1" customWidth="1"/>
    <col min="96" max="96" width="53.1796875" style="1" bestFit="1" customWidth="1"/>
    <col min="97" max="97" width="23.81640625" style="1" bestFit="1" customWidth="1"/>
    <col min="98" max="98" width="24.54296875" style="1" bestFit="1" customWidth="1"/>
    <col min="99" max="99" width="107.453125" style="1" bestFit="1" customWidth="1"/>
    <col min="100" max="16384" width="8.90625" style="1"/>
  </cols>
  <sheetData>
    <row r="1" spans="1:99" s="6" customFormat="1" x14ac:dyDescent="0.35">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6" t="s">
        <v>15</v>
      </c>
      <c r="Q1" s="6" t="s">
        <v>16</v>
      </c>
      <c r="R1" s="6" t="s">
        <v>17</v>
      </c>
      <c r="S1" s="6" t="s">
        <v>18</v>
      </c>
      <c r="T1" s="6" t="s">
        <v>19</v>
      </c>
      <c r="U1" s="6" t="s">
        <v>20</v>
      </c>
      <c r="V1" s="6" t="s">
        <v>21</v>
      </c>
      <c r="W1" s="6" t="s">
        <v>22</v>
      </c>
      <c r="X1" s="6" t="s">
        <v>23</v>
      </c>
      <c r="Y1" s="6" t="s">
        <v>24</v>
      </c>
      <c r="Z1" s="6" t="s">
        <v>25</v>
      </c>
      <c r="AA1" s="6" t="s">
        <v>26</v>
      </c>
      <c r="AB1" s="6" t="s">
        <v>27</v>
      </c>
      <c r="AC1" s="6" t="s">
        <v>28</v>
      </c>
      <c r="AD1" s="6" t="s">
        <v>29</v>
      </c>
      <c r="AE1" s="6" t="s">
        <v>30</v>
      </c>
      <c r="AF1" s="6" t="s">
        <v>31</v>
      </c>
      <c r="AG1" s="6" t="s">
        <v>32</v>
      </c>
      <c r="AH1" s="6" t="s">
        <v>33</v>
      </c>
      <c r="AI1" s="6" t="s">
        <v>33</v>
      </c>
      <c r="AJ1" s="6" t="s">
        <v>34</v>
      </c>
      <c r="AK1" s="6" t="s">
        <v>34</v>
      </c>
      <c r="AL1" s="6" t="s">
        <v>33</v>
      </c>
      <c r="AM1" s="6" t="s">
        <v>34</v>
      </c>
      <c r="AN1" s="6" t="s">
        <v>34</v>
      </c>
      <c r="AO1" s="6" t="s">
        <v>34</v>
      </c>
      <c r="AP1" s="6" t="s">
        <v>34</v>
      </c>
      <c r="AQ1" s="6" t="s">
        <v>34</v>
      </c>
      <c r="AR1" s="6" t="s">
        <v>34</v>
      </c>
      <c r="AS1" s="6" t="s">
        <v>34</v>
      </c>
      <c r="AT1" s="6" t="s">
        <v>34</v>
      </c>
      <c r="AU1" s="6" t="s">
        <v>34</v>
      </c>
      <c r="AV1" s="6" t="s">
        <v>34</v>
      </c>
      <c r="AW1" s="6" t="s">
        <v>34</v>
      </c>
      <c r="AX1" s="6" t="s">
        <v>34</v>
      </c>
      <c r="AY1" s="6" t="s">
        <v>34</v>
      </c>
      <c r="AZ1" s="6" t="s">
        <v>34</v>
      </c>
      <c r="BA1" s="6" t="s">
        <v>33</v>
      </c>
      <c r="BB1" s="6" t="s">
        <v>33</v>
      </c>
      <c r="BC1" s="6" t="s">
        <v>33</v>
      </c>
      <c r="BD1" s="6" t="s">
        <v>34</v>
      </c>
      <c r="BE1" s="6" t="s">
        <v>34</v>
      </c>
      <c r="BF1" s="6" t="s">
        <v>34</v>
      </c>
      <c r="BG1" s="6" t="s">
        <v>34</v>
      </c>
      <c r="BH1" s="6" t="s">
        <v>34</v>
      </c>
      <c r="BI1" s="6" t="s">
        <v>34</v>
      </c>
      <c r="BJ1" s="6" t="s">
        <v>34</v>
      </c>
      <c r="BK1" s="6" t="s">
        <v>34</v>
      </c>
      <c r="BL1" s="6" t="s">
        <v>34</v>
      </c>
      <c r="BM1" s="6" t="s">
        <v>33</v>
      </c>
      <c r="BN1" s="6" t="s">
        <v>33</v>
      </c>
      <c r="BO1" s="6" t="s">
        <v>33</v>
      </c>
      <c r="BP1" s="6" t="s">
        <v>35</v>
      </c>
      <c r="BQ1" s="6" t="s">
        <v>36</v>
      </c>
      <c r="BR1" s="6" t="s">
        <v>37</v>
      </c>
      <c r="BS1" s="6" t="s">
        <v>38</v>
      </c>
      <c r="BT1" s="6" t="s">
        <v>39</v>
      </c>
      <c r="BU1" s="6" t="s">
        <v>40</v>
      </c>
      <c r="BV1" s="6" t="s">
        <v>41</v>
      </c>
      <c r="BW1" s="6" t="s">
        <v>42</v>
      </c>
      <c r="BX1" s="6" t="s">
        <v>43</v>
      </c>
      <c r="BY1" s="6" t="s">
        <v>44</v>
      </c>
      <c r="BZ1" s="6" t="s">
        <v>45</v>
      </c>
      <c r="CA1" s="6" t="s">
        <v>46</v>
      </c>
      <c r="CB1" s="6" t="s">
        <v>47</v>
      </c>
      <c r="CC1" s="6" t="s">
        <v>48</v>
      </c>
      <c r="CD1" s="6" t="s">
        <v>49</v>
      </c>
      <c r="CE1" s="6" t="s">
        <v>50</v>
      </c>
      <c r="CF1" s="6" t="s">
        <v>51</v>
      </c>
      <c r="CG1" s="6" t="s">
        <v>52</v>
      </c>
      <c r="CH1" s="6" t="s">
        <v>53</v>
      </c>
      <c r="CI1" s="6" t="s">
        <v>54</v>
      </c>
      <c r="CJ1" s="6" t="s">
        <v>55</v>
      </c>
      <c r="CK1" s="6" t="s">
        <v>56</v>
      </c>
      <c r="CL1" s="6" t="s">
        <v>57</v>
      </c>
      <c r="CM1" s="6" t="s">
        <v>58</v>
      </c>
      <c r="CN1" s="6" t="s">
        <v>59</v>
      </c>
      <c r="CO1" s="6" t="s">
        <v>60</v>
      </c>
      <c r="CP1" s="6" t="s">
        <v>61</v>
      </c>
      <c r="CQ1" s="6" t="s">
        <v>62</v>
      </c>
      <c r="CR1" s="6" t="s">
        <v>63</v>
      </c>
      <c r="CS1" s="6" t="s">
        <v>64</v>
      </c>
      <c r="CT1" s="6" t="s">
        <v>65</v>
      </c>
      <c r="CU1" s="6" t="s">
        <v>66</v>
      </c>
    </row>
    <row r="2" spans="1:99" x14ac:dyDescent="0.35">
      <c r="A2" s="1" t="s">
        <v>745</v>
      </c>
      <c r="B2" s="1">
        <v>181221002</v>
      </c>
      <c r="C2" s="1">
        <v>0</v>
      </c>
      <c r="D2" s="1">
        <v>1</v>
      </c>
      <c r="E2" s="1">
        <v>0</v>
      </c>
      <c r="F2" s="1">
        <v>0</v>
      </c>
      <c r="G2" s="1">
        <v>0</v>
      </c>
      <c r="H2" s="1">
        <v>0</v>
      </c>
      <c r="I2" s="1">
        <v>0</v>
      </c>
      <c r="J2" s="1">
        <v>0</v>
      </c>
      <c r="K2" s="1">
        <v>0</v>
      </c>
      <c r="L2" s="1">
        <v>0</v>
      </c>
      <c r="M2" s="1">
        <v>0</v>
      </c>
      <c r="N2" s="1">
        <v>0</v>
      </c>
      <c r="O2" s="1">
        <v>0</v>
      </c>
      <c r="P2" s="1" t="s">
        <v>289</v>
      </c>
      <c r="Q2" s="1">
        <v>20</v>
      </c>
      <c r="R2" s="1">
        <v>13</v>
      </c>
      <c r="S2" s="1">
        <v>1</v>
      </c>
      <c r="T2" s="1">
        <v>1</v>
      </c>
      <c r="U2" s="1">
        <v>4</v>
      </c>
      <c r="V2" s="1">
        <v>3</v>
      </c>
      <c r="W2" s="1">
        <v>3</v>
      </c>
      <c r="X2" s="1">
        <v>3</v>
      </c>
      <c r="Y2" s="1">
        <v>3</v>
      </c>
      <c r="Z2" s="1">
        <v>3</v>
      </c>
      <c r="AA2" s="1">
        <v>4</v>
      </c>
      <c r="AC2" s="1">
        <v>2</v>
      </c>
      <c r="AE2" s="1">
        <v>5</v>
      </c>
      <c r="AF2" s="3">
        <v>5250000</v>
      </c>
      <c r="AG2" s="1">
        <v>23</v>
      </c>
      <c r="BD2" s="1" t="s">
        <v>746</v>
      </c>
      <c r="BP2" s="1">
        <v>3</v>
      </c>
      <c r="BQ2" s="1" t="s">
        <v>747</v>
      </c>
      <c r="BR2" s="1" t="s">
        <v>748</v>
      </c>
      <c r="BT2" s="1" t="s">
        <v>79</v>
      </c>
      <c r="BU2" s="1">
        <v>3</v>
      </c>
      <c r="BV2" s="1">
        <v>2</v>
      </c>
      <c r="BW2" s="1">
        <v>0</v>
      </c>
      <c r="BX2" s="1">
        <v>1</v>
      </c>
      <c r="BY2" s="1">
        <v>1</v>
      </c>
      <c r="BZ2" s="1">
        <v>0</v>
      </c>
      <c r="CA2" s="1">
        <v>0</v>
      </c>
      <c r="CB2" s="1">
        <v>0</v>
      </c>
      <c r="CC2" s="1">
        <v>1</v>
      </c>
      <c r="CD2" s="1">
        <v>1</v>
      </c>
      <c r="CE2" s="1">
        <v>0</v>
      </c>
      <c r="CF2" s="1">
        <v>0</v>
      </c>
      <c r="CG2" s="1">
        <v>1</v>
      </c>
      <c r="CH2" s="1">
        <v>1</v>
      </c>
      <c r="CI2" s="1">
        <v>0</v>
      </c>
      <c r="CJ2" s="1">
        <v>4</v>
      </c>
      <c r="CK2" s="1">
        <v>3</v>
      </c>
      <c r="CL2" s="1">
        <v>2</v>
      </c>
      <c r="CM2" s="1">
        <v>3</v>
      </c>
      <c r="CN2" s="1">
        <v>4</v>
      </c>
      <c r="CO2" s="1">
        <v>4</v>
      </c>
      <c r="CP2" s="1">
        <v>4</v>
      </c>
      <c r="CU2" s="1">
        <v>1</v>
      </c>
    </row>
    <row r="3" spans="1:99" x14ac:dyDescent="0.35">
      <c r="A3" s="1" t="s">
        <v>749</v>
      </c>
      <c r="B3" s="1">
        <v>181221003</v>
      </c>
      <c r="C3" s="1">
        <v>0</v>
      </c>
      <c r="D3" s="1">
        <v>1</v>
      </c>
      <c r="E3" s="1">
        <v>0</v>
      </c>
      <c r="F3" s="1">
        <v>0</v>
      </c>
      <c r="G3" s="1">
        <v>0</v>
      </c>
      <c r="H3" s="1">
        <v>0</v>
      </c>
      <c r="I3" s="1">
        <v>0</v>
      </c>
      <c r="J3" s="1">
        <v>0</v>
      </c>
      <c r="K3" s="1">
        <v>1</v>
      </c>
      <c r="L3" s="1">
        <v>0</v>
      </c>
      <c r="M3" s="1">
        <v>0</v>
      </c>
      <c r="N3" s="1">
        <v>0</v>
      </c>
      <c r="O3" s="1">
        <v>0</v>
      </c>
      <c r="P3" s="1">
        <v>56</v>
      </c>
      <c r="Q3" s="1">
        <v>30</v>
      </c>
      <c r="R3" s="1">
        <v>8</v>
      </c>
      <c r="S3" s="1">
        <v>3</v>
      </c>
      <c r="T3" s="1">
        <v>1</v>
      </c>
      <c r="U3" s="1">
        <v>3</v>
      </c>
      <c r="V3" s="1">
        <v>3</v>
      </c>
      <c r="W3" s="1">
        <v>3</v>
      </c>
      <c r="X3" s="1">
        <v>3</v>
      </c>
      <c r="Y3" s="1">
        <v>3</v>
      </c>
      <c r="Z3" s="1">
        <v>3</v>
      </c>
      <c r="AA3" s="1">
        <v>3</v>
      </c>
      <c r="AB3" s="1">
        <v>3</v>
      </c>
      <c r="AC3" s="1">
        <v>2</v>
      </c>
      <c r="AE3" s="1">
        <v>3</v>
      </c>
      <c r="AF3" s="3">
        <v>8900000</v>
      </c>
      <c r="AG3" s="1">
        <v>13</v>
      </c>
      <c r="AT3" s="1" t="s">
        <v>750</v>
      </c>
      <c r="BP3" s="1">
        <v>3</v>
      </c>
      <c r="BQ3" s="1" t="s">
        <v>751</v>
      </c>
      <c r="BR3" s="1" t="s">
        <v>752</v>
      </c>
      <c r="BT3" s="1" t="s">
        <v>73</v>
      </c>
      <c r="BU3" s="1">
        <v>3</v>
      </c>
      <c r="BV3" s="1">
        <v>1</v>
      </c>
      <c r="BW3" s="1">
        <v>0</v>
      </c>
      <c r="BX3" s="1">
        <v>1</v>
      </c>
      <c r="BY3" s="1">
        <v>1</v>
      </c>
      <c r="BZ3" s="1">
        <v>0</v>
      </c>
      <c r="CA3" s="1">
        <v>0</v>
      </c>
      <c r="CB3" s="1">
        <v>1</v>
      </c>
      <c r="CC3" s="1">
        <v>1</v>
      </c>
      <c r="CD3" s="1">
        <v>0</v>
      </c>
      <c r="CE3" s="1">
        <v>0</v>
      </c>
      <c r="CF3" s="1">
        <v>0</v>
      </c>
      <c r="CG3" s="1">
        <v>1</v>
      </c>
      <c r="CH3" s="1">
        <v>1</v>
      </c>
      <c r="CI3" s="1">
        <v>0</v>
      </c>
      <c r="CJ3" s="1">
        <v>3</v>
      </c>
      <c r="CK3" s="1">
        <v>3</v>
      </c>
      <c r="CL3" s="1">
        <v>3</v>
      </c>
      <c r="CM3" s="1">
        <v>3</v>
      </c>
      <c r="CN3" s="1">
        <v>3</v>
      </c>
      <c r="CO3" s="1">
        <v>3</v>
      </c>
      <c r="CP3" s="1">
        <v>3</v>
      </c>
      <c r="CU3" s="1">
        <v>1</v>
      </c>
    </row>
    <row r="4" spans="1:99" x14ac:dyDescent="0.35">
      <c r="A4" s="1" t="s">
        <v>753</v>
      </c>
      <c r="B4" s="1">
        <v>181221004</v>
      </c>
      <c r="C4" s="1">
        <v>0</v>
      </c>
      <c r="D4" s="1">
        <v>1</v>
      </c>
      <c r="E4" s="1">
        <v>0</v>
      </c>
      <c r="F4" s="1">
        <v>1</v>
      </c>
      <c r="G4" s="1">
        <v>0</v>
      </c>
      <c r="H4" s="1">
        <v>1</v>
      </c>
      <c r="I4" s="1">
        <v>1</v>
      </c>
      <c r="J4" s="1">
        <v>1</v>
      </c>
      <c r="K4" s="1">
        <v>1</v>
      </c>
      <c r="L4" s="1">
        <v>0</v>
      </c>
      <c r="M4" s="1">
        <v>1</v>
      </c>
      <c r="N4" s="1">
        <v>0</v>
      </c>
      <c r="O4" s="1">
        <v>0</v>
      </c>
      <c r="P4" s="1" t="s">
        <v>117</v>
      </c>
      <c r="Q4" s="1" t="s">
        <v>117</v>
      </c>
      <c r="R4" s="1">
        <v>5</v>
      </c>
      <c r="S4" s="1">
        <v>5</v>
      </c>
      <c r="T4" s="1">
        <v>1</v>
      </c>
      <c r="U4" s="1">
        <v>4</v>
      </c>
      <c r="V4" s="1">
        <v>3</v>
      </c>
      <c r="W4" s="1">
        <v>3</v>
      </c>
      <c r="X4" s="1">
        <v>3</v>
      </c>
      <c r="Y4" s="1">
        <v>3</v>
      </c>
      <c r="Z4" s="1">
        <v>3</v>
      </c>
      <c r="AA4" s="1">
        <v>3</v>
      </c>
      <c r="CU4" s="1">
        <v>4</v>
      </c>
    </row>
    <row r="5" spans="1:99" x14ac:dyDescent="0.35">
      <c r="A5" s="1" t="s">
        <v>754</v>
      </c>
      <c r="B5" s="1">
        <v>181221006</v>
      </c>
      <c r="C5" s="1">
        <v>0</v>
      </c>
      <c r="D5" s="1">
        <v>1</v>
      </c>
      <c r="E5" s="1">
        <v>0</v>
      </c>
      <c r="F5" s="1">
        <v>0</v>
      </c>
      <c r="G5" s="1">
        <v>0</v>
      </c>
      <c r="H5" s="1">
        <v>0</v>
      </c>
      <c r="I5" s="1">
        <v>0</v>
      </c>
      <c r="J5" s="1">
        <v>1</v>
      </c>
      <c r="K5" s="1">
        <v>1</v>
      </c>
      <c r="L5" s="1">
        <v>0</v>
      </c>
      <c r="M5" s="1">
        <v>0</v>
      </c>
      <c r="N5" s="1">
        <v>0</v>
      </c>
      <c r="O5" s="1">
        <v>0</v>
      </c>
      <c r="P5" s="1">
        <v>40</v>
      </c>
      <c r="Q5" s="1">
        <v>5</v>
      </c>
      <c r="R5" s="1">
        <v>5</v>
      </c>
      <c r="S5" s="1">
        <v>1</v>
      </c>
      <c r="T5" s="1">
        <v>1</v>
      </c>
      <c r="U5" s="1">
        <v>3</v>
      </c>
      <c r="V5" s="1">
        <v>3</v>
      </c>
      <c r="W5" s="1">
        <v>3</v>
      </c>
      <c r="X5" s="1">
        <v>3</v>
      </c>
      <c r="Y5" s="1">
        <v>4</v>
      </c>
      <c r="Z5" s="1">
        <v>4</v>
      </c>
      <c r="AA5" s="1">
        <v>3</v>
      </c>
      <c r="AC5" s="1">
        <v>1</v>
      </c>
      <c r="AD5" s="1">
        <v>1</v>
      </c>
      <c r="AE5" s="1">
        <v>8</v>
      </c>
      <c r="AF5" s="3">
        <v>4000000</v>
      </c>
      <c r="AG5" s="1">
        <v>13</v>
      </c>
      <c r="AT5" s="1" t="s">
        <v>93</v>
      </c>
      <c r="BP5" s="1" t="s">
        <v>755</v>
      </c>
      <c r="BQ5" s="1" t="s">
        <v>756</v>
      </c>
      <c r="BR5" s="1" t="s">
        <v>757</v>
      </c>
      <c r="BS5" s="1" t="s">
        <v>758</v>
      </c>
      <c r="BT5" s="1" t="s">
        <v>73</v>
      </c>
      <c r="BU5" s="1">
        <v>2</v>
      </c>
      <c r="BV5" s="1">
        <v>2</v>
      </c>
      <c r="BW5" s="1">
        <v>1</v>
      </c>
      <c r="BX5" s="1">
        <v>0</v>
      </c>
      <c r="BY5" s="1">
        <v>0</v>
      </c>
      <c r="BZ5" s="1">
        <v>0</v>
      </c>
      <c r="CA5" s="1">
        <v>0</v>
      </c>
      <c r="CB5" s="1">
        <v>0</v>
      </c>
      <c r="CC5" s="1">
        <v>0</v>
      </c>
      <c r="CD5" s="1">
        <v>0</v>
      </c>
      <c r="CE5" s="1">
        <v>0</v>
      </c>
      <c r="CF5" s="1">
        <v>0</v>
      </c>
      <c r="CG5" s="1">
        <v>0</v>
      </c>
      <c r="CH5" s="1">
        <v>0</v>
      </c>
      <c r="CI5" s="1">
        <v>0</v>
      </c>
      <c r="CJ5" s="1">
        <v>4</v>
      </c>
      <c r="CK5" s="1">
        <v>3</v>
      </c>
      <c r="CL5" s="1">
        <v>4</v>
      </c>
      <c r="CM5" s="1">
        <v>2</v>
      </c>
      <c r="CN5" s="1">
        <v>4</v>
      </c>
      <c r="CO5" s="1">
        <v>4</v>
      </c>
      <c r="CP5" s="1">
        <v>3</v>
      </c>
      <c r="CU5" s="1">
        <v>1</v>
      </c>
    </row>
    <row r="6" spans="1:99" x14ac:dyDescent="0.35">
      <c r="A6" s="1" t="s">
        <v>759</v>
      </c>
      <c r="B6" s="1">
        <v>181221009</v>
      </c>
      <c r="S6" s="1">
        <v>4</v>
      </c>
      <c r="T6" s="1">
        <v>1</v>
      </c>
      <c r="U6" s="1">
        <v>3</v>
      </c>
      <c r="V6" s="1">
        <v>3</v>
      </c>
      <c r="W6" s="1">
        <v>3</v>
      </c>
      <c r="X6" s="1">
        <v>3</v>
      </c>
      <c r="Y6" s="1">
        <v>2</v>
      </c>
      <c r="Z6" s="1">
        <v>3</v>
      </c>
      <c r="AA6" s="1">
        <v>4</v>
      </c>
      <c r="CQ6" s="1">
        <v>1</v>
      </c>
      <c r="CR6" s="1" t="s">
        <v>760</v>
      </c>
      <c r="CS6" s="1" t="s">
        <v>761</v>
      </c>
      <c r="CT6" s="5">
        <v>44830</v>
      </c>
      <c r="CU6" s="1">
        <v>1</v>
      </c>
    </row>
    <row r="7" spans="1:99" x14ac:dyDescent="0.35">
      <c r="A7" s="1" t="s">
        <v>762</v>
      </c>
      <c r="B7" s="1">
        <v>181221011</v>
      </c>
      <c r="C7" s="1">
        <v>0</v>
      </c>
      <c r="D7" s="1">
        <v>1</v>
      </c>
      <c r="E7" s="1">
        <v>0</v>
      </c>
      <c r="F7" s="1">
        <v>0</v>
      </c>
      <c r="G7" s="1">
        <v>0</v>
      </c>
      <c r="H7" s="1">
        <v>0</v>
      </c>
      <c r="I7" s="1">
        <v>0</v>
      </c>
      <c r="J7" s="1">
        <v>0</v>
      </c>
      <c r="K7" s="1">
        <v>0</v>
      </c>
      <c r="L7" s="1">
        <v>0</v>
      </c>
      <c r="M7" s="1">
        <v>0</v>
      </c>
      <c r="N7" s="1">
        <v>0</v>
      </c>
      <c r="O7" s="1">
        <v>0</v>
      </c>
      <c r="P7" s="1">
        <v>50</v>
      </c>
      <c r="Q7" s="1">
        <v>9</v>
      </c>
      <c r="R7" s="1">
        <v>5</v>
      </c>
      <c r="S7" s="1">
        <v>5</v>
      </c>
      <c r="T7" s="1">
        <v>1</v>
      </c>
      <c r="U7" s="1">
        <v>4</v>
      </c>
      <c r="V7" s="1">
        <v>4</v>
      </c>
      <c r="W7" s="1">
        <v>4</v>
      </c>
      <c r="X7" s="1">
        <v>3</v>
      </c>
      <c r="Y7" s="1">
        <v>4</v>
      </c>
      <c r="Z7" s="1">
        <v>4</v>
      </c>
      <c r="AA7" s="1">
        <v>4</v>
      </c>
      <c r="CU7" s="1">
        <v>4</v>
      </c>
    </row>
    <row r="8" spans="1:99" x14ac:dyDescent="0.35">
      <c r="A8" s="1" t="s">
        <v>763</v>
      </c>
      <c r="B8" s="1">
        <v>181221012</v>
      </c>
      <c r="C8" s="1">
        <v>1</v>
      </c>
      <c r="D8" s="1">
        <v>1</v>
      </c>
      <c r="E8" s="1">
        <v>0</v>
      </c>
      <c r="F8" s="1">
        <v>0</v>
      </c>
      <c r="G8" s="1">
        <v>0</v>
      </c>
      <c r="H8" s="1">
        <v>1</v>
      </c>
      <c r="I8" s="1">
        <v>0</v>
      </c>
      <c r="J8" s="1">
        <v>1</v>
      </c>
      <c r="K8" s="1">
        <v>1</v>
      </c>
      <c r="L8" s="1">
        <v>0</v>
      </c>
      <c r="M8" s="1">
        <v>0</v>
      </c>
      <c r="N8" s="1">
        <v>0</v>
      </c>
      <c r="O8" s="1">
        <v>0</v>
      </c>
      <c r="P8" s="1" t="s">
        <v>764</v>
      </c>
      <c r="Q8" s="1">
        <v>10</v>
      </c>
      <c r="R8" s="1">
        <v>3</v>
      </c>
      <c r="S8" s="1">
        <v>1</v>
      </c>
      <c r="T8" s="1">
        <v>1</v>
      </c>
      <c r="U8" s="1">
        <v>4</v>
      </c>
      <c r="V8" s="1">
        <v>3</v>
      </c>
      <c r="W8" s="1">
        <v>2</v>
      </c>
      <c r="X8" s="1">
        <v>3</v>
      </c>
      <c r="Y8" s="1">
        <v>4</v>
      </c>
      <c r="Z8" s="1">
        <v>4</v>
      </c>
      <c r="AA8" s="1">
        <v>3</v>
      </c>
      <c r="AC8" s="1">
        <v>2</v>
      </c>
      <c r="AE8" s="1">
        <v>7</v>
      </c>
      <c r="AF8" s="3">
        <v>6300000</v>
      </c>
      <c r="AG8" s="1">
        <v>13</v>
      </c>
      <c r="AT8" s="1" t="s">
        <v>83</v>
      </c>
      <c r="BP8" s="1">
        <v>3</v>
      </c>
      <c r="BQ8" s="1" t="s">
        <v>765</v>
      </c>
      <c r="BR8" s="1" t="s">
        <v>766</v>
      </c>
      <c r="BT8" s="1" t="s">
        <v>73</v>
      </c>
      <c r="BU8" s="1">
        <v>3</v>
      </c>
      <c r="BV8" s="1">
        <v>1</v>
      </c>
      <c r="BW8" s="1">
        <v>1</v>
      </c>
      <c r="BX8" s="1">
        <v>0</v>
      </c>
      <c r="BY8" s="1">
        <v>1</v>
      </c>
      <c r="BZ8" s="1">
        <v>0</v>
      </c>
      <c r="CA8" s="1">
        <v>0</v>
      </c>
      <c r="CB8" s="1">
        <v>1</v>
      </c>
      <c r="CC8" s="1">
        <v>0</v>
      </c>
      <c r="CD8" s="1">
        <v>0</v>
      </c>
      <c r="CE8" s="1">
        <v>0</v>
      </c>
      <c r="CF8" s="1">
        <v>0</v>
      </c>
      <c r="CG8" s="1">
        <v>0</v>
      </c>
      <c r="CH8" s="1">
        <v>0</v>
      </c>
      <c r="CI8" s="1">
        <v>0</v>
      </c>
      <c r="CJ8" s="1">
        <v>4</v>
      </c>
      <c r="CK8" s="1">
        <v>4</v>
      </c>
      <c r="CL8" s="1">
        <v>3</v>
      </c>
      <c r="CM8" s="1">
        <v>3</v>
      </c>
      <c r="CN8" s="1">
        <v>4</v>
      </c>
      <c r="CO8" s="1">
        <v>4</v>
      </c>
      <c r="CP8" s="1">
        <v>3</v>
      </c>
      <c r="CU8" s="1">
        <v>1</v>
      </c>
    </row>
    <row r="9" spans="1:99" x14ac:dyDescent="0.35">
      <c r="A9" s="1" t="s">
        <v>767</v>
      </c>
      <c r="B9" s="1">
        <v>181221014</v>
      </c>
      <c r="C9" s="1">
        <v>0</v>
      </c>
      <c r="D9" s="1">
        <v>1</v>
      </c>
      <c r="E9" s="1">
        <v>0</v>
      </c>
      <c r="F9" s="1">
        <v>0</v>
      </c>
      <c r="G9" s="1">
        <v>0</v>
      </c>
      <c r="H9" s="1">
        <v>1</v>
      </c>
      <c r="I9" s="1">
        <v>0</v>
      </c>
      <c r="J9" s="1">
        <v>0</v>
      </c>
      <c r="K9" s="1">
        <v>1</v>
      </c>
      <c r="L9" s="1">
        <v>0</v>
      </c>
      <c r="M9" s="1">
        <v>0</v>
      </c>
      <c r="N9" s="1">
        <v>0</v>
      </c>
      <c r="O9" s="1">
        <v>0</v>
      </c>
      <c r="P9" s="1">
        <v>100</v>
      </c>
      <c r="Q9" s="1">
        <v>20</v>
      </c>
      <c r="R9" s="1">
        <v>10</v>
      </c>
      <c r="S9" s="1">
        <v>1</v>
      </c>
      <c r="T9" s="1">
        <v>1</v>
      </c>
      <c r="U9" s="1">
        <v>4</v>
      </c>
      <c r="V9" s="1">
        <v>4</v>
      </c>
      <c r="W9" s="1">
        <v>3</v>
      </c>
      <c r="X9" s="1">
        <v>4</v>
      </c>
      <c r="Y9" s="1">
        <v>4</v>
      </c>
      <c r="Z9" s="1">
        <v>4</v>
      </c>
      <c r="AA9" s="1">
        <v>4</v>
      </c>
      <c r="AC9" s="1">
        <v>1</v>
      </c>
      <c r="AD9" s="1">
        <v>5</v>
      </c>
      <c r="AF9" s="3">
        <v>8500000</v>
      </c>
      <c r="AG9" s="1">
        <v>13</v>
      </c>
      <c r="AT9" s="1" t="s">
        <v>83</v>
      </c>
      <c r="BP9" s="1">
        <v>3</v>
      </c>
      <c r="BQ9" s="1" t="s">
        <v>768</v>
      </c>
      <c r="BR9" s="1" t="s">
        <v>769</v>
      </c>
      <c r="BS9" s="1" t="s">
        <v>770</v>
      </c>
      <c r="BT9" s="1" t="s">
        <v>73</v>
      </c>
      <c r="BU9" s="1">
        <v>3</v>
      </c>
      <c r="BV9" s="1">
        <v>2</v>
      </c>
      <c r="BW9" s="1">
        <v>0</v>
      </c>
      <c r="BX9" s="1">
        <v>0</v>
      </c>
      <c r="BY9" s="1">
        <v>0</v>
      </c>
      <c r="BZ9" s="1">
        <v>0</v>
      </c>
      <c r="CA9" s="1">
        <v>0</v>
      </c>
      <c r="CB9" s="1">
        <v>0</v>
      </c>
      <c r="CC9" s="1">
        <v>0</v>
      </c>
      <c r="CD9" s="1">
        <v>0</v>
      </c>
      <c r="CE9" s="1">
        <v>0</v>
      </c>
      <c r="CF9" s="1">
        <v>0</v>
      </c>
      <c r="CG9" s="1">
        <v>1</v>
      </c>
      <c r="CH9" s="1">
        <v>0</v>
      </c>
      <c r="CI9" s="1">
        <v>0</v>
      </c>
      <c r="CJ9" s="1">
        <v>4</v>
      </c>
      <c r="CK9" s="1">
        <v>4</v>
      </c>
      <c r="CL9" s="1">
        <v>4</v>
      </c>
      <c r="CM9" s="1">
        <v>4</v>
      </c>
      <c r="CN9" s="1">
        <v>4</v>
      </c>
      <c r="CO9" s="1">
        <v>4</v>
      </c>
      <c r="CP9" s="1">
        <v>4</v>
      </c>
      <c r="CU9" s="1">
        <v>1</v>
      </c>
    </row>
    <row r="10" spans="1:99" x14ac:dyDescent="0.35">
      <c r="A10" s="1" t="s">
        <v>771</v>
      </c>
      <c r="B10" s="1">
        <v>181221016</v>
      </c>
    </row>
    <row r="11" spans="1:99" x14ac:dyDescent="0.35">
      <c r="A11" s="1" t="s">
        <v>772</v>
      </c>
      <c r="B11" s="1">
        <v>181221019</v>
      </c>
      <c r="C11" s="1">
        <v>0</v>
      </c>
      <c r="D11" s="1">
        <v>1</v>
      </c>
      <c r="E11" s="1">
        <v>1</v>
      </c>
      <c r="F11" s="1">
        <v>0</v>
      </c>
      <c r="G11" s="1">
        <v>0</v>
      </c>
      <c r="H11" s="1">
        <v>1</v>
      </c>
      <c r="I11" s="1">
        <v>0</v>
      </c>
      <c r="J11" s="1">
        <v>1</v>
      </c>
      <c r="K11" s="1">
        <v>0</v>
      </c>
      <c r="L11" s="1">
        <v>0</v>
      </c>
      <c r="M11" s="1">
        <v>0</v>
      </c>
      <c r="N11" s="1">
        <v>0</v>
      </c>
      <c r="O11" s="1">
        <v>0</v>
      </c>
      <c r="P11" s="1" t="s">
        <v>349</v>
      </c>
      <c r="Q11" s="1" t="s">
        <v>773</v>
      </c>
      <c r="R11" s="1" t="s">
        <v>774</v>
      </c>
      <c r="S11" s="1">
        <v>1</v>
      </c>
      <c r="T11" s="1">
        <v>6</v>
      </c>
      <c r="U11" s="1">
        <v>4</v>
      </c>
      <c r="V11" s="1">
        <v>4</v>
      </c>
      <c r="W11" s="1">
        <v>3</v>
      </c>
      <c r="X11" s="1">
        <v>4</v>
      </c>
      <c r="Y11" s="1">
        <v>4</v>
      </c>
      <c r="Z11" s="1">
        <v>3</v>
      </c>
      <c r="AA11" s="1">
        <v>3</v>
      </c>
      <c r="AC11" s="1">
        <v>2</v>
      </c>
      <c r="AF11" s="3">
        <v>5485000</v>
      </c>
      <c r="AG11" s="1">
        <v>13</v>
      </c>
      <c r="BP11" s="1">
        <v>6</v>
      </c>
      <c r="BQ11" s="1" t="s">
        <v>775</v>
      </c>
      <c r="BR11" s="1" t="s">
        <v>776</v>
      </c>
      <c r="BS11" s="1" t="s">
        <v>4322</v>
      </c>
      <c r="BT11" s="1" t="s">
        <v>79</v>
      </c>
      <c r="BU11" s="1">
        <v>3</v>
      </c>
      <c r="BV11" s="1">
        <v>2</v>
      </c>
      <c r="BW11" s="1">
        <v>0</v>
      </c>
      <c r="BX11" s="1">
        <v>0</v>
      </c>
      <c r="BY11" s="1">
        <v>0</v>
      </c>
      <c r="BZ11" s="1">
        <v>0</v>
      </c>
      <c r="CA11" s="1">
        <v>0</v>
      </c>
      <c r="CB11" s="1">
        <v>0</v>
      </c>
      <c r="CC11" s="1">
        <v>1</v>
      </c>
      <c r="CD11" s="1">
        <v>0</v>
      </c>
      <c r="CE11" s="1">
        <v>0</v>
      </c>
      <c r="CF11" s="1">
        <v>1</v>
      </c>
      <c r="CG11" s="1">
        <v>0</v>
      </c>
      <c r="CH11" s="1">
        <v>1</v>
      </c>
      <c r="CI11" s="1">
        <v>0</v>
      </c>
      <c r="CJ11" s="1">
        <v>4</v>
      </c>
      <c r="CK11" s="1">
        <v>4</v>
      </c>
      <c r="CL11" s="1">
        <v>4</v>
      </c>
      <c r="CM11" s="1">
        <v>4</v>
      </c>
      <c r="CN11" s="1">
        <v>4</v>
      </c>
      <c r="CO11" s="1">
        <v>4</v>
      </c>
      <c r="CP11" s="1">
        <v>4</v>
      </c>
      <c r="CU11" s="1">
        <v>1</v>
      </c>
    </row>
    <row r="12" spans="1:99" x14ac:dyDescent="0.35">
      <c r="A12" s="1" t="s">
        <v>777</v>
      </c>
      <c r="B12" s="1">
        <v>181221020</v>
      </c>
    </row>
    <row r="13" spans="1:99" x14ac:dyDescent="0.35">
      <c r="A13" s="1" t="s">
        <v>778</v>
      </c>
      <c r="B13" s="1">
        <v>181221022</v>
      </c>
      <c r="C13" s="1">
        <v>0</v>
      </c>
      <c r="D13" s="1">
        <v>1</v>
      </c>
      <c r="E13" s="1">
        <v>0</v>
      </c>
      <c r="F13" s="1">
        <v>0</v>
      </c>
      <c r="G13" s="1">
        <v>0</v>
      </c>
      <c r="H13" s="1">
        <v>0</v>
      </c>
      <c r="I13" s="1">
        <v>0</v>
      </c>
      <c r="J13" s="1">
        <v>0</v>
      </c>
      <c r="K13" s="1">
        <v>0</v>
      </c>
      <c r="L13" s="1">
        <v>0</v>
      </c>
      <c r="M13" s="1">
        <v>0</v>
      </c>
      <c r="N13" s="1">
        <v>0</v>
      </c>
      <c r="O13" s="1">
        <v>0</v>
      </c>
      <c r="P13" s="1" t="s">
        <v>779</v>
      </c>
      <c r="Q13" s="1" t="s">
        <v>779</v>
      </c>
      <c r="R13" s="1" t="s">
        <v>780</v>
      </c>
      <c r="S13" s="1">
        <v>1</v>
      </c>
      <c r="T13" s="1">
        <v>1</v>
      </c>
      <c r="U13" s="1">
        <v>4</v>
      </c>
      <c r="V13" s="1">
        <v>4</v>
      </c>
      <c r="W13" s="1">
        <v>3</v>
      </c>
      <c r="X13" s="1">
        <v>4</v>
      </c>
      <c r="Y13" s="1">
        <v>4</v>
      </c>
      <c r="Z13" s="1">
        <v>4</v>
      </c>
      <c r="AA13" s="1">
        <v>4</v>
      </c>
      <c r="AC13" s="1">
        <v>1</v>
      </c>
      <c r="AD13" s="1">
        <v>6</v>
      </c>
      <c r="AE13" s="1">
        <v>6</v>
      </c>
      <c r="AF13" s="3">
        <v>6000000</v>
      </c>
      <c r="AG13" s="1">
        <v>11</v>
      </c>
      <c r="AR13" s="1" t="s">
        <v>222</v>
      </c>
      <c r="BP13" s="1">
        <v>3</v>
      </c>
      <c r="BQ13" s="1" t="s">
        <v>781</v>
      </c>
      <c r="BR13" s="1" t="s">
        <v>782</v>
      </c>
      <c r="BS13" s="1" t="s">
        <v>783</v>
      </c>
      <c r="BT13" s="1" t="s">
        <v>73</v>
      </c>
      <c r="BU13" s="1">
        <v>4</v>
      </c>
      <c r="BV13" s="1">
        <v>2</v>
      </c>
      <c r="BW13" s="1">
        <v>0</v>
      </c>
      <c r="BX13" s="1">
        <v>0</v>
      </c>
      <c r="BY13" s="1">
        <v>1</v>
      </c>
      <c r="BZ13" s="1">
        <v>0</v>
      </c>
      <c r="CA13" s="1">
        <v>0</v>
      </c>
      <c r="CB13" s="1">
        <v>0</v>
      </c>
      <c r="CC13" s="1">
        <v>1</v>
      </c>
      <c r="CD13" s="1">
        <v>1</v>
      </c>
      <c r="CE13" s="1">
        <v>0</v>
      </c>
      <c r="CF13" s="1">
        <v>0</v>
      </c>
      <c r="CG13" s="1">
        <v>0</v>
      </c>
      <c r="CH13" s="1">
        <v>0</v>
      </c>
      <c r="CI13" s="1" t="s">
        <v>784</v>
      </c>
      <c r="CJ13" s="1">
        <v>4</v>
      </c>
      <c r="CK13" s="1">
        <v>4</v>
      </c>
      <c r="CL13" s="1">
        <v>3</v>
      </c>
      <c r="CM13" s="1">
        <v>4</v>
      </c>
      <c r="CN13" s="1">
        <v>4</v>
      </c>
      <c r="CO13" s="1">
        <v>4</v>
      </c>
      <c r="CP13" s="1">
        <v>4</v>
      </c>
      <c r="CU13" s="1">
        <v>1</v>
      </c>
    </row>
    <row r="14" spans="1:99" x14ac:dyDescent="0.35">
      <c r="A14" s="1" t="s">
        <v>785</v>
      </c>
      <c r="B14" s="1">
        <v>181221024</v>
      </c>
      <c r="C14" s="1">
        <v>0</v>
      </c>
      <c r="D14" s="1">
        <v>1</v>
      </c>
      <c r="E14" s="1">
        <v>0</v>
      </c>
      <c r="F14" s="1">
        <v>0</v>
      </c>
      <c r="G14" s="1">
        <v>0</v>
      </c>
      <c r="H14" s="1">
        <v>0</v>
      </c>
      <c r="I14" s="1">
        <v>0</v>
      </c>
      <c r="J14" s="1">
        <v>1</v>
      </c>
      <c r="K14" s="1">
        <v>1</v>
      </c>
      <c r="L14" s="1">
        <v>0</v>
      </c>
      <c r="M14" s="1">
        <v>0</v>
      </c>
      <c r="N14" s="1">
        <v>0</v>
      </c>
      <c r="O14" s="1">
        <v>0</v>
      </c>
      <c r="P14" s="4">
        <v>46240</v>
      </c>
      <c r="Q14" s="1">
        <v>5</v>
      </c>
      <c r="R14" s="1">
        <v>3</v>
      </c>
      <c r="S14" s="1">
        <v>5</v>
      </c>
      <c r="T14" s="1">
        <v>1</v>
      </c>
      <c r="U14" s="1">
        <v>4</v>
      </c>
      <c r="V14" s="1">
        <v>4</v>
      </c>
      <c r="W14" s="1">
        <v>2</v>
      </c>
      <c r="X14" s="1">
        <v>3</v>
      </c>
      <c r="Y14" s="1">
        <v>3</v>
      </c>
      <c r="Z14" s="1">
        <v>4</v>
      </c>
      <c r="AA14" s="1">
        <v>3</v>
      </c>
      <c r="CU14" s="1">
        <v>1</v>
      </c>
    </row>
    <row r="15" spans="1:99" x14ac:dyDescent="0.35">
      <c r="A15" s="1" t="s">
        <v>786</v>
      </c>
      <c r="B15" s="1">
        <v>181221027</v>
      </c>
      <c r="C15" s="1">
        <v>0</v>
      </c>
      <c r="D15" s="1">
        <v>1</v>
      </c>
      <c r="E15" s="1">
        <v>0</v>
      </c>
      <c r="F15" s="1">
        <v>0</v>
      </c>
      <c r="G15" s="1">
        <v>0</v>
      </c>
      <c r="H15" s="1">
        <v>1</v>
      </c>
      <c r="I15" s="1">
        <v>0</v>
      </c>
      <c r="J15" s="1">
        <v>0</v>
      </c>
      <c r="K15" s="1">
        <v>0</v>
      </c>
      <c r="L15" s="1">
        <v>0</v>
      </c>
      <c r="M15" s="1">
        <v>0</v>
      </c>
      <c r="N15" s="1">
        <v>0</v>
      </c>
      <c r="O15" s="1">
        <v>0</v>
      </c>
      <c r="P15" s="1">
        <v>4</v>
      </c>
      <c r="Q15" s="1">
        <v>3</v>
      </c>
      <c r="R15" s="1">
        <v>1</v>
      </c>
      <c r="S15" s="1">
        <v>4</v>
      </c>
      <c r="T15" s="1">
        <v>1</v>
      </c>
      <c r="U15" s="1">
        <v>3</v>
      </c>
      <c r="V15" s="1">
        <v>3</v>
      </c>
      <c r="W15" s="1">
        <v>3</v>
      </c>
      <c r="X15" s="1">
        <v>2</v>
      </c>
      <c r="Y15" s="1">
        <v>3</v>
      </c>
      <c r="Z15" s="1">
        <v>3</v>
      </c>
      <c r="AA15" s="1">
        <v>3</v>
      </c>
      <c r="CQ15" s="1">
        <v>1</v>
      </c>
      <c r="CR15" s="1" t="s">
        <v>205</v>
      </c>
      <c r="CS15" s="1" t="s">
        <v>787</v>
      </c>
      <c r="CT15" s="5">
        <v>44802</v>
      </c>
      <c r="CU15" s="1">
        <v>4</v>
      </c>
    </row>
    <row r="16" spans="1:99" x14ac:dyDescent="0.35">
      <c r="A16" s="1" t="s">
        <v>788</v>
      </c>
      <c r="B16" s="1">
        <v>181221031</v>
      </c>
      <c r="C16" s="1">
        <v>0</v>
      </c>
      <c r="D16" s="1">
        <v>1</v>
      </c>
      <c r="E16" s="1">
        <v>0</v>
      </c>
      <c r="F16" s="1">
        <v>0</v>
      </c>
      <c r="G16" s="1">
        <v>0</v>
      </c>
      <c r="H16" s="1">
        <v>0</v>
      </c>
      <c r="I16" s="1">
        <v>0</v>
      </c>
      <c r="J16" s="1">
        <v>0</v>
      </c>
      <c r="K16" s="1">
        <v>0</v>
      </c>
      <c r="L16" s="1">
        <v>0</v>
      </c>
      <c r="M16" s="1">
        <v>0</v>
      </c>
      <c r="N16" s="1">
        <v>0</v>
      </c>
      <c r="O16" s="1">
        <v>0</v>
      </c>
      <c r="P16" s="1">
        <v>80</v>
      </c>
      <c r="Q16" s="1">
        <v>15</v>
      </c>
      <c r="R16" s="1">
        <v>5</v>
      </c>
    </row>
    <row r="17" spans="1:99" x14ac:dyDescent="0.35">
      <c r="A17" s="1" t="s">
        <v>789</v>
      </c>
      <c r="B17" s="1">
        <v>181221036</v>
      </c>
      <c r="C17" s="1">
        <v>0</v>
      </c>
      <c r="D17" s="1">
        <v>1</v>
      </c>
      <c r="E17" s="1">
        <v>0</v>
      </c>
      <c r="F17" s="1">
        <v>0</v>
      </c>
      <c r="G17" s="1">
        <v>0</v>
      </c>
      <c r="H17" s="1">
        <v>1</v>
      </c>
      <c r="I17" s="1">
        <v>1</v>
      </c>
      <c r="J17" s="1">
        <v>0</v>
      </c>
      <c r="K17" s="1">
        <v>1</v>
      </c>
      <c r="L17" s="1">
        <v>0</v>
      </c>
      <c r="M17" s="1">
        <v>0</v>
      </c>
      <c r="N17" s="1">
        <v>0</v>
      </c>
      <c r="O17" s="1">
        <v>0</v>
      </c>
      <c r="P17" s="1" t="s">
        <v>790</v>
      </c>
      <c r="Q17" s="1">
        <v>4</v>
      </c>
      <c r="R17" s="1">
        <v>4</v>
      </c>
      <c r="S17" s="1">
        <v>1</v>
      </c>
      <c r="T17" s="1">
        <v>1</v>
      </c>
      <c r="U17" s="1">
        <v>4</v>
      </c>
      <c r="V17" s="1">
        <v>3</v>
      </c>
      <c r="W17" s="1">
        <v>3</v>
      </c>
      <c r="X17" s="1">
        <v>3</v>
      </c>
      <c r="Y17" s="1">
        <v>4</v>
      </c>
      <c r="Z17" s="1">
        <v>4</v>
      </c>
      <c r="AA17" s="1">
        <v>3</v>
      </c>
      <c r="AC17" s="1">
        <v>1</v>
      </c>
      <c r="AD17" s="1">
        <v>1</v>
      </c>
      <c r="AE17" s="1">
        <v>1</v>
      </c>
      <c r="AF17" s="3">
        <v>4500000</v>
      </c>
      <c r="AG17" s="1">
        <v>12</v>
      </c>
      <c r="AS17" s="1" t="s">
        <v>69</v>
      </c>
      <c r="BP17" s="1">
        <v>3</v>
      </c>
      <c r="BQ17" s="1" t="s">
        <v>791</v>
      </c>
      <c r="BR17" s="1" t="s">
        <v>792</v>
      </c>
      <c r="BS17" s="1" t="s">
        <v>793</v>
      </c>
      <c r="BT17" s="1" t="s">
        <v>79</v>
      </c>
      <c r="BU17" s="1">
        <v>3</v>
      </c>
      <c r="BV17" s="1">
        <v>1</v>
      </c>
      <c r="BW17" s="1">
        <v>0</v>
      </c>
      <c r="BX17" s="1">
        <v>1</v>
      </c>
      <c r="BY17" s="1">
        <v>0</v>
      </c>
      <c r="BZ17" s="1">
        <v>0</v>
      </c>
      <c r="CA17" s="1">
        <v>0</v>
      </c>
      <c r="CB17" s="1">
        <v>0</v>
      </c>
      <c r="CC17" s="1">
        <v>0</v>
      </c>
      <c r="CD17" s="1">
        <v>0</v>
      </c>
      <c r="CE17" s="1">
        <v>1</v>
      </c>
      <c r="CF17" s="1">
        <v>0</v>
      </c>
      <c r="CG17" s="1">
        <v>0</v>
      </c>
      <c r="CH17" s="1">
        <v>0</v>
      </c>
      <c r="CI17" s="1">
        <v>0</v>
      </c>
      <c r="CJ17" s="1">
        <v>4</v>
      </c>
      <c r="CK17" s="1">
        <v>3</v>
      </c>
      <c r="CL17" s="1">
        <v>4</v>
      </c>
      <c r="CM17" s="1">
        <v>3</v>
      </c>
      <c r="CN17" s="1">
        <v>4</v>
      </c>
      <c r="CO17" s="1">
        <v>4</v>
      </c>
      <c r="CP17" s="1">
        <v>3</v>
      </c>
      <c r="CU17" s="1">
        <v>4</v>
      </c>
    </row>
    <row r="18" spans="1:99" x14ac:dyDescent="0.35">
      <c r="A18" s="1" t="s">
        <v>794</v>
      </c>
      <c r="B18" s="1">
        <v>181221042</v>
      </c>
      <c r="C18" s="1">
        <v>0</v>
      </c>
      <c r="D18" s="1">
        <v>1</v>
      </c>
      <c r="E18" s="1">
        <v>0</v>
      </c>
      <c r="F18" s="1">
        <v>0</v>
      </c>
      <c r="G18" s="1">
        <v>0</v>
      </c>
      <c r="H18" s="1">
        <v>0</v>
      </c>
      <c r="I18" s="1">
        <v>0</v>
      </c>
      <c r="J18" s="1">
        <v>0</v>
      </c>
      <c r="K18" s="1">
        <v>0</v>
      </c>
      <c r="L18" s="1">
        <v>0</v>
      </c>
      <c r="M18" s="1">
        <v>0</v>
      </c>
      <c r="N18" s="1">
        <v>0</v>
      </c>
      <c r="O18" s="1">
        <v>0</v>
      </c>
      <c r="P18" s="1">
        <v>100</v>
      </c>
      <c r="Q18" s="1">
        <v>2</v>
      </c>
      <c r="R18" s="1">
        <v>2</v>
      </c>
    </row>
    <row r="19" spans="1:99" x14ac:dyDescent="0.35">
      <c r="A19" s="1" t="s">
        <v>795</v>
      </c>
      <c r="B19" s="1">
        <v>181221048</v>
      </c>
      <c r="C19" s="1">
        <v>0</v>
      </c>
      <c r="D19" s="1">
        <v>1</v>
      </c>
      <c r="E19" s="1">
        <v>0</v>
      </c>
      <c r="F19" s="1">
        <v>0</v>
      </c>
      <c r="G19" s="1">
        <v>0</v>
      </c>
      <c r="H19" s="1">
        <v>1</v>
      </c>
      <c r="I19" s="1">
        <v>0</v>
      </c>
      <c r="J19" s="1">
        <v>1</v>
      </c>
      <c r="K19" s="1">
        <v>1</v>
      </c>
      <c r="L19" s="1">
        <v>0</v>
      </c>
      <c r="M19" s="1">
        <v>0</v>
      </c>
      <c r="N19" s="1">
        <v>0</v>
      </c>
      <c r="O19" s="1">
        <v>0</v>
      </c>
      <c r="P19" s="1">
        <v>10</v>
      </c>
      <c r="Q19" s="1">
        <v>8</v>
      </c>
      <c r="R19" s="1">
        <v>8</v>
      </c>
    </row>
    <row r="20" spans="1:99" x14ac:dyDescent="0.35">
      <c r="A20" s="1" t="s">
        <v>796</v>
      </c>
      <c r="B20" s="1">
        <v>181221049</v>
      </c>
    </row>
    <row r="21" spans="1:99" x14ac:dyDescent="0.35">
      <c r="A21" s="1" t="s">
        <v>797</v>
      </c>
      <c r="B21" s="1">
        <v>181221051</v>
      </c>
      <c r="C21" s="1">
        <v>0</v>
      </c>
      <c r="D21" s="1">
        <v>1</v>
      </c>
      <c r="E21" s="1">
        <v>0</v>
      </c>
      <c r="F21" s="1">
        <v>0</v>
      </c>
      <c r="G21" s="1">
        <v>0</v>
      </c>
      <c r="H21" s="1">
        <v>0</v>
      </c>
      <c r="I21" s="1">
        <v>0</v>
      </c>
      <c r="J21" s="1">
        <v>0</v>
      </c>
      <c r="K21" s="1">
        <v>1</v>
      </c>
      <c r="L21" s="1">
        <v>0</v>
      </c>
      <c r="M21" s="1">
        <v>0</v>
      </c>
      <c r="N21" s="1">
        <v>0</v>
      </c>
      <c r="O21" s="1">
        <v>0</v>
      </c>
      <c r="P21" s="1">
        <v>29</v>
      </c>
      <c r="Q21" s="1">
        <v>5</v>
      </c>
      <c r="R21" s="1">
        <v>3</v>
      </c>
      <c r="S21" s="1">
        <v>1</v>
      </c>
      <c r="T21" s="1">
        <v>3</v>
      </c>
      <c r="U21" s="1">
        <v>3</v>
      </c>
      <c r="V21" s="1">
        <v>3</v>
      </c>
      <c r="W21" s="1">
        <v>3</v>
      </c>
      <c r="X21" s="1">
        <v>3</v>
      </c>
      <c r="Y21" s="1">
        <v>2</v>
      </c>
      <c r="Z21" s="1">
        <v>3</v>
      </c>
      <c r="AA21" s="1">
        <v>3</v>
      </c>
      <c r="AC21" s="1">
        <v>1</v>
      </c>
      <c r="AD21" s="1">
        <v>4</v>
      </c>
      <c r="AF21" s="3">
        <v>4500000</v>
      </c>
      <c r="AG21" s="1">
        <v>12</v>
      </c>
      <c r="AS21" s="1" t="s">
        <v>69</v>
      </c>
      <c r="BP21" s="1">
        <v>3</v>
      </c>
      <c r="BQ21" s="1" t="s">
        <v>798</v>
      </c>
      <c r="BR21" s="1" t="s">
        <v>799</v>
      </c>
      <c r="BS21" s="1" t="s">
        <v>4323</v>
      </c>
      <c r="BT21" s="1" t="s">
        <v>79</v>
      </c>
      <c r="BU21" s="1">
        <v>3</v>
      </c>
      <c r="BV21" s="1">
        <v>2</v>
      </c>
      <c r="BW21" s="1">
        <v>0</v>
      </c>
      <c r="BX21" s="1">
        <v>0</v>
      </c>
      <c r="BY21" s="1">
        <v>1</v>
      </c>
      <c r="BZ21" s="1">
        <v>0</v>
      </c>
      <c r="CA21" s="1">
        <v>0</v>
      </c>
      <c r="CB21" s="1">
        <v>0</v>
      </c>
      <c r="CC21" s="1">
        <v>0</v>
      </c>
      <c r="CD21" s="1">
        <v>1</v>
      </c>
      <c r="CE21" s="1">
        <v>0</v>
      </c>
      <c r="CF21" s="1">
        <v>0</v>
      </c>
      <c r="CG21" s="1">
        <v>0</v>
      </c>
      <c r="CH21" s="1">
        <v>0</v>
      </c>
      <c r="CI21" s="1">
        <v>0</v>
      </c>
      <c r="CJ21" s="1">
        <v>4</v>
      </c>
      <c r="CK21" s="1">
        <v>4</v>
      </c>
      <c r="CL21" s="1">
        <v>3</v>
      </c>
      <c r="CM21" s="1">
        <v>3</v>
      </c>
      <c r="CN21" s="1">
        <v>4</v>
      </c>
      <c r="CO21" s="1">
        <v>4</v>
      </c>
      <c r="CP21" s="1">
        <v>4</v>
      </c>
      <c r="CU21" s="1">
        <v>1</v>
      </c>
    </row>
    <row r="22" spans="1:99" x14ac:dyDescent="0.35">
      <c r="A22" s="1" t="s">
        <v>800</v>
      </c>
      <c r="B22" s="1">
        <v>181221052</v>
      </c>
      <c r="C22" s="1">
        <v>0</v>
      </c>
      <c r="D22" s="1">
        <v>1</v>
      </c>
      <c r="E22" s="1">
        <v>0</v>
      </c>
      <c r="F22" s="1">
        <v>0</v>
      </c>
      <c r="G22" s="1">
        <v>0</v>
      </c>
      <c r="H22" s="1">
        <v>1</v>
      </c>
      <c r="I22" s="1">
        <v>0</v>
      </c>
      <c r="J22" s="1">
        <v>1</v>
      </c>
      <c r="K22" s="1">
        <v>1</v>
      </c>
      <c r="L22" s="1">
        <v>1</v>
      </c>
      <c r="M22" s="1">
        <v>1</v>
      </c>
      <c r="N22" s="1">
        <v>0</v>
      </c>
      <c r="O22" s="1">
        <v>0</v>
      </c>
      <c r="P22" s="1">
        <v>25</v>
      </c>
      <c r="Q22" s="1">
        <v>10</v>
      </c>
      <c r="R22" s="1">
        <v>5</v>
      </c>
      <c r="S22" s="1">
        <v>1</v>
      </c>
      <c r="T22" s="1">
        <v>1</v>
      </c>
      <c r="U22" s="1">
        <v>4</v>
      </c>
      <c r="V22" s="1">
        <v>4</v>
      </c>
      <c r="W22" s="1">
        <v>3</v>
      </c>
      <c r="X22" s="1">
        <v>4</v>
      </c>
      <c r="Y22" s="1">
        <v>4</v>
      </c>
      <c r="Z22" s="1">
        <v>4</v>
      </c>
      <c r="AA22" s="1">
        <v>4</v>
      </c>
      <c r="AC22" s="1">
        <v>1</v>
      </c>
      <c r="AD22" s="1">
        <v>1</v>
      </c>
      <c r="AE22" s="1">
        <v>1</v>
      </c>
      <c r="AF22" s="3">
        <v>4000000</v>
      </c>
      <c r="AG22" s="1">
        <v>13</v>
      </c>
      <c r="AT22" s="1" t="s">
        <v>93</v>
      </c>
      <c r="BP22" s="1">
        <v>3</v>
      </c>
      <c r="BQ22" s="1" t="s">
        <v>801</v>
      </c>
      <c r="BR22" s="1" t="s">
        <v>802</v>
      </c>
      <c r="BT22" s="1" t="s">
        <v>79</v>
      </c>
      <c r="BU22" s="1">
        <v>1</v>
      </c>
      <c r="BV22" s="1">
        <v>1</v>
      </c>
      <c r="BW22" s="1">
        <v>0</v>
      </c>
      <c r="BX22" s="1">
        <v>0</v>
      </c>
      <c r="BY22" s="1">
        <v>1</v>
      </c>
      <c r="BZ22" s="1">
        <v>1</v>
      </c>
      <c r="CA22" s="1">
        <v>0</v>
      </c>
      <c r="CB22" s="1">
        <v>1</v>
      </c>
      <c r="CC22" s="1">
        <v>1</v>
      </c>
      <c r="CD22" s="1">
        <v>1</v>
      </c>
      <c r="CE22" s="1">
        <v>0</v>
      </c>
      <c r="CF22" s="1">
        <v>0</v>
      </c>
      <c r="CG22" s="1">
        <v>1</v>
      </c>
      <c r="CH22" s="1">
        <v>0</v>
      </c>
      <c r="CI22" s="1">
        <v>0</v>
      </c>
      <c r="CJ22" s="1">
        <v>4</v>
      </c>
      <c r="CK22" s="1">
        <v>3</v>
      </c>
      <c r="CL22" s="1">
        <v>4</v>
      </c>
      <c r="CM22" s="1">
        <v>4</v>
      </c>
      <c r="CN22" s="1">
        <v>4</v>
      </c>
      <c r="CO22" s="1">
        <v>4</v>
      </c>
      <c r="CP22" s="1">
        <v>4</v>
      </c>
      <c r="CU22" s="1">
        <v>1</v>
      </c>
    </row>
    <row r="23" spans="1:99" x14ac:dyDescent="0.35">
      <c r="A23" s="1" t="s">
        <v>803</v>
      </c>
      <c r="B23" s="1">
        <v>181221055</v>
      </c>
      <c r="C23" s="1">
        <v>1</v>
      </c>
      <c r="D23" s="1">
        <v>1</v>
      </c>
      <c r="E23" s="1">
        <v>0</v>
      </c>
      <c r="F23" s="1">
        <v>0</v>
      </c>
      <c r="G23" s="1">
        <v>0</v>
      </c>
      <c r="H23" s="1">
        <v>1</v>
      </c>
      <c r="I23" s="1">
        <v>1</v>
      </c>
      <c r="J23" s="1">
        <v>1</v>
      </c>
      <c r="K23" s="1">
        <v>1</v>
      </c>
      <c r="L23" s="1">
        <v>0</v>
      </c>
      <c r="M23" s="1">
        <v>1</v>
      </c>
      <c r="N23" s="1">
        <v>0</v>
      </c>
      <c r="O23" s="1">
        <v>0</v>
      </c>
      <c r="P23" s="1" t="s">
        <v>804</v>
      </c>
      <c r="Q23" s="1">
        <v>5</v>
      </c>
      <c r="R23" s="1">
        <v>4</v>
      </c>
      <c r="S23" s="1">
        <v>1</v>
      </c>
      <c r="T23" s="1">
        <v>3</v>
      </c>
      <c r="U23" s="1">
        <v>4</v>
      </c>
      <c r="V23" s="1">
        <v>3</v>
      </c>
      <c r="W23" s="1">
        <v>2</v>
      </c>
      <c r="X23" s="1">
        <v>4</v>
      </c>
      <c r="Y23" s="1">
        <v>3</v>
      </c>
      <c r="Z23" s="1">
        <v>3</v>
      </c>
      <c r="AA23" s="1">
        <v>3</v>
      </c>
      <c r="AC23" s="1">
        <v>2</v>
      </c>
      <c r="AE23" s="1">
        <v>7</v>
      </c>
      <c r="AF23" s="3">
        <v>4000000</v>
      </c>
      <c r="AG23" s="1">
        <v>13</v>
      </c>
      <c r="AT23" s="1" t="s">
        <v>93</v>
      </c>
      <c r="BP23" s="1">
        <v>3</v>
      </c>
      <c r="BQ23" s="1" t="s">
        <v>805</v>
      </c>
      <c r="BR23" s="1" t="s">
        <v>806</v>
      </c>
      <c r="BS23" s="1" t="s">
        <v>807</v>
      </c>
      <c r="BT23" s="1" t="s">
        <v>79</v>
      </c>
      <c r="BU23" s="1">
        <v>2</v>
      </c>
      <c r="BV23" s="1">
        <v>2</v>
      </c>
      <c r="BW23" s="1">
        <v>0</v>
      </c>
      <c r="BX23" s="1">
        <v>0</v>
      </c>
      <c r="BY23" s="1">
        <v>1</v>
      </c>
      <c r="BZ23" s="1">
        <v>0</v>
      </c>
      <c r="CA23" s="1">
        <v>0</v>
      </c>
      <c r="CB23" s="1">
        <v>0</v>
      </c>
      <c r="CC23" s="1">
        <v>0</v>
      </c>
      <c r="CD23" s="1">
        <v>0</v>
      </c>
      <c r="CE23" s="1">
        <v>0</v>
      </c>
      <c r="CF23" s="1">
        <v>0</v>
      </c>
      <c r="CG23" s="1">
        <v>0</v>
      </c>
      <c r="CH23" s="1">
        <v>0</v>
      </c>
      <c r="CI23" s="1">
        <v>0</v>
      </c>
      <c r="CJ23" s="1">
        <v>4</v>
      </c>
      <c r="CK23" s="1">
        <v>2</v>
      </c>
      <c r="CL23" s="1">
        <v>4</v>
      </c>
      <c r="CM23" s="1">
        <v>4</v>
      </c>
      <c r="CN23" s="1">
        <v>4</v>
      </c>
      <c r="CO23" s="1">
        <v>4</v>
      </c>
      <c r="CP23" s="1">
        <v>4</v>
      </c>
      <c r="CU23" s="1">
        <v>1</v>
      </c>
    </row>
    <row r="24" spans="1:99" x14ac:dyDescent="0.35">
      <c r="A24" s="1" t="s">
        <v>808</v>
      </c>
      <c r="B24" s="1">
        <v>181221057</v>
      </c>
      <c r="C24" s="1">
        <v>1</v>
      </c>
      <c r="D24" s="1">
        <v>1</v>
      </c>
      <c r="E24" s="1">
        <v>0</v>
      </c>
      <c r="F24" s="1">
        <v>0</v>
      </c>
      <c r="G24" s="1">
        <v>0</v>
      </c>
      <c r="H24" s="1">
        <v>1</v>
      </c>
      <c r="I24" s="1">
        <v>1</v>
      </c>
      <c r="J24" s="1">
        <v>1</v>
      </c>
      <c r="K24" s="1">
        <v>1</v>
      </c>
      <c r="L24" s="1">
        <v>0</v>
      </c>
      <c r="M24" s="1">
        <v>1</v>
      </c>
      <c r="N24" s="1">
        <v>0</v>
      </c>
      <c r="O24" s="1">
        <v>0</v>
      </c>
      <c r="P24" s="1" t="s">
        <v>545</v>
      </c>
      <c r="Q24" s="1">
        <v>7</v>
      </c>
      <c r="R24" s="1">
        <v>3</v>
      </c>
      <c r="S24" s="1">
        <v>1</v>
      </c>
      <c r="T24" s="1">
        <v>1</v>
      </c>
      <c r="U24" s="1">
        <v>3</v>
      </c>
      <c r="V24" s="1">
        <v>3</v>
      </c>
      <c r="W24" s="1">
        <v>3</v>
      </c>
      <c r="X24" s="1">
        <v>3</v>
      </c>
      <c r="Y24" s="1">
        <v>3</v>
      </c>
      <c r="Z24" s="1">
        <v>3</v>
      </c>
      <c r="AA24" s="1">
        <v>3</v>
      </c>
      <c r="AC24" s="1">
        <v>2</v>
      </c>
      <c r="AE24" s="1">
        <v>10</v>
      </c>
      <c r="AF24" s="3">
        <v>700000</v>
      </c>
      <c r="AG24" s="1">
        <v>13</v>
      </c>
      <c r="AT24" s="1" t="s">
        <v>209</v>
      </c>
      <c r="BQ24" s="1" t="s">
        <v>809</v>
      </c>
      <c r="BR24" s="1" t="s">
        <v>810</v>
      </c>
      <c r="BT24" s="1" t="s">
        <v>79</v>
      </c>
      <c r="BU24" s="1">
        <v>5</v>
      </c>
      <c r="BV24" s="1">
        <v>2</v>
      </c>
      <c r="BW24" s="1">
        <v>0</v>
      </c>
      <c r="BX24" s="1">
        <v>1</v>
      </c>
      <c r="BY24" s="1">
        <v>0</v>
      </c>
      <c r="BZ24" s="1">
        <v>0</v>
      </c>
      <c r="CA24" s="1">
        <v>1</v>
      </c>
      <c r="CB24" s="1">
        <v>0</v>
      </c>
      <c r="CC24" s="1">
        <v>0</v>
      </c>
      <c r="CD24" s="1">
        <v>0</v>
      </c>
      <c r="CE24" s="1">
        <v>0</v>
      </c>
      <c r="CF24" s="1">
        <v>1</v>
      </c>
      <c r="CG24" s="1">
        <v>0</v>
      </c>
      <c r="CH24" s="1">
        <v>0</v>
      </c>
      <c r="CI24" s="1">
        <v>0</v>
      </c>
      <c r="CJ24" s="1">
        <v>4</v>
      </c>
      <c r="CK24" s="1">
        <v>3</v>
      </c>
      <c r="CL24" s="1">
        <v>3</v>
      </c>
      <c r="CM24" s="1">
        <v>3</v>
      </c>
      <c r="CN24" s="1">
        <v>3</v>
      </c>
      <c r="CO24" s="1">
        <v>3</v>
      </c>
      <c r="CP24" s="1">
        <v>3</v>
      </c>
      <c r="CU24" s="1">
        <v>4</v>
      </c>
    </row>
    <row r="25" spans="1:99" x14ac:dyDescent="0.35">
      <c r="A25" s="1" t="s">
        <v>811</v>
      </c>
      <c r="B25" s="1">
        <v>181221058</v>
      </c>
      <c r="C25" s="1">
        <v>1</v>
      </c>
      <c r="D25" s="1">
        <v>1</v>
      </c>
      <c r="E25" s="1">
        <v>1</v>
      </c>
      <c r="F25" s="1">
        <v>1</v>
      </c>
      <c r="G25" s="1">
        <v>1</v>
      </c>
      <c r="H25" s="1">
        <v>1</v>
      </c>
      <c r="I25" s="1">
        <v>1</v>
      </c>
      <c r="J25" s="1">
        <v>1</v>
      </c>
      <c r="K25" s="1">
        <v>0</v>
      </c>
      <c r="L25" s="1">
        <v>0</v>
      </c>
      <c r="M25" s="1">
        <v>0</v>
      </c>
      <c r="N25" s="1">
        <v>0</v>
      </c>
      <c r="O25" s="1">
        <v>0</v>
      </c>
      <c r="P25" s="1">
        <v>5</v>
      </c>
      <c r="Q25" s="1">
        <v>7</v>
      </c>
      <c r="R25" s="1">
        <v>4</v>
      </c>
      <c r="S25" s="1">
        <v>3</v>
      </c>
      <c r="T25" s="1">
        <v>3</v>
      </c>
      <c r="U25" s="1">
        <v>4</v>
      </c>
      <c r="V25" s="1">
        <v>2</v>
      </c>
      <c r="W25" s="1">
        <v>4</v>
      </c>
      <c r="X25" s="1">
        <v>4</v>
      </c>
      <c r="Y25" s="1">
        <v>3</v>
      </c>
      <c r="Z25" s="1">
        <v>4</v>
      </c>
      <c r="AA25" s="1">
        <v>3</v>
      </c>
      <c r="AC25" s="1">
        <v>1</v>
      </c>
      <c r="AD25" s="1">
        <v>4</v>
      </c>
      <c r="AF25" s="3">
        <v>3125455</v>
      </c>
      <c r="AG25" s="1">
        <v>13</v>
      </c>
      <c r="AT25" s="1" t="s">
        <v>812</v>
      </c>
      <c r="BP25" s="1">
        <v>3</v>
      </c>
      <c r="BQ25" s="1" t="s">
        <v>813</v>
      </c>
      <c r="BR25" s="1" t="s">
        <v>814</v>
      </c>
      <c r="BT25" s="1" t="s">
        <v>79</v>
      </c>
      <c r="BU25" s="1">
        <v>5</v>
      </c>
      <c r="BV25" s="1">
        <v>2</v>
      </c>
      <c r="BW25" s="1">
        <v>0</v>
      </c>
      <c r="BX25" s="1">
        <v>0</v>
      </c>
      <c r="BY25" s="1">
        <v>0</v>
      </c>
      <c r="BZ25" s="1">
        <v>0</v>
      </c>
      <c r="CA25" s="1">
        <v>0</v>
      </c>
      <c r="CB25" s="1">
        <v>0</v>
      </c>
      <c r="CC25" s="1">
        <v>0</v>
      </c>
      <c r="CD25" s="1">
        <v>0</v>
      </c>
      <c r="CE25" s="1">
        <v>0</v>
      </c>
      <c r="CF25" s="1">
        <v>0</v>
      </c>
      <c r="CG25" s="1">
        <v>1</v>
      </c>
      <c r="CH25" s="1">
        <v>1</v>
      </c>
      <c r="CI25" s="1">
        <v>0</v>
      </c>
      <c r="CJ25" s="1">
        <v>4</v>
      </c>
      <c r="CK25" s="1">
        <v>2</v>
      </c>
      <c r="CL25" s="1">
        <v>3</v>
      </c>
      <c r="CM25" s="1">
        <v>3</v>
      </c>
      <c r="CN25" s="1">
        <v>3</v>
      </c>
      <c r="CO25" s="1">
        <v>3</v>
      </c>
      <c r="CP25" s="1">
        <v>3</v>
      </c>
      <c r="CU25" s="1">
        <v>1</v>
      </c>
    </row>
    <row r="26" spans="1:99" x14ac:dyDescent="0.35">
      <c r="A26" s="1" t="s">
        <v>3616</v>
      </c>
      <c r="B26" s="1">
        <v>181221008</v>
      </c>
    </row>
    <row r="27" spans="1:99" x14ac:dyDescent="0.35">
      <c r="A27" s="1" t="s">
        <v>3617</v>
      </c>
      <c r="B27" s="1">
        <v>181221013</v>
      </c>
    </row>
    <row r="28" spans="1:99" x14ac:dyDescent="0.35">
      <c r="A28" s="1" t="s">
        <v>3618</v>
      </c>
      <c r="B28" s="1">
        <v>181221015</v>
      </c>
    </row>
    <row r="29" spans="1:99" x14ac:dyDescent="0.35">
      <c r="A29" s="1" t="s">
        <v>3619</v>
      </c>
      <c r="B29" s="1">
        <v>181221017</v>
      </c>
    </row>
    <row r="30" spans="1:99" x14ac:dyDescent="0.35">
      <c r="A30" s="1" t="s">
        <v>3620</v>
      </c>
      <c r="B30" s="1">
        <v>181221021</v>
      </c>
    </row>
    <row r="31" spans="1:99" x14ac:dyDescent="0.35">
      <c r="A31" s="1" t="s">
        <v>3621</v>
      </c>
      <c r="B31" s="1">
        <v>181221023</v>
      </c>
    </row>
    <row r="32" spans="1:99" x14ac:dyDescent="0.35">
      <c r="A32" s="1" t="s">
        <v>3622</v>
      </c>
      <c r="B32" s="1">
        <v>181221025</v>
      </c>
    </row>
    <row r="33" spans="1:2" x14ac:dyDescent="0.35">
      <c r="A33" s="1" t="s">
        <v>3623</v>
      </c>
      <c r="B33" s="1">
        <v>181221026</v>
      </c>
    </row>
    <row r="34" spans="1:2" x14ac:dyDescent="0.35">
      <c r="A34" s="1" t="s">
        <v>3624</v>
      </c>
      <c r="B34" s="1">
        <v>181221029</v>
      </c>
    </row>
    <row r="35" spans="1:2" x14ac:dyDescent="0.35">
      <c r="A35" s="1" t="s">
        <v>3625</v>
      </c>
      <c r="B35" s="1">
        <v>181221030</v>
      </c>
    </row>
    <row r="36" spans="1:2" x14ac:dyDescent="0.35">
      <c r="A36" s="1" t="s">
        <v>3626</v>
      </c>
      <c r="B36" s="1">
        <v>181221035</v>
      </c>
    </row>
    <row r="37" spans="1:2" x14ac:dyDescent="0.35">
      <c r="A37" s="1" t="s">
        <v>3627</v>
      </c>
      <c r="B37" s="1">
        <v>181221037</v>
      </c>
    </row>
    <row r="38" spans="1:2" x14ac:dyDescent="0.35">
      <c r="A38" s="1" t="s">
        <v>3628</v>
      </c>
      <c r="B38" s="1">
        <v>181221038</v>
      </c>
    </row>
    <row r="39" spans="1:2" x14ac:dyDescent="0.35">
      <c r="A39" s="1" t="s">
        <v>3629</v>
      </c>
      <c r="B39" s="1">
        <v>181221039</v>
      </c>
    </row>
    <row r="40" spans="1:2" x14ac:dyDescent="0.35">
      <c r="A40" s="1" t="s">
        <v>3630</v>
      </c>
      <c r="B40" s="1">
        <v>181221041</v>
      </c>
    </row>
    <row r="41" spans="1:2" x14ac:dyDescent="0.35">
      <c r="A41" s="1" t="s">
        <v>3631</v>
      </c>
      <c r="B41" s="1">
        <v>181221043</v>
      </c>
    </row>
    <row r="42" spans="1:2" x14ac:dyDescent="0.35">
      <c r="A42" s="1" t="s">
        <v>3632</v>
      </c>
      <c r="B42" s="1">
        <v>181221044</v>
      </c>
    </row>
    <row r="43" spans="1:2" x14ac:dyDescent="0.35">
      <c r="A43" s="1" t="s">
        <v>3633</v>
      </c>
      <c r="B43" s="1">
        <v>181221045</v>
      </c>
    </row>
    <row r="44" spans="1:2" x14ac:dyDescent="0.35">
      <c r="A44" s="1" t="s">
        <v>3634</v>
      </c>
      <c r="B44" s="1">
        <v>181221046</v>
      </c>
    </row>
    <row r="45" spans="1:2" x14ac:dyDescent="0.35">
      <c r="A45" s="1" t="s">
        <v>3635</v>
      </c>
      <c r="B45" s="1">
        <v>181221053</v>
      </c>
    </row>
    <row r="46" spans="1:2" x14ac:dyDescent="0.35">
      <c r="A46" s="1" t="s">
        <v>3636</v>
      </c>
      <c r="B46" s="1">
        <v>181221054</v>
      </c>
    </row>
    <row r="47" spans="1:2" x14ac:dyDescent="0.35">
      <c r="A47" s="1" t="s">
        <v>3637</v>
      </c>
      <c r="B47" s="1">
        <v>181221056</v>
      </c>
    </row>
    <row r="48" spans="1:2" x14ac:dyDescent="0.35">
      <c r="A48" s="1" t="s">
        <v>3638</v>
      </c>
      <c r="B48" s="1">
        <v>181221059</v>
      </c>
    </row>
    <row r="49" spans="1:2" x14ac:dyDescent="0.35">
      <c r="A49" s="1" t="s">
        <v>3639</v>
      </c>
      <c r="B49" s="1">
        <v>181221060</v>
      </c>
    </row>
    <row r="50" spans="1:2" x14ac:dyDescent="0.35">
      <c r="A50" s="1" t="s">
        <v>4307</v>
      </c>
      <c r="B50" s="1">
        <v>181221001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AD11CC-E4B0-4B62-9BFB-7D872ED32A4E}">
  <dimension ref="A1:CU28"/>
  <sheetViews>
    <sheetView topLeftCell="CT1" zoomScale="55" zoomScaleNormal="55" workbookViewId="0">
      <pane ySplit="1" topLeftCell="A2" activePane="bottomLeft" state="frozen"/>
      <selection pane="bottomLeft" activeCell="CU11" sqref="CU11"/>
    </sheetView>
  </sheetViews>
  <sheetFormatPr defaultColWidth="8.90625" defaultRowHeight="14.5" x14ac:dyDescent="0.35"/>
  <cols>
    <col min="1" max="1" width="50.26953125" style="1" bestFit="1" customWidth="1"/>
    <col min="2" max="2" width="10" style="1" customWidth="1"/>
    <col min="3" max="9" width="64.08984375" style="1" bestFit="1" customWidth="1"/>
    <col min="10" max="14" width="65.08984375" style="1" bestFit="1" customWidth="1"/>
    <col min="15" max="15" width="67.54296875" style="1" bestFit="1" customWidth="1"/>
    <col min="16" max="16" width="110" style="1" bestFit="1" customWidth="1"/>
    <col min="17" max="17" width="63.90625" style="1" bestFit="1" customWidth="1"/>
    <col min="18" max="18" width="73" style="1" bestFit="1" customWidth="1"/>
    <col min="19" max="19" width="25" style="1" bestFit="1" customWidth="1"/>
    <col min="20" max="20" width="41.26953125" style="1" bestFit="1" customWidth="1"/>
    <col min="21" max="21" width="67.08984375" style="1" bestFit="1" customWidth="1"/>
    <col min="22" max="22" width="90.453125" style="1" bestFit="1" customWidth="1"/>
    <col min="23" max="23" width="74.90625" style="1" bestFit="1" customWidth="1"/>
    <col min="24" max="24" width="89.36328125" style="1" bestFit="1" customWidth="1"/>
    <col min="25" max="25" width="72.453125" style="1" bestFit="1" customWidth="1"/>
    <col min="26" max="26" width="75.1796875" style="1" bestFit="1" customWidth="1"/>
    <col min="27" max="27" width="79" style="1" bestFit="1" customWidth="1"/>
    <col min="28" max="28" width="43.08984375" style="1" bestFit="1" customWidth="1"/>
    <col min="29" max="29" width="73.1796875" style="1" bestFit="1" customWidth="1"/>
    <col min="30" max="30" width="43.36328125" style="1" bestFit="1" customWidth="1"/>
    <col min="31" max="31" width="50.54296875" style="1" bestFit="1" customWidth="1"/>
    <col min="32" max="32" width="120.26953125" style="1" bestFit="1" customWidth="1"/>
    <col min="33" max="33" width="39.08984375" style="1" bestFit="1" customWidth="1"/>
    <col min="34" max="35" width="45.7265625" style="1" bestFit="1" customWidth="1"/>
    <col min="36" max="37" width="46.1796875" style="1" bestFit="1" customWidth="1"/>
    <col min="38" max="38" width="45.7265625" style="1" bestFit="1" customWidth="1"/>
    <col min="39" max="52" width="46.1796875" style="1" bestFit="1" customWidth="1"/>
    <col min="53" max="55" width="45.7265625" style="1" bestFit="1" customWidth="1"/>
    <col min="56" max="64" width="46.1796875" style="1" bestFit="1" customWidth="1"/>
    <col min="65" max="67" width="45.7265625" style="1" bestFit="1" customWidth="1"/>
    <col min="68" max="68" width="58.90625" style="1" bestFit="1" customWidth="1"/>
    <col min="69" max="69" width="43.26953125" style="1" bestFit="1" customWidth="1"/>
    <col min="70" max="70" width="45.36328125" style="1" bestFit="1" customWidth="1"/>
    <col min="71" max="71" width="45.26953125" style="1" bestFit="1" customWidth="1"/>
    <col min="72" max="72" width="55.453125" style="1" bestFit="1" customWidth="1"/>
    <col min="73" max="73" width="217.453125" style="1" bestFit="1" customWidth="1"/>
    <col min="74" max="74" width="65.08984375" style="1" bestFit="1" customWidth="1"/>
    <col min="75" max="83" width="117.26953125" style="1" bestFit="1" customWidth="1"/>
    <col min="84" max="86" width="118.26953125" style="1" bestFit="1" customWidth="1"/>
    <col min="87" max="87" width="120.7265625" style="1" bestFit="1" customWidth="1"/>
    <col min="88" max="88" width="76.6328125" style="1" bestFit="1" customWidth="1"/>
    <col min="89" max="89" width="100.26953125" style="1" bestFit="1" customWidth="1"/>
    <col min="90" max="90" width="84.36328125" style="1" bestFit="1" customWidth="1"/>
    <col min="91" max="91" width="98.6328125" style="1" bestFit="1" customWidth="1"/>
    <col min="92" max="92" width="81.90625" style="1" bestFit="1" customWidth="1"/>
    <col min="93" max="93" width="84.7265625" style="1" bestFit="1" customWidth="1"/>
    <col min="94" max="94" width="88.54296875" style="1" bestFit="1" customWidth="1"/>
    <col min="95" max="95" width="40.54296875" style="1" bestFit="1" customWidth="1"/>
    <col min="96" max="96" width="53.36328125" style="1" bestFit="1" customWidth="1"/>
    <col min="97" max="97" width="23.90625" style="1" bestFit="1" customWidth="1"/>
    <col min="98" max="98" width="24.7265625" style="1" bestFit="1" customWidth="1"/>
    <col min="99" max="99" width="51.90625" style="1" bestFit="1" customWidth="1"/>
    <col min="100" max="16384" width="8.90625" style="1"/>
  </cols>
  <sheetData>
    <row r="1" spans="1:99" s="6" customFormat="1" x14ac:dyDescent="0.35">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6" t="s">
        <v>15</v>
      </c>
      <c r="Q1" s="6" t="s">
        <v>16</v>
      </c>
      <c r="R1" s="6" t="s">
        <v>17</v>
      </c>
      <c r="S1" s="6" t="s">
        <v>18</v>
      </c>
      <c r="T1" s="6" t="s">
        <v>19</v>
      </c>
      <c r="U1" s="6" t="s">
        <v>20</v>
      </c>
      <c r="V1" s="6" t="s">
        <v>21</v>
      </c>
      <c r="W1" s="6" t="s">
        <v>22</v>
      </c>
      <c r="X1" s="6" t="s">
        <v>23</v>
      </c>
      <c r="Y1" s="6" t="s">
        <v>24</v>
      </c>
      <c r="Z1" s="6" t="s">
        <v>25</v>
      </c>
      <c r="AA1" s="6" t="s">
        <v>26</v>
      </c>
      <c r="AB1" s="6" t="s">
        <v>27</v>
      </c>
      <c r="AC1" s="6" t="s">
        <v>28</v>
      </c>
      <c r="AD1" s="6" t="s">
        <v>29</v>
      </c>
      <c r="AE1" s="6" t="s">
        <v>30</v>
      </c>
      <c r="AF1" s="6" t="s">
        <v>31</v>
      </c>
      <c r="AG1" s="6" t="s">
        <v>32</v>
      </c>
      <c r="AH1" s="6" t="s">
        <v>33</v>
      </c>
      <c r="AI1" s="6" t="s">
        <v>33</v>
      </c>
      <c r="AJ1" s="6" t="s">
        <v>34</v>
      </c>
      <c r="AK1" s="6" t="s">
        <v>34</v>
      </c>
      <c r="AL1" s="6" t="s">
        <v>33</v>
      </c>
      <c r="AM1" s="6" t="s">
        <v>34</v>
      </c>
      <c r="AN1" s="6" t="s">
        <v>34</v>
      </c>
      <c r="AO1" s="6" t="s">
        <v>34</v>
      </c>
      <c r="AP1" s="6" t="s">
        <v>34</v>
      </c>
      <c r="AQ1" s="6" t="s">
        <v>34</v>
      </c>
      <c r="AR1" s="6" t="s">
        <v>34</v>
      </c>
      <c r="AS1" s="6" t="s">
        <v>34</v>
      </c>
      <c r="AT1" s="6" t="s">
        <v>34</v>
      </c>
      <c r="AU1" s="6" t="s">
        <v>34</v>
      </c>
      <c r="AV1" s="6" t="s">
        <v>34</v>
      </c>
      <c r="AW1" s="6" t="s">
        <v>34</v>
      </c>
      <c r="AX1" s="6" t="s">
        <v>34</v>
      </c>
      <c r="AY1" s="6" t="s">
        <v>34</v>
      </c>
      <c r="AZ1" s="6" t="s">
        <v>34</v>
      </c>
      <c r="BA1" s="6" t="s">
        <v>33</v>
      </c>
      <c r="BB1" s="6" t="s">
        <v>33</v>
      </c>
      <c r="BC1" s="6" t="s">
        <v>33</v>
      </c>
      <c r="BD1" s="6" t="s">
        <v>34</v>
      </c>
      <c r="BE1" s="6" t="s">
        <v>34</v>
      </c>
      <c r="BF1" s="6" t="s">
        <v>34</v>
      </c>
      <c r="BG1" s="6" t="s">
        <v>34</v>
      </c>
      <c r="BH1" s="6" t="s">
        <v>34</v>
      </c>
      <c r="BI1" s="6" t="s">
        <v>34</v>
      </c>
      <c r="BJ1" s="6" t="s">
        <v>34</v>
      </c>
      <c r="BK1" s="6" t="s">
        <v>34</v>
      </c>
      <c r="BL1" s="6" t="s">
        <v>34</v>
      </c>
      <c r="BM1" s="6" t="s">
        <v>33</v>
      </c>
      <c r="BN1" s="6" t="s">
        <v>33</v>
      </c>
      <c r="BO1" s="6" t="s">
        <v>33</v>
      </c>
      <c r="BP1" s="6" t="s">
        <v>35</v>
      </c>
      <c r="BQ1" s="6" t="s">
        <v>36</v>
      </c>
      <c r="BR1" s="6" t="s">
        <v>37</v>
      </c>
      <c r="BS1" s="6" t="s">
        <v>38</v>
      </c>
      <c r="BT1" s="6" t="s">
        <v>39</v>
      </c>
      <c r="BU1" s="6" t="s">
        <v>40</v>
      </c>
      <c r="BV1" s="6" t="s">
        <v>41</v>
      </c>
      <c r="BW1" s="6" t="s">
        <v>42</v>
      </c>
      <c r="BX1" s="6" t="s">
        <v>43</v>
      </c>
      <c r="BY1" s="6" t="s">
        <v>44</v>
      </c>
      <c r="BZ1" s="6" t="s">
        <v>45</v>
      </c>
      <c r="CA1" s="6" t="s">
        <v>46</v>
      </c>
      <c r="CB1" s="6" t="s">
        <v>47</v>
      </c>
      <c r="CC1" s="6" t="s">
        <v>48</v>
      </c>
      <c r="CD1" s="6" t="s">
        <v>49</v>
      </c>
      <c r="CE1" s="6" t="s">
        <v>50</v>
      </c>
      <c r="CF1" s="6" t="s">
        <v>51</v>
      </c>
      <c r="CG1" s="6" t="s">
        <v>52</v>
      </c>
      <c r="CH1" s="6" t="s">
        <v>53</v>
      </c>
      <c r="CI1" s="6" t="s">
        <v>54</v>
      </c>
      <c r="CJ1" s="6" t="s">
        <v>55</v>
      </c>
      <c r="CK1" s="6" t="s">
        <v>56</v>
      </c>
      <c r="CL1" s="6" t="s">
        <v>57</v>
      </c>
      <c r="CM1" s="6" t="s">
        <v>58</v>
      </c>
      <c r="CN1" s="6" t="s">
        <v>59</v>
      </c>
      <c r="CO1" s="6" t="s">
        <v>60</v>
      </c>
      <c r="CP1" s="6" t="s">
        <v>61</v>
      </c>
      <c r="CQ1" s="6" t="s">
        <v>62</v>
      </c>
      <c r="CR1" s="6" t="s">
        <v>63</v>
      </c>
      <c r="CS1" s="6" t="s">
        <v>64</v>
      </c>
      <c r="CT1" s="6" t="s">
        <v>65</v>
      </c>
      <c r="CU1" s="6" t="s">
        <v>66</v>
      </c>
    </row>
    <row r="2" spans="1:99" x14ac:dyDescent="0.35">
      <c r="A2" s="1" t="s">
        <v>815</v>
      </c>
      <c r="B2" s="1">
        <v>161354032</v>
      </c>
      <c r="C2" s="1">
        <v>0</v>
      </c>
      <c r="D2" s="1">
        <v>1</v>
      </c>
      <c r="E2" s="1">
        <v>0</v>
      </c>
      <c r="F2" s="1">
        <v>0</v>
      </c>
      <c r="G2" s="1">
        <v>0</v>
      </c>
      <c r="H2" s="1">
        <v>0</v>
      </c>
      <c r="I2" s="1">
        <v>0</v>
      </c>
      <c r="J2" s="1">
        <v>0</v>
      </c>
      <c r="K2" s="1">
        <v>0</v>
      </c>
      <c r="L2" s="1">
        <v>0</v>
      </c>
      <c r="M2" s="1">
        <v>1</v>
      </c>
      <c r="N2" s="1">
        <v>0</v>
      </c>
      <c r="O2" s="1">
        <v>0</v>
      </c>
      <c r="P2" s="1" t="s">
        <v>816</v>
      </c>
      <c r="Q2" s="1" t="s">
        <v>817</v>
      </c>
      <c r="R2" s="1" t="s">
        <v>817</v>
      </c>
      <c r="S2" s="1">
        <v>5</v>
      </c>
      <c r="T2" s="1">
        <v>3</v>
      </c>
      <c r="U2" s="1">
        <v>4</v>
      </c>
      <c r="V2" s="1">
        <v>3</v>
      </c>
      <c r="W2" s="1">
        <v>3</v>
      </c>
      <c r="X2" s="1">
        <v>4</v>
      </c>
      <c r="Y2" s="1">
        <v>4</v>
      </c>
      <c r="Z2" s="1">
        <v>4</v>
      </c>
      <c r="AA2" s="1">
        <v>4</v>
      </c>
      <c r="CU2" s="1">
        <v>4</v>
      </c>
    </row>
    <row r="3" spans="1:99" x14ac:dyDescent="0.35">
      <c r="A3" s="1" t="s">
        <v>818</v>
      </c>
      <c r="B3" s="1">
        <v>171354004</v>
      </c>
      <c r="C3" s="1">
        <v>0</v>
      </c>
      <c r="D3" s="1">
        <v>1</v>
      </c>
      <c r="E3" s="1">
        <v>0</v>
      </c>
      <c r="F3" s="1">
        <v>0</v>
      </c>
      <c r="G3" s="1">
        <v>0</v>
      </c>
      <c r="H3" s="1">
        <v>0</v>
      </c>
      <c r="I3" s="1">
        <v>0</v>
      </c>
      <c r="J3" s="1">
        <v>0</v>
      </c>
      <c r="K3" s="1">
        <v>1</v>
      </c>
      <c r="L3" s="1">
        <v>0</v>
      </c>
      <c r="M3" s="1">
        <v>0</v>
      </c>
      <c r="N3" s="1">
        <v>0</v>
      </c>
      <c r="O3" s="1">
        <v>0</v>
      </c>
      <c r="P3" s="1">
        <v>48</v>
      </c>
      <c r="Q3" s="1">
        <v>12</v>
      </c>
      <c r="R3" s="1">
        <v>3</v>
      </c>
      <c r="S3" s="1">
        <v>1</v>
      </c>
      <c r="T3" s="1">
        <v>1</v>
      </c>
      <c r="U3" s="1">
        <v>3</v>
      </c>
      <c r="V3" s="1">
        <v>3</v>
      </c>
      <c r="W3" s="1">
        <v>2</v>
      </c>
      <c r="X3" s="1">
        <v>4</v>
      </c>
      <c r="Y3" s="1">
        <v>3</v>
      </c>
      <c r="Z3" s="1">
        <v>3</v>
      </c>
      <c r="AA3" s="1">
        <v>4</v>
      </c>
      <c r="AC3" s="1">
        <v>1</v>
      </c>
      <c r="AD3" s="1">
        <v>1</v>
      </c>
      <c r="AE3" s="1">
        <v>1</v>
      </c>
      <c r="AF3" s="3">
        <v>6500000</v>
      </c>
      <c r="AG3" s="1">
        <v>13</v>
      </c>
      <c r="AT3" s="1" t="s">
        <v>83</v>
      </c>
      <c r="BP3" s="1">
        <v>3</v>
      </c>
      <c r="BQ3" s="1" t="s">
        <v>819</v>
      </c>
      <c r="BR3" s="1" t="s">
        <v>820</v>
      </c>
      <c r="BS3" s="1" t="s">
        <v>821</v>
      </c>
      <c r="BT3" s="1" t="s">
        <v>73</v>
      </c>
      <c r="BU3" s="1">
        <v>1</v>
      </c>
      <c r="BV3" s="1">
        <v>2</v>
      </c>
      <c r="BW3" s="1">
        <v>1</v>
      </c>
      <c r="BX3" s="1">
        <v>0</v>
      </c>
      <c r="BY3" s="1">
        <v>0</v>
      </c>
      <c r="BZ3" s="1">
        <v>0</v>
      </c>
      <c r="CA3" s="1">
        <v>0</v>
      </c>
      <c r="CB3" s="1">
        <v>0</v>
      </c>
      <c r="CC3" s="1">
        <v>0</v>
      </c>
      <c r="CD3" s="1">
        <v>0</v>
      </c>
      <c r="CE3" s="1">
        <v>0</v>
      </c>
      <c r="CF3" s="1">
        <v>0</v>
      </c>
      <c r="CG3" s="1">
        <v>0</v>
      </c>
      <c r="CH3" s="1">
        <v>0</v>
      </c>
      <c r="CI3" s="1">
        <v>0</v>
      </c>
      <c r="CJ3" s="1">
        <v>4</v>
      </c>
      <c r="CK3" s="1">
        <v>4</v>
      </c>
      <c r="CL3" s="1">
        <v>4</v>
      </c>
      <c r="CM3" s="1">
        <v>4</v>
      </c>
      <c r="CN3" s="1">
        <v>4</v>
      </c>
      <c r="CO3" s="1">
        <v>4</v>
      </c>
      <c r="CP3" s="1">
        <v>4</v>
      </c>
      <c r="CU3" s="1">
        <v>1</v>
      </c>
    </row>
    <row r="4" spans="1:99" x14ac:dyDescent="0.35">
      <c r="A4" s="1" t="s">
        <v>822</v>
      </c>
      <c r="B4" s="1">
        <v>171354005</v>
      </c>
      <c r="C4" s="1">
        <v>1</v>
      </c>
      <c r="D4" s="1">
        <v>1</v>
      </c>
      <c r="E4" s="1">
        <v>0</v>
      </c>
      <c r="F4" s="1">
        <v>0</v>
      </c>
      <c r="G4" s="1">
        <v>0</v>
      </c>
      <c r="H4" s="1">
        <v>1</v>
      </c>
      <c r="I4" s="1">
        <v>0</v>
      </c>
      <c r="J4" s="1">
        <v>0</v>
      </c>
      <c r="K4" s="1">
        <v>0</v>
      </c>
      <c r="L4" s="1">
        <v>0</v>
      </c>
      <c r="M4" s="1">
        <v>0</v>
      </c>
      <c r="N4" s="1">
        <v>0</v>
      </c>
      <c r="O4" s="1">
        <v>0</v>
      </c>
      <c r="P4" s="1" t="s">
        <v>504</v>
      </c>
      <c r="Q4" s="1" t="s">
        <v>506</v>
      </c>
      <c r="R4" s="1" t="s">
        <v>823</v>
      </c>
      <c r="S4" s="1">
        <v>1</v>
      </c>
      <c r="T4" s="1">
        <v>1</v>
      </c>
      <c r="U4" s="1">
        <v>4</v>
      </c>
      <c r="V4" s="1">
        <v>3</v>
      </c>
      <c r="W4" s="1">
        <v>3</v>
      </c>
      <c r="X4" s="1">
        <v>3</v>
      </c>
      <c r="Y4" s="1">
        <v>4</v>
      </c>
      <c r="Z4" s="1">
        <v>4</v>
      </c>
      <c r="AA4" s="1">
        <v>4</v>
      </c>
      <c r="AC4" s="1">
        <v>2</v>
      </c>
      <c r="AE4" s="1">
        <v>6</v>
      </c>
      <c r="AF4" s="3">
        <v>6000000</v>
      </c>
      <c r="AG4" s="1">
        <v>12</v>
      </c>
      <c r="AS4" s="1" t="s">
        <v>824</v>
      </c>
      <c r="BP4" s="1">
        <v>3</v>
      </c>
      <c r="BQ4" s="1" t="s">
        <v>825</v>
      </c>
      <c r="BR4" s="1" t="s">
        <v>826</v>
      </c>
      <c r="BS4" s="1" t="s">
        <v>827</v>
      </c>
      <c r="BT4" s="1" t="s">
        <v>107</v>
      </c>
      <c r="BU4" s="1">
        <v>5</v>
      </c>
      <c r="BV4" s="1">
        <v>2</v>
      </c>
      <c r="BW4" s="1">
        <v>0</v>
      </c>
      <c r="BX4" s="1">
        <v>1</v>
      </c>
      <c r="BY4" s="1">
        <v>0</v>
      </c>
      <c r="BZ4" s="1">
        <v>0</v>
      </c>
      <c r="CA4" s="1">
        <v>0</v>
      </c>
      <c r="CB4" s="1">
        <v>1</v>
      </c>
      <c r="CC4" s="1">
        <v>0</v>
      </c>
      <c r="CD4" s="1">
        <v>0</v>
      </c>
      <c r="CE4" s="1">
        <v>0</v>
      </c>
      <c r="CF4" s="1">
        <v>0</v>
      </c>
      <c r="CG4" s="1">
        <v>0</v>
      </c>
      <c r="CH4" s="1">
        <v>0</v>
      </c>
      <c r="CI4" s="1">
        <v>0</v>
      </c>
      <c r="CJ4" s="1">
        <v>3</v>
      </c>
      <c r="CK4" s="1">
        <v>3</v>
      </c>
      <c r="CL4" s="1">
        <v>3</v>
      </c>
      <c r="CM4" s="1">
        <v>3</v>
      </c>
      <c r="CN4" s="1">
        <v>3</v>
      </c>
      <c r="CO4" s="1">
        <v>3</v>
      </c>
      <c r="CP4" s="1">
        <v>3</v>
      </c>
      <c r="CU4" s="1">
        <v>2</v>
      </c>
    </row>
    <row r="5" spans="1:99" x14ac:dyDescent="0.35">
      <c r="A5" s="1" t="s">
        <v>828</v>
      </c>
      <c r="B5" s="1">
        <v>171354006</v>
      </c>
      <c r="C5" s="1">
        <v>0</v>
      </c>
      <c r="D5" s="1">
        <v>1</v>
      </c>
      <c r="E5" s="1">
        <v>0</v>
      </c>
      <c r="F5" s="1">
        <v>0</v>
      </c>
      <c r="G5" s="1">
        <v>0</v>
      </c>
      <c r="H5" s="1">
        <v>1</v>
      </c>
      <c r="I5" s="1">
        <v>0</v>
      </c>
      <c r="J5" s="1">
        <v>1</v>
      </c>
      <c r="K5" s="1">
        <v>1</v>
      </c>
      <c r="L5" s="1">
        <v>0</v>
      </c>
      <c r="M5" s="1">
        <v>0</v>
      </c>
      <c r="N5" s="1">
        <v>0</v>
      </c>
      <c r="O5" s="1">
        <v>0</v>
      </c>
      <c r="P5" s="1">
        <v>10</v>
      </c>
      <c r="Q5" s="1">
        <v>10</v>
      </c>
      <c r="R5" s="1">
        <v>4</v>
      </c>
      <c r="S5" s="1">
        <v>1</v>
      </c>
      <c r="T5" s="1">
        <v>1</v>
      </c>
      <c r="U5" s="1">
        <v>4</v>
      </c>
      <c r="V5" s="1">
        <v>4</v>
      </c>
      <c r="W5" s="1">
        <v>3</v>
      </c>
      <c r="X5" s="1">
        <v>4</v>
      </c>
      <c r="Y5" s="1">
        <v>4</v>
      </c>
      <c r="Z5" s="1">
        <v>4</v>
      </c>
      <c r="AA5" s="1">
        <v>4</v>
      </c>
      <c r="AC5" s="1">
        <v>1</v>
      </c>
      <c r="AD5" s="1">
        <v>3</v>
      </c>
      <c r="AF5" s="3">
        <v>6000000</v>
      </c>
      <c r="AG5" s="1">
        <v>13</v>
      </c>
      <c r="AT5" s="1" t="s">
        <v>829</v>
      </c>
      <c r="BP5" s="1">
        <v>3</v>
      </c>
      <c r="BQ5" s="1" t="s">
        <v>830</v>
      </c>
      <c r="BR5" s="1" t="s">
        <v>831</v>
      </c>
      <c r="BS5" s="1" t="s">
        <v>832</v>
      </c>
      <c r="BT5" s="1" t="s">
        <v>73</v>
      </c>
      <c r="BU5" s="1">
        <v>2</v>
      </c>
      <c r="BV5" s="1">
        <v>3</v>
      </c>
      <c r="BW5" s="1">
        <v>0</v>
      </c>
      <c r="BX5" s="1">
        <v>1</v>
      </c>
      <c r="BY5" s="1">
        <v>0</v>
      </c>
      <c r="BZ5" s="1">
        <v>0</v>
      </c>
      <c r="CA5" s="1">
        <v>0</v>
      </c>
      <c r="CB5" s="1">
        <v>0</v>
      </c>
      <c r="CC5" s="1">
        <v>0</v>
      </c>
      <c r="CD5" s="1">
        <v>0</v>
      </c>
      <c r="CE5" s="1">
        <v>0</v>
      </c>
      <c r="CF5" s="1">
        <v>0</v>
      </c>
      <c r="CG5" s="1">
        <v>0</v>
      </c>
      <c r="CH5" s="1">
        <v>0</v>
      </c>
      <c r="CI5" s="1">
        <v>0</v>
      </c>
      <c r="CJ5" s="1">
        <v>4</v>
      </c>
      <c r="CK5" s="1">
        <v>4</v>
      </c>
      <c r="CL5" s="1">
        <v>3</v>
      </c>
      <c r="CM5" s="1">
        <v>4</v>
      </c>
      <c r="CN5" s="1">
        <v>4</v>
      </c>
      <c r="CO5" s="1">
        <v>4</v>
      </c>
      <c r="CP5" s="1">
        <v>4</v>
      </c>
      <c r="CU5" s="1">
        <v>4</v>
      </c>
    </row>
    <row r="6" spans="1:99" x14ac:dyDescent="0.35">
      <c r="A6" s="1" t="s">
        <v>833</v>
      </c>
      <c r="B6" s="1">
        <v>171354007</v>
      </c>
      <c r="C6" s="1">
        <v>0</v>
      </c>
      <c r="D6" s="1">
        <v>1</v>
      </c>
      <c r="E6" s="1">
        <v>0</v>
      </c>
      <c r="F6" s="1">
        <v>0</v>
      </c>
      <c r="G6" s="1">
        <v>0</v>
      </c>
      <c r="H6" s="1">
        <v>1</v>
      </c>
      <c r="I6" s="1">
        <v>0</v>
      </c>
      <c r="J6" s="1">
        <v>1</v>
      </c>
      <c r="K6" s="1">
        <v>1</v>
      </c>
      <c r="L6" s="1">
        <v>0</v>
      </c>
      <c r="M6" s="1">
        <v>0</v>
      </c>
      <c r="N6" s="1">
        <v>0</v>
      </c>
      <c r="O6" s="1">
        <v>0</v>
      </c>
      <c r="P6" s="1">
        <v>25</v>
      </c>
      <c r="Q6" s="1">
        <v>7</v>
      </c>
      <c r="R6" s="1">
        <v>3</v>
      </c>
      <c r="S6" s="1">
        <v>1</v>
      </c>
      <c r="T6" s="1">
        <v>1</v>
      </c>
      <c r="U6" s="1">
        <v>4</v>
      </c>
      <c r="V6" s="1">
        <v>3</v>
      </c>
      <c r="W6" s="1">
        <v>4</v>
      </c>
      <c r="X6" s="1">
        <v>4</v>
      </c>
      <c r="Y6" s="1">
        <v>4</v>
      </c>
      <c r="Z6" s="1">
        <v>4</v>
      </c>
      <c r="AA6" s="1">
        <v>4</v>
      </c>
      <c r="AC6" s="1">
        <v>2</v>
      </c>
      <c r="AE6" s="1">
        <v>3</v>
      </c>
      <c r="AF6" s="3">
        <v>7800000</v>
      </c>
      <c r="AG6" s="1">
        <v>11</v>
      </c>
      <c r="AR6" s="1" t="s">
        <v>130</v>
      </c>
      <c r="BP6" s="1">
        <v>3</v>
      </c>
      <c r="BQ6" s="1" t="s">
        <v>834</v>
      </c>
      <c r="BR6" s="1" t="s">
        <v>835</v>
      </c>
      <c r="BS6" s="1" t="s">
        <v>836</v>
      </c>
      <c r="BT6" s="1" t="s">
        <v>73</v>
      </c>
      <c r="BU6" s="1">
        <v>2</v>
      </c>
      <c r="BV6" s="1">
        <v>2</v>
      </c>
      <c r="BW6" s="1">
        <v>1</v>
      </c>
      <c r="BX6" s="1">
        <v>0</v>
      </c>
      <c r="BY6" s="1">
        <v>0</v>
      </c>
      <c r="BZ6" s="1">
        <v>0</v>
      </c>
      <c r="CA6" s="1">
        <v>0</v>
      </c>
      <c r="CB6" s="1">
        <v>0</v>
      </c>
      <c r="CC6" s="1">
        <v>0</v>
      </c>
      <c r="CD6" s="1">
        <v>0</v>
      </c>
      <c r="CE6" s="1">
        <v>0</v>
      </c>
      <c r="CF6" s="1">
        <v>0</v>
      </c>
      <c r="CG6" s="1">
        <v>0</v>
      </c>
      <c r="CH6" s="1">
        <v>0</v>
      </c>
      <c r="CI6" s="1">
        <v>0</v>
      </c>
      <c r="CJ6" s="1">
        <v>4</v>
      </c>
      <c r="CK6" s="1">
        <v>4</v>
      </c>
      <c r="CL6" s="1">
        <v>4</v>
      </c>
      <c r="CM6" s="1">
        <v>4</v>
      </c>
      <c r="CN6" s="1">
        <v>4</v>
      </c>
      <c r="CO6" s="1">
        <v>4</v>
      </c>
      <c r="CP6" s="1">
        <v>4</v>
      </c>
      <c r="CU6" s="1">
        <v>1</v>
      </c>
    </row>
    <row r="7" spans="1:99" x14ac:dyDescent="0.35">
      <c r="A7" s="1" t="s">
        <v>837</v>
      </c>
      <c r="B7" s="1">
        <v>171354009</v>
      </c>
      <c r="C7" s="1">
        <v>1</v>
      </c>
      <c r="D7" s="1">
        <v>1</v>
      </c>
      <c r="E7" s="1">
        <v>0</v>
      </c>
      <c r="F7" s="1">
        <v>0</v>
      </c>
      <c r="G7" s="1">
        <v>0</v>
      </c>
      <c r="H7" s="1">
        <v>1</v>
      </c>
      <c r="I7" s="1">
        <v>0</v>
      </c>
      <c r="J7" s="1">
        <v>0</v>
      </c>
      <c r="K7" s="1">
        <v>0</v>
      </c>
      <c r="L7" s="1">
        <v>0</v>
      </c>
      <c r="M7" s="1">
        <v>0</v>
      </c>
      <c r="N7" s="1">
        <v>0</v>
      </c>
      <c r="O7" s="1">
        <v>0</v>
      </c>
      <c r="P7" s="1">
        <v>23</v>
      </c>
      <c r="Q7" s="1">
        <v>10</v>
      </c>
      <c r="R7" s="1">
        <v>5</v>
      </c>
      <c r="S7" s="1">
        <v>1</v>
      </c>
      <c r="T7" s="1">
        <v>3</v>
      </c>
      <c r="U7" s="1">
        <v>4</v>
      </c>
      <c r="V7" s="1">
        <v>3</v>
      </c>
      <c r="W7" s="1">
        <v>3</v>
      </c>
      <c r="X7" s="1">
        <v>3</v>
      </c>
      <c r="Y7" s="1">
        <v>3</v>
      </c>
      <c r="Z7" s="1">
        <v>4</v>
      </c>
      <c r="AA7" s="1">
        <v>3</v>
      </c>
      <c r="AC7" s="1">
        <v>2</v>
      </c>
      <c r="AE7" s="1">
        <v>7</v>
      </c>
      <c r="AF7" s="3">
        <v>5000000</v>
      </c>
      <c r="AG7" s="1">
        <v>13</v>
      </c>
      <c r="AT7" s="1" t="s">
        <v>86</v>
      </c>
      <c r="BP7" s="1">
        <v>3</v>
      </c>
      <c r="BQ7" s="1" t="s">
        <v>838</v>
      </c>
      <c r="BR7" s="1" t="s">
        <v>839</v>
      </c>
      <c r="BT7" s="1" t="s">
        <v>79</v>
      </c>
      <c r="BU7" s="1">
        <v>5</v>
      </c>
      <c r="BV7" s="1">
        <v>2</v>
      </c>
      <c r="BW7" s="1">
        <v>0</v>
      </c>
      <c r="BX7" s="1">
        <v>0</v>
      </c>
      <c r="BY7" s="1">
        <v>0</v>
      </c>
      <c r="BZ7" s="1">
        <v>0</v>
      </c>
      <c r="CA7" s="1">
        <v>0</v>
      </c>
      <c r="CB7" s="1">
        <v>0</v>
      </c>
      <c r="CC7" s="1">
        <v>0</v>
      </c>
      <c r="CD7" s="1">
        <v>0</v>
      </c>
      <c r="CE7" s="1">
        <v>1</v>
      </c>
      <c r="CF7" s="1">
        <v>1</v>
      </c>
      <c r="CG7" s="1">
        <v>0</v>
      </c>
      <c r="CH7" s="1">
        <v>1</v>
      </c>
      <c r="CI7" s="1">
        <v>0</v>
      </c>
      <c r="CJ7" s="1">
        <v>4</v>
      </c>
      <c r="CK7" s="1">
        <v>4</v>
      </c>
      <c r="CL7" s="1">
        <v>4</v>
      </c>
      <c r="CM7" s="1">
        <v>4</v>
      </c>
      <c r="CN7" s="1">
        <v>4</v>
      </c>
      <c r="CO7" s="1">
        <v>4</v>
      </c>
      <c r="CP7" s="1">
        <v>4</v>
      </c>
      <c r="CU7" s="1">
        <v>4</v>
      </c>
    </row>
    <row r="8" spans="1:99" x14ac:dyDescent="0.35">
      <c r="A8" s="1" t="s">
        <v>840</v>
      </c>
      <c r="B8" s="1">
        <v>171354010</v>
      </c>
      <c r="C8" s="1">
        <v>0</v>
      </c>
      <c r="D8" s="1">
        <v>1</v>
      </c>
      <c r="E8" s="1">
        <v>0</v>
      </c>
      <c r="F8" s="1">
        <v>0</v>
      </c>
      <c r="G8" s="1">
        <v>0</v>
      </c>
      <c r="H8" s="1">
        <v>0</v>
      </c>
      <c r="I8" s="1">
        <v>0</v>
      </c>
      <c r="J8" s="1">
        <v>1</v>
      </c>
      <c r="K8" s="1">
        <v>1</v>
      </c>
      <c r="L8" s="1">
        <v>0</v>
      </c>
      <c r="M8" s="1">
        <v>0</v>
      </c>
      <c r="N8" s="1">
        <v>0</v>
      </c>
      <c r="O8" s="1">
        <v>0</v>
      </c>
      <c r="P8" s="1" t="s">
        <v>841</v>
      </c>
      <c r="Q8" s="1" t="s">
        <v>841</v>
      </c>
      <c r="R8" s="1" t="s">
        <v>841</v>
      </c>
      <c r="S8" s="1">
        <v>1</v>
      </c>
      <c r="T8" s="1">
        <v>1</v>
      </c>
      <c r="U8" s="1">
        <v>4</v>
      </c>
      <c r="V8" s="1">
        <v>3</v>
      </c>
      <c r="W8" s="1">
        <v>2</v>
      </c>
      <c r="X8" s="1">
        <v>3</v>
      </c>
      <c r="Y8" s="1">
        <v>3</v>
      </c>
      <c r="Z8" s="1">
        <v>4</v>
      </c>
      <c r="AA8" s="1">
        <v>4</v>
      </c>
      <c r="AC8" s="1">
        <v>1</v>
      </c>
      <c r="AD8" s="1">
        <v>3</v>
      </c>
      <c r="AF8" s="3">
        <v>4750000</v>
      </c>
      <c r="AG8" s="1">
        <v>13</v>
      </c>
      <c r="AT8" s="1" t="s">
        <v>86</v>
      </c>
      <c r="BP8" s="1">
        <v>3</v>
      </c>
      <c r="BQ8" s="1" t="s">
        <v>842</v>
      </c>
      <c r="BR8" s="1" t="s">
        <v>843</v>
      </c>
      <c r="BS8" s="1" t="s">
        <v>844</v>
      </c>
      <c r="BT8" s="1" t="s">
        <v>79</v>
      </c>
      <c r="BU8" s="1">
        <v>2</v>
      </c>
      <c r="BV8" s="1">
        <v>2</v>
      </c>
      <c r="BW8" s="1">
        <v>0</v>
      </c>
      <c r="BX8" s="1">
        <v>1</v>
      </c>
      <c r="BY8" s="1">
        <v>0</v>
      </c>
      <c r="BZ8" s="1">
        <v>0</v>
      </c>
      <c r="CA8" s="1">
        <v>0</v>
      </c>
      <c r="CB8" s="1">
        <v>0</v>
      </c>
      <c r="CC8" s="1">
        <v>0</v>
      </c>
      <c r="CD8" s="1">
        <v>0</v>
      </c>
      <c r="CE8" s="1">
        <v>1</v>
      </c>
      <c r="CF8" s="1">
        <v>1</v>
      </c>
      <c r="CG8" s="1">
        <v>0</v>
      </c>
      <c r="CH8" s="1">
        <v>1</v>
      </c>
      <c r="CI8" s="1">
        <v>0</v>
      </c>
      <c r="CJ8" s="1">
        <v>4</v>
      </c>
      <c r="CK8" s="1">
        <v>4</v>
      </c>
      <c r="CL8" s="1">
        <v>4</v>
      </c>
      <c r="CM8" s="1">
        <v>4</v>
      </c>
      <c r="CN8" s="1">
        <v>4</v>
      </c>
      <c r="CO8" s="1">
        <v>4</v>
      </c>
      <c r="CP8" s="1">
        <v>4</v>
      </c>
      <c r="CU8" s="1">
        <v>2</v>
      </c>
    </row>
    <row r="9" spans="1:99" x14ac:dyDescent="0.35">
      <c r="A9" s="1" t="s">
        <v>845</v>
      </c>
      <c r="B9" s="1">
        <v>171354014</v>
      </c>
    </row>
    <row r="10" spans="1:99" x14ac:dyDescent="0.35">
      <c r="A10" s="1" t="s">
        <v>846</v>
      </c>
      <c r="B10" s="1">
        <v>171354015</v>
      </c>
      <c r="C10" s="1">
        <v>0</v>
      </c>
      <c r="D10" s="1">
        <v>1</v>
      </c>
      <c r="E10" s="1">
        <v>0</v>
      </c>
      <c r="F10" s="1">
        <v>0</v>
      </c>
      <c r="G10" s="1">
        <v>1</v>
      </c>
      <c r="H10" s="1">
        <v>0</v>
      </c>
      <c r="I10" s="1">
        <v>0</v>
      </c>
      <c r="J10" s="1">
        <v>0</v>
      </c>
      <c r="K10" s="1">
        <v>1</v>
      </c>
      <c r="L10" s="1">
        <v>0</v>
      </c>
      <c r="M10" s="1">
        <v>1</v>
      </c>
      <c r="N10" s="1">
        <v>0</v>
      </c>
      <c r="O10" s="1">
        <v>0</v>
      </c>
      <c r="P10" s="1" t="s">
        <v>722</v>
      </c>
      <c r="Q10" s="1" t="s">
        <v>847</v>
      </c>
      <c r="R10" s="1" t="s">
        <v>124</v>
      </c>
      <c r="S10" s="1">
        <v>1</v>
      </c>
      <c r="T10" s="1">
        <v>1</v>
      </c>
      <c r="U10" s="1">
        <v>3</v>
      </c>
      <c r="V10" s="1">
        <v>3</v>
      </c>
      <c r="W10" s="1">
        <v>2</v>
      </c>
      <c r="X10" s="1">
        <v>3</v>
      </c>
      <c r="Y10" s="1">
        <v>2</v>
      </c>
      <c r="Z10" s="1">
        <v>3</v>
      </c>
      <c r="AA10" s="1">
        <v>2</v>
      </c>
      <c r="AC10" s="1">
        <v>1</v>
      </c>
      <c r="AD10" s="1">
        <v>3</v>
      </c>
      <c r="AF10" s="3">
        <v>4600000</v>
      </c>
      <c r="AG10" s="1">
        <v>13</v>
      </c>
      <c r="AT10" s="1" t="s">
        <v>86</v>
      </c>
      <c r="BP10" s="1">
        <v>3</v>
      </c>
      <c r="BQ10" s="1" t="s">
        <v>848</v>
      </c>
      <c r="BR10" s="1" t="s">
        <v>849</v>
      </c>
      <c r="BS10" s="1" t="s">
        <v>850</v>
      </c>
      <c r="BT10" s="1" t="s">
        <v>79</v>
      </c>
      <c r="BU10" s="1">
        <v>2</v>
      </c>
      <c r="BV10" s="1">
        <v>2</v>
      </c>
      <c r="BW10" s="1">
        <v>0</v>
      </c>
      <c r="BX10" s="1">
        <v>1</v>
      </c>
      <c r="BY10" s="1">
        <v>0</v>
      </c>
      <c r="BZ10" s="1">
        <v>0</v>
      </c>
      <c r="CA10" s="1">
        <v>0</v>
      </c>
      <c r="CB10" s="1">
        <v>0</v>
      </c>
      <c r="CC10" s="1">
        <v>0</v>
      </c>
      <c r="CD10" s="1">
        <v>0</v>
      </c>
      <c r="CE10" s="1">
        <v>1</v>
      </c>
      <c r="CF10" s="1">
        <v>1</v>
      </c>
      <c r="CG10" s="1">
        <v>1</v>
      </c>
      <c r="CH10" s="1">
        <v>0</v>
      </c>
      <c r="CI10" s="1">
        <v>0</v>
      </c>
      <c r="CJ10" s="1">
        <v>4</v>
      </c>
      <c r="CK10" s="1">
        <v>4</v>
      </c>
      <c r="CL10" s="1">
        <v>3</v>
      </c>
      <c r="CM10" s="1">
        <v>3</v>
      </c>
      <c r="CN10" s="1">
        <v>4</v>
      </c>
      <c r="CO10" s="1">
        <v>4</v>
      </c>
      <c r="CP10" s="1">
        <v>4</v>
      </c>
      <c r="CU10" s="1">
        <v>4</v>
      </c>
    </row>
    <row r="11" spans="1:99" x14ac:dyDescent="0.35">
      <c r="A11" s="1" t="s">
        <v>851</v>
      </c>
      <c r="B11" s="1">
        <v>171354016</v>
      </c>
      <c r="C11" s="1">
        <v>0</v>
      </c>
      <c r="D11" s="1">
        <v>1</v>
      </c>
      <c r="E11" s="1">
        <v>1</v>
      </c>
      <c r="F11" s="1">
        <v>0</v>
      </c>
      <c r="G11" s="1">
        <v>0</v>
      </c>
      <c r="H11" s="1">
        <v>0</v>
      </c>
      <c r="I11" s="1">
        <v>0</v>
      </c>
      <c r="J11" s="1">
        <v>0</v>
      </c>
      <c r="K11" s="1">
        <v>0</v>
      </c>
      <c r="L11" s="1">
        <v>0</v>
      </c>
      <c r="M11" s="1">
        <v>0</v>
      </c>
      <c r="N11" s="1">
        <v>0</v>
      </c>
      <c r="O11" s="1">
        <v>0</v>
      </c>
      <c r="P11" s="1">
        <v>10</v>
      </c>
      <c r="Q11" s="1">
        <v>1</v>
      </c>
      <c r="R11" s="1">
        <v>4</v>
      </c>
      <c r="S11" s="1">
        <v>1</v>
      </c>
      <c r="T11" s="1">
        <v>1</v>
      </c>
      <c r="U11" s="1">
        <v>3</v>
      </c>
      <c r="V11" s="1">
        <v>3</v>
      </c>
      <c r="W11" s="1">
        <v>3</v>
      </c>
      <c r="X11" s="1">
        <v>3</v>
      </c>
      <c r="Y11" s="1">
        <v>3</v>
      </c>
      <c r="Z11" s="1">
        <v>3</v>
      </c>
      <c r="AA11" s="1">
        <v>3</v>
      </c>
      <c r="AC11" s="1">
        <v>1</v>
      </c>
      <c r="AD11" s="1">
        <v>0</v>
      </c>
      <c r="AF11" s="3">
        <v>5000000</v>
      </c>
      <c r="AG11" s="1">
        <v>13</v>
      </c>
      <c r="AT11" s="1" t="s">
        <v>83</v>
      </c>
      <c r="BP11" s="1">
        <v>3</v>
      </c>
      <c r="BQ11" s="1" t="s">
        <v>852</v>
      </c>
      <c r="BR11" s="1" t="s">
        <v>853</v>
      </c>
      <c r="BS11" s="1" t="s">
        <v>854</v>
      </c>
      <c r="BT11" s="1" t="s">
        <v>73</v>
      </c>
      <c r="BU11" s="1">
        <v>2</v>
      </c>
      <c r="BV11" s="1">
        <v>2</v>
      </c>
      <c r="BW11" s="1">
        <v>1</v>
      </c>
      <c r="BX11" s="1">
        <v>0</v>
      </c>
      <c r="BY11" s="1">
        <v>0</v>
      </c>
      <c r="BZ11" s="1">
        <v>0</v>
      </c>
      <c r="CA11" s="1">
        <v>0</v>
      </c>
      <c r="CB11" s="1">
        <v>0</v>
      </c>
      <c r="CC11" s="1">
        <v>0</v>
      </c>
      <c r="CD11" s="1">
        <v>0</v>
      </c>
      <c r="CE11" s="1">
        <v>0</v>
      </c>
      <c r="CF11" s="1">
        <v>0</v>
      </c>
      <c r="CG11" s="1">
        <v>0</v>
      </c>
      <c r="CH11" s="1">
        <v>0</v>
      </c>
      <c r="CI11" s="1">
        <v>0</v>
      </c>
      <c r="CJ11" s="1">
        <v>4</v>
      </c>
      <c r="CK11" s="1">
        <v>4</v>
      </c>
      <c r="CL11" s="1">
        <v>4</v>
      </c>
      <c r="CM11" s="1">
        <v>4</v>
      </c>
      <c r="CN11" s="1">
        <v>4</v>
      </c>
      <c r="CO11" s="1">
        <v>4</v>
      </c>
      <c r="CP11" s="1">
        <v>4</v>
      </c>
      <c r="CU11" s="1">
        <v>1</v>
      </c>
    </row>
    <row r="12" spans="1:99" x14ac:dyDescent="0.35">
      <c r="A12" s="1" t="s">
        <v>855</v>
      </c>
      <c r="B12" s="1">
        <v>171354017</v>
      </c>
      <c r="C12" s="1">
        <v>0</v>
      </c>
      <c r="D12" s="1">
        <v>1</v>
      </c>
      <c r="E12" s="1">
        <v>0</v>
      </c>
      <c r="F12" s="1">
        <v>0</v>
      </c>
      <c r="G12" s="1">
        <v>0</v>
      </c>
      <c r="H12" s="1">
        <v>1</v>
      </c>
      <c r="I12" s="1">
        <v>0</v>
      </c>
      <c r="J12" s="1">
        <v>0</v>
      </c>
      <c r="K12" s="1">
        <v>1</v>
      </c>
      <c r="L12" s="1">
        <v>0</v>
      </c>
      <c r="M12" s="1">
        <v>0</v>
      </c>
      <c r="N12" s="1">
        <v>0</v>
      </c>
      <c r="O12" s="1">
        <v>0</v>
      </c>
      <c r="P12" s="1">
        <v>20</v>
      </c>
      <c r="Q12" s="1">
        <v>16</v>
      </c>
      <c r="R12" s="1">
        <v>10</v>
      </c>
      <c r="S12" s="1">
        <v>1</v>
      </c>
      <c r="T12" s="1">
        <v>1</v>
      </c>
      <c r="U12" s="1">
        <v>4</v>
      </c>
      <c r="V12" s="1">
        <v>3</v>
      </c>
      <c r="W12" s="1">
        <v>3</v>
      </c>
      <c r="X12" s="1">
        <v>4</v>
      </c>
      <c r="Y12" s="1">
        <v>4</v>
      </c>
      <c r="Z12" s="1">
        <v>4</v>
      </c>
      <c r="AA12" s="1">
        <v>4</v>
      </c>
      <c r="AC12" s="1">
        <v>2</v>
      </c>
      <c r="AE12" s="1">
        <v>7</v>
      </c>
      <c r="AF12" s="3">
        <v>5500000</v>
      </c>
      <c r="AG12" s="1">
        <v>11</v>
      </c>
      <c r="AR12" s="1" t="s">
        <v>239</v>
      </c>
      <c r="BP12" s="1">
        <v>3</v>
      </c>
      <c r="BQ12" s="1" t="s">
        <v>856</v>
      </c>
      <c r="BR12" s="1" t="s">
        <v>857</v>
      </c>
      <c r="BS12" s="1" t="s">
        <v>858</v>
      </c>
      <c r="BT12" s="1" t="s">
        <v>79</v>
      </c>
      <c r="BU12" s="1">
        <v>3</v>
      </c>
      <c r="BV12" s="1">
        <v>3</v>
      </c>
      <c r="BW12" s="1">
        <v>0</v>
      </c>
      <c r="BX12" s="1">
        <v>0</v>
      </c>
      <c r="BY12" s="1">
        <v>0</v>
      </c>
      <c r="BZ12" s="1">
        <v>0</v>
      </c>
      <c r="CA12" s="1">
        <v>0</v>
      </c>
      <c r="CB12" s="1">
        <v>0</v>
      </c>
      <c r="CC12" s="1">
        <v>0</v>
      </c>
      <c r="CD12" s="1">
        <v>1</v>
      </c>
      <c r="CE12" s="1">
        <v>0</v>
      </c>
      <c r="CF12" s="1">
        <v>0</v>
      </c>
      <c r="CG12" s="1">
        <v>0</v>
      </c>
      <c r="CH12" s="1">
        <v>0</v>
      </c>
      <c r="CI12" s="1">
        <v>0</v>
      </c>
      <c r="CJ12" s="1">
        <v>4</v>
      </c>
      <c r="CK12" s="1">
        <v>3</v>
      </c>
      <c r="CL12" s="1">
        <v>3</v>
      </c>
      <c r="CM12" s="1">
        <v>4</v>
      </c>
      <c r="CN12" s="1">
        <v>4</v>
      </c>
      <c r="CO12" s="1">
        <v>4</v>
      </c>
      <c r="CP12" s="1">
        <v>3</v>
      </c>
      <c r="CU12" s="1">
        <v>1</v>
      </c>
    </row>
    <row r="13" spans="1:99" x14ac:dyDescent="0.35">
      <c r="A13" s="1" t="s">
        <v>859</v>
      </c>
      <c r="B13" s="1">
        <v>171354018</v>
      </c>
      <c r="C13" s="1">
        <v>0</v>
      </c>
      <c r="D13" s="1">
        <v>1</v>
      </c>
      <c r="E13" s="1">
        <v>0</v>
      </c>
      <c r="F13" s="1">
        <v>0</v>
      </c>
      <c r="G13" s="1">
        <v>0</v>
      </c>
      <c r="H13" s="1">
        <v>1</v>
      </c>
      <c r="I13" s="1">
        <v>0</v>
      </c>
      <c r="J13" s="1">
        <v>0</v>
      </c>
      <c r="K13" s="1">
        <v>1</v>
      </c>
      <c r="L13" s="1">
        <v>0</v>
      </c>
      <c r="M13" s="1">
        <v>0</v>
      </c>
      <c r="N13" s="1">
        <v>0</v>
      </c>
      <c r="O13" s="1">
        <v>0</v>
      </c>
      <c r="P13" s="1">
        <v>7</v>
      </c>
      <c r="Q13" s="1">
        <v>4</v>
      </c>
      <c r="R13" s="1">
        <v>3</v>
      </c>
      <c r="S13" s="1">
        <v>1</v>
      </c>
      <c r="T13" s="1">
        <v>1</v>
      </c>
      <c r="U13" s="1">
        <v>4</v>
      </c>
      <c r="V13" s="1">
        <v>3</v>
      </c>
      <c r="W13" s="1">
        <v>3</v>
      </c>
      <c r="X13" s="1">
        <v>3</v>
      </c>
      <c r="Y13" s="1">
        <v>4</v>
      </c>
      <c r="Z13" s="1">
        <v>4</v>
      </c>
      <c r="AA13" s="1">
        <v>3</v>
      </c>
      <c r="AC13" s="1">
        <v>1</v>
      </c>
      <c r="AD13" s="1">
        <v>2</v>
      </c>
      <c r="AF13" s="3">
        <v>5000000</v>
      </c>
      <c r="AG13" s="1">
        <v>13</v>
      </c>
      <c r="AT13" s="1" t="s">
        <v>86</v>
      </c>
      <c r="BP13" s="1">
        <v>1</v>
      </c>
      <c r="BQ13" s="1" t="s">
        <v>860</v>
      </c>
      <c r="BR13" s="1" t="s">
        <v>861</v>
      </c>
      <c r="BT13" s="1" t="s">
        <v>107</v>
      </c>
      <c r="BU13" s="1">
        <v>3</v>
      </c>
      <c r="BV13" s="1">
        <v>2</v>
      </c>
      <c r="BW13" s="1">
        <v>1</v>
      </c>
      <c r="BX13" s="1">
        <v>1</v>
      </c>
      <c r="BY13" s="1">
        <v>0</v>
      </c>
      <c r="BZ13" s="1">
        <v>0</v>
      </c>
      <c r="CA13" s="1">
        <v>0</v>
      </c>
      <c r="CB13" s="1">
        <v>0</v>
      </c>
      <c r="CC13" s="1">
        <v>0</v>
      </c>
      <c r="CD13" s="1">
        <v>0</v>
      </c>
      <c r="CE13" s="1">
        <v>0</v>
      </c>
      <c r="CF13" s="1">
        <v>1</v>
      </c>
      <c r="CG13" s="1">
        <v>0</v>
      </c>
      <c r="CH13" s="1">
        <v>0</v>
      </c>
      <c r="CI13" s="1">
        <v>0</v>
      </c>
      <c r="CJ13" s="1">
        <v>4</v>
      </c>
      <c r="CK13" s="1">
        <v>4</v>
      </c>
      <c r="CL13" s="1">
        <v>4</v>
      </c>
      <c r="CM13" s="1">
        <v>4</v>
      </c>
      <c r="CN13" s="1">
        <v>4</v>
      </c>
      <c r="CO13" s="1">
        <v>4</v>
      </c>
      <c r="CP13" s="1">
        <v>4</v>
      </c>
      <c r="CU13" s="1">
        <v>2</v>
      </c>
    </row>
    <row r="14" spans="1:99" x14ac:dyDescent="0.35">
      <c r="A14" s="1" t="s">
        <v>862</v>
      </c>
      <c r="B14" s="1">
        <v>171354020</v>
      </c>
      <c r="C14" s="1">
        <v>1</v>
      </c>
      <c r="D14" s="1">
        <v>1</v>
      </c>
      <c r="E14" s="1">
        <v>0</v>
      </c>
      <c r="F14" s="1">
        <v>0</v>
      </c>
      <c r="G14" s="1">
        <v>0</v>
      </c>
      <c r="H14" s="1">
        <v>0</v>
      </c>
      <c r="I14" s="1">
        <v>0</v>
      </c>
      <c r="J14" s="1">
        <v>0</v>
      </c>
      <c r="K14" s="1">
        <v>1</v>
      </c>
      <c r="L14" s="1">
        <v>0</v>
      </c>
      <c r="M14" s="1">
        <v>0</v>
      </c>
      <c r="N14" s="1">
        <v>0</v>
      </c>
      <c r="O14" s="1">
        <v>0</v>
      </c>
      <c r="P14" s="1" t="s">
        <v>863</v>
      </c>
      <c r="Q14" s="1" t="s">
        <v>864</v>
      </c>
      <c r="R14" s="1">
        <v>4</v>
      </c>
      <c r="S14" s="1">
        <v>1</v>
      </c>
      <c r="T14" s="1">
        <v>1</v>
      </c>
      <c r="U14" s="1">
        <v>4</v>
      </c>
      <c r="V14" s="1">
        <v>3</v>
      </c>
      <c r="W14" s="1">
        <v>3</v>
      </c>
      <c r="X14" s="1">
        <v>3</v>
      </c>
      <c r="Y14" s="1">
        <v>2</v>
      </c>
      <c r="Z14" s="1">
        <v>3</v>
      </c>
      <c r="AA14" s="1">
        <v>3</v>
      </c>
      <c r="AC14" s="1">
        <v>2</v>
      </c>
      <c r="AE14" s="1">
        <v>12</v>
      </c>
      <c r="AF14" s="3">
        <v>4200000</v>
      </c>
      <c r="AG14" s="1">
        <v>11</v>
      </c>
      <c r="AR14" s="1" t="s">
        <v>130</v>
      </c>
      <c r="BP14" s="1">
        <v>3</v>
      </c>
      <c r="BQ14" s="1" t="s">
        <v>865</v>
      </c>
      <c r="BR14" s="1" t="s">
        <v>866</v>
      </c>
      <c r="BS14" s="1" t="s">
        <v>867</v>
      </c>
      <c r="BT14" s="1" t="s">
        <v>79</v>
      </c>
      <c r="BU14" s="1">
        <v>3</v>
      </c>
      <c r="BV14" s="1">
        <v>2</v>
      </c>
      <c r="BW14" s="1">
        <v>0</v>
      </c>
      <c r="BX14" s="1">
        <v>1</v>
      </c>
      <c r="BY14" s="1">
        <v>1</v>
      </c>
      <c r="BZ14" s="1">
        <v>0</v>
      </c>
      <c r="CA14" s="1">
        <v>0</v>
      </c>
      <c r="CB14" s="1">
        <v>0</v>
      </c>
      <c r="CC14" s="1">
        <v>1</v>
      </c>
      <c r="CD14" s="1">
        <v>0</v>
      </c>
      <c r="CE14" s="1">
        <v>0</v>
      </c>
      <c r="CF14" s="1">
        <v>0</v>
      </c>
      <c r="CG14" s="1">
        <v>0</v>
      </c>
      <c r="CH14" s="1">
        <v>0</v>
      </c>
      <c r="CI14" s="1">
        <v>0</v>
      </c>
      <c r="CJ14" s="1">
        <v>4</v>
      </c>
      <c r="CK14" s="1">
        <v>4</v>
      </c>
      <c r="CL14" s="1">
        <v>3</v>
      </c>
      <c r="CM14" s="1">
        <v>4</v>
      </c>
      <c r="CN14" s="1">
        <v>4</v>
      </c>
      <c r="CO14" s="1">
        <v>4</v>
      </c>
      <c r="CP14" s="1">
        <v>4</v>
      </c>
      <c r="CU14" s="1">
        <v>1</v>
      </c>
    </row>
    <row r="15" spans="1:99" x14ac:dyDescent="0.35">
      <c r="A15" s="1" t="s">
        <v>868</v>
      </c>
      <c r="B15" s="1">
        <v>171354023</v>
      </c>
      <c r="C15" s="1">
        <v>0</v>
      </c>
      <c r="D15" s="1">
        <v>1</v>
      </c>
      <c r="E15" s="1">
        <v>1</v>
      </c>
      <c r="F15" s="1">
        <v>0</v>
      </c>
      <c r="G15" s="1">
        <v>0</v>
      </c>
      <c r="H15" s="1">
        <v>0</v>
      </c>
      <c r="I15" s="1">
        <v>0</v>
      </c>
      <c r="J15" s="1">
        <v>1</v>
      </c>
      <c r="K15" s="1">
        <v>1</v>
      </c>
      <c r="L15" s="1">
        <v>0</v>
      </c>
      <c r="M15" s="1">
        <v>0</v>
      </c>
      <c r="N15" s="1">
        <v>0</v>
      </c>
      <c r="O15" s="1">
        <v>0</v>
      </c>
      <c r="P15" s="1">
        <v>56</v>
      </c>
      <c r="Q15" s="1">
        <v>30</v>
      </c>
      <c r="R15" s="1">
        <v>7</v>
      </c>
      <c r="S15" s="1">
        <v>1</v>
      </c>
      <c r="T15" s="1">
        <v>1</v>
      </c>
      <c r="U15" s="1">
        <v>3</v>
      </c>
      <c r="V15" s="1">
        <v>4</v>
      </c>
      <c r="W15" s="1">
        <v>2</v>
      </c>
      <c r="X15" s="1">
        <v>4</v>
      </c>
      <c r="Y15" s="1">
        <v>4</v>
      </c>
      <c r="Z15" s="1">
        <v>4</v>
      </c>
      <c r="AA15" s="1">
        <v>4</v>
      </c>
      <c r="AC15" s="1">
        <v>2</v>
      </c>
      <c r="AE15" s="1">
        <v>1</v>
      </c>
      <c r="AF15" s="3">
        <v>5500000</v>
      </c>
      <c r="AG15" s="1">
        <v>13</v>
      </c>
      <c r="AT15" s="1" t="s">
        <v>83</v>
      </c>
      <c r="BP15" s="1">
        <v>3</v>
      </c>
      <c r="BQ15" s="1" t="s">
        <v>869</v>
      </c>
      <c r="BR15" s="1" t="s">
        <v>870</v>
      </c>
      <c r="BS15" s="1" t="s">
        <v>871</v>
      </c>
      <c r="BT15" s="1" t="s">
        <v>73</v>
      </c>
      <c r="BU15" s="1">
        <v>2</v>
      </c>
      <c r="BV15" s="1">
        <v>2</v>
      </c>
      <c r="BW15" s="1">
        <v>1</v>
      </c>
      <c r="BX15" s="1">
        <v>0</v>
      </c>
      <c r="BY15" s="1">
        <v>0</v>
      </c>
      <c r="BZ15" s="1">
        <v>0</v>
      </c>
      <c r="CA15" s="1">
        <v>0</v>
      </c>
      <c r="CB15" s="1">
        <v>0</v>
      </c>
      <c r="CC15" s="1">
        <v>0</v>
      </c>
      <c r="CD15" s="1">
        <v>0</v>
      </c>
      <c r="CE15" s="1">
        <v>0</v>
      </c>
      <c r="CF15" s="1">
        <v>0</v>
      </c>
      <c r="CG15" s="1">
        <v>0</v>
      </c>
      <c r="CH15" s="1">
        <v>0</v>
      </c>
      <c r="CI15" s="1">
        <v>0</v>
      </c>
      <c r="CJ15" s="1">
        <v>4</v>
      </c>
      <c r="CK15" s="1">
        <v>4</v>
      </c>
      <c r="CL15" s="1">
        <v>3</v>
      </c>
      <c r="CM15" s="1">
        <v>4</v>
      </c>
      <c r="CN15" s="1">
        <v>3</v>
      </c>
      <c r="CO15" s="1">
        <v>3</v>
      </c>
      <c r="CP15" s="1">
        <v>4</v>
      </c>
      <c r="CU15" s="1">
        <v>1</v>
      </c>
    </row>
    <row r="16" spans="1:99" x14ac:dyDescent="0.35">
      <c r="A16" s="1" t="s">
        <v>872</v>
      </c>
      <c r="B16" s="1">
        <v>171354024</v>
      </c>
      <c r="C16" s="1">
        <v>0</v>
      </c>
      <c r="D16" s="1">
        <v>1</v>
      </c>
      <c r="E16" s="1">
        <v>1</v>
      </c>
      <c r="F16" s="1">
        <v>0</v>
      </c>
      <c r="G16" s="1">
        <v>0</v>
      </c>
      <c r="H16" s="1">
        <v>1</v>
      </c>
      <c r="I16" s="1">
        <v>0</v>
      </c>
      <c r="J16" s="1">
        <v>1</v>
      </c>
      <c r="K16" s="1">
        <v>1</v>
      </c>
      <c r="L16" s="1">
        <v>0</v>
      </c>
      <c r="M16" s="1">
        <v>0</v>
      </c>
      <c r="N16" s="1">
        <v>0</v>
      </c>
      <c r="O16" s="1">
        <v>0</v>
      </c>
      <c r="P16" s="1">
        <v>35</v>
      </c>
      <c r="Q16" s="1">
        <v>10</v>
      </c>
      <c r="R16" s="1">
        <v>10</v>
      </c>
      <c r="S16" s="1">
        <v>1</v>
      </c>
      <c r="T16" s="1">
        <v>1</v>
      </c>
      <c r="U16" s="1">
        <v>4</v>
      </c>
      <c r="V16" s="1">
        <v>3</v>
      </c>
      <c r="W16" s="1">
        <v>3</v>
      </c>
      <c r="X16" s="1">
        <v>4</v>
      </c>
      <c r="Y16" s="1">
        <v>4</v>
      </c>
      <c r="Z16" s="1">
        <v>4</v>
      </c>
      <c r="AA16" s="1">
        <v>4</v>
      </c>
      <c r="AC16" s="1">
        <v>2</v>
      </c>
      <c r="AE16" s="1">
        <v>7</v>
      </c>
      <c r="AF16" s="3">
        <v>4950000</v>
      </c>
      <c r="AG16" s="1">
        <v>13</v>
      </c>
      <c r="AT16" s="1" t="s">
        <v>829</v>
      </c>
      <c r="BP16" s="1">
        <v>3</v>
      </c>
      <c r="BQ16" s="1" t="s">
        <v>830</v>
      </c>
      <c r="BR16" s="1" t="s">
        <v>873</v>
      </c>
      <c r="BS16" s="1" t="s">
        <v>874</v>
      </c>
      <c r="BT16" s="1" t="s">
        <v>73</v>
      </c>
      <c r="BU16" s="1">
        <v>2</v>
      </c>
      <c r="BV16" s="1">
        <v>3</v>
      </c>
      <c r="BW16" s="1">
        <v>0</v>
      </c>
      <c r="BX16" s="1">
        <v>1</v>
      </c>
      <c r="BY16" s="1">
        <v>0</v>
      </c>
      <c r="BZ16" s="1">
        <v>0</v>
      </c>
      <c r="CA16" s="1">
        <v>0</v>
      </c>
      <c r="CB16" s="1">
        <v>0</v>
      </c>
      <c r="CC16" s="1">
        <v>0</v>
      </c>
      <c r="CD16" s="1">
        <v>0</v>
      </c>
      <c r="CE16" s="1">
        <v>1</v>
      </c>
      <c r="CF16" s="1">
        <v>0</v>
      </c>
      <c r="CG16" s="1">
        <v>0</v>
      </c>
      <c r="CH16" s="1">
        <v>0</v>
      </c>
      <c r="CI16" s="1">
        <v>0</v>
      </c>
      <c r="CJ16" s="1">
        <v>4</v>
      </c>
      <c r="CK16" s="1">
        <v>4</v>
      </c>
      <c r="CL16" s="1">
        <v>2</v>
      </c>
      <c r="CM16" s="1">
        <v>4</v>
      </c>
      <c r="CN16" s="1">
        <v>4</v>
      </c>
      <c r="CO16" s="1">
        <v>4</v>
      </c>
      <c r="CP16" s="1">
        <v>4</v>
      </c>
      <c r="CU16" s="1">
        <v>1</v>
      </c>
    </row>
    <row r="17" spans="1:99" x14ac:dyDescent="0.35">
      <c r="A17" s="1" t="s">
        <v>875</v>
      </c>
      <c r="B17" s="1">
        <v>171354025</v>
      </c>
      <c r="C17" s="1">
        <v>0</v>
      </c>
      <c r="D17" s="1">
        <v>1</v>
      </c>
      <c r="E17" s="1">
        <v>0</v>
      </c>
      <c r="F17" s="1">
        <v>0</v>
      </c>
      <c r="G17" s="1">
        <v>0</v>
      </c>
      <c r="H17" s="1">
        <v>0</v>
      </c>
      <c r="I17" s="1">
        <v>0</v>
      </c>
      <c r="J17" s="1">
        <v>0</v>
      </c>
      <c r="K17" s="1">
        <v>0</v>
      </c>
      <c r="L17" s="1">
        <v>0</v>
      </c>
      <c r="M17" s="1">
        <v>0</v>
      </c>
      <c r="N17" s="1">
        <v>0</v>
      </c>
      <c r="O17" s="1">
        <v>0</v>
      </c>
      <c r="P17" s="1">
        <v>20</v>
      </c>
      <c r="Q17" s="1">
        <v>15</v>
      </c>
      <c r="R17" s="1">
        <v>10</v>
      </c>
      <c r="S17" s="1">
        <v>1</v>
      </c>
      <c r="T17" s="1">
        <v>1</v>
      </c>
      <c r="U17" s="1">
        <v>4</v>
      </c>
      <c r="V17" s="1">
        <v>3</v>
      </c>
      <c r="W17" s="1">
        <v>2</v>
      </c>
      <c r="X17" s="1">
        <v>3</v>
      </c>
      <c r="Y17" s="1">
        <v>4</v>
      </c>
      <c r="Z17" s="1">
        <v>4</v>
      </c>
      <c r="AA17" s="1">
        <v>3</v>
      </c>
      <c r="AC17" s="1">
        <v>1</v>
      </c>
      <c r="AD17" s="1">
        <v>4</v>
      </c>
      <c r="AF17" s="3">
        <v>6200000</v>
      </c>
      <c r="AG17" s="1">
        <v>13</v>
      </c>
      <c r="AT17" s="1" t="s">
        <v>402</v>
      </c>
      <c r="BP17" s="1">
        <v>3</v>
      </c>
      <c r="BQ17" s="1" t="s">
        <v>876</v>
      </c>
      <c r="BR17" s="1" t="s">
        <v>877</v>
      </c>
      <c r="BS17" s="1" t="s">
        <v>878</v>
      </c>
      <c r="BT17" s="1" t="s">
        <v>79</v>
      </c>
      <c r="BU17" s="1">
        <v>4</v>
      </c>
      <c r="BV17" s="1">
        <v>2</v>
      </c>
      <c r="BW17" s="1">
        <v>0</v>
      </c>
      <c r="BX17" s="1">
        <v>1</v>
      </c>
      <c r="BY17" s="1">
        <v>0</v>
      </c>
      <c r="BZ17" s="1">
        <v>0</v>
      </c>
      <c r="CA17" s="1">
        <v>0</v>
      </c>
      <c r="CB17" s="1">
        <v>0</v>
      </c>
      <c r="CC17" s="1">
        <v>0</v>
      </c>
      <c r="CD17" s="1">
        <v>0</v>
      </c>
      <c r="CE17" s="1">
        <v>0</v>
      </c>
      <c r="CF17" s="1">
        <v>0</v>
      </c>
      <c r="CG17" s="1">
        <v>0</v>
      </c>
      <c r="CH17" s="1">
        <v>1</v>
      </c>
      <c r="CI17" s="1">
        <v>0</v>
      </c>
      <c r="CJ17" s="1">
        <v>4</v>
      </c>
      <c r="CK17" s="1">
        <v>2</v>
      </c>
      <c r="CL17" s="1">
        <v>2</v>
      </c>
      <c r="CM17" s="1">
        <v>3</v>
      </c>
      <c r="CN17" s="1">
        <v>3</v>
      </c>
      <c r="CO17" s="1">
        <v>4</v>
      </c>
      <c r="CP17" s="1">
        <v>4</v>
      </c>
      <c r="CU17" s="1">
        <v>4</v>
      </c>
    </row>
    <row r="18" spans="1:99" x14ac:dyDescent="0.35">
      <c r="A18" s="1" t="s">
        <v>879</v>
      </c>
      <c r="B18" s="1">
        <v>171354026</v>
      </c>
      <c r="C18" s="1">
        <v>0</v>
      </c>
      <c r="D18" s="1">
        <v>1</v>
      </c>
      <c r="E18" s="1">
        <v>0</v>
      </c>
      <c r="F18" s="1">
        <v>0</v>
      </c>
      <c r="G18" s="1">
        <v>0</v>
      </c>
      <c r="H18" s="1">
        <v>0</v>
      </c>
      <c r="I18" s="1">
        <v>0</v>
      </c>
      <c r="J18" s="1">
        <v>0</v>
      </c>
      <c r="K18" s="1">
        <v>0</v>
      </c>
      <c r="L18" s="1">
        <v>0</v>
      </c>
      <c r="M18" s="1">
        <v>0</v>
      </c>
      <c r="N18" s="1">
        <v>0</v>
      </c>
      <c r="O18" s="1">
        <v>0</v>
      </c>
      <c r="P18" s="1">
        <v>75</v>
      </c>
      <c r="Q18" s="1">
        <v>10</v>
      </c>
      <c r="R18" s="1">
        <v>10</v>
      </c>
      <c r="S18" s="1">
        <v>3</v>
      </c>
      <c r="T18" s="1">
        <v>1</v>
      </c>
      <c r="U18" s="1">
        <v>3</v>
      </c>
      <c r="V18" s="1">
        <v>3</v>
      </c>
      <c r="W18" s="1">
        <v>3</v>
      </c>
      <c r="X18" s="1">
        <v>3</v>
      </c>
      <c r="Y18" s="1">
        <v>3</v>
      </c>
      <c r="Z18" s="1">
        <v>3</v>
      </c>
      <c r="AA18" s="1">
        <v>3</v>
      </c>
      <c r="AB18" s="1">
        <v>3</v>
      </c>
      <c r="AC18" s="1">
        <v>1</v>
      </c>
      <c r="AD18" s="1">
        <v>3</v>
      </c>
      <c r="AF18" s="3">
        <v>4500000</v>
      </c>
      <c r="AG18" s="1">
        <v>13</v>
      </c>
      <c r="AT18" s="1" t="s">
        <v>86</v>
      </c>
      <c r="BP18" s="1">
        <v>3</v>
      </c>
      <c r="BQ18" s="1" t="s">
        <v>880</v>
      </c>
      <c r="BR18" s="1" t="s">
        <v>881</v>
      </c>
      <c r="BS18" s="1" t="s">
        <v>882</v>
      </c>
      <c r="BT18" s="1" t="s">
        <v>107</v>
      </c>
      <c r="BU18" s="1">
        <v>2</v>
      </c>
      <c r="BV18" s="1">
        <v>2</v>
      </c>
      <c r="BW18" s="1">
        <v>1</v>
      </c>
      <c r="BX18" s="1">
        <v>0</v>
      </c>
      <c r="BY18" s="1">
        <v>0</v>
      </c>
      <c r="BZ18" s="1">
        <v>0</v>
      </c>
      <c r="CA18" s="1">
        <v>0</v>
      </c>
      <c r="CB18" s="1">
        <v>0</v>
      </c>
      <c r="CC18" s="1">
        <v>0</v>
      </c>
      <c r="CD18" s="1">
        <v>0</v>
      </c>
      <c r="CE18" s="1">
        <v>0</v>
      </c>
      <c r="CF18" s="1">
        <v>0</v>
      </c>
      <c r="CG18" s="1">
        <v>0</v>
      </c>
      <c r="CH18" s="1">
        <v>0</v>
      </c>
      <c r="CI18" s="1">
        <v>0</v>
      </c>
      <c r="CJ18" s="1">
        <v>3</v>
      </c>
      <c r="CK18" s="1">
        <v>3</v>
      </c>
      <c r="CL18" s="1">
        <v>3</v>
      </c>
      <c r="CM18" s="1">
        <v>3</v>
      </c>
      <c r="CN18" s="1">
        <v>3</v>
      </c>
      <c r="CO18" s="1">
        <v>3</v>
      </c>
      <c r="CP18" s="1">
        <v>3</v>
      </c>
      <c r="CU18" s="1">
        <v>1</v>
      </c>
    </row>
    <row r="19" spans="1:99" x14ac:dyDescent="0.35">
      <c r="A19" s="1" t="s">
        <v>883</v>
      </c>
      <c r="B19" s="1">
        <v>171354028</v>
      </c>
      <c r="C19" s="1">
        <v>0</v>
      </c>
      <c r="D19" s="1">
        <v>1</v>
      </c>
      <c r="E19" s="1">
        <v>0</v>
      </c>
      <c r="F19" s="1">
        <v>0</v>
      </c>
      <c r="G19" s="1">
        <v>0</v>
      </c>
      <c r="H19" s="1">
        <v>0</v>
      </c>
      <c r="I19" s="1">
        <v>0</v>
      </c>
      <c r="J19" s="1">
        <v>0</v>
      </c>
      <c r="K19" s="1">
        <v>1</v>
      </c>
      <c r="L19" s="1">
        <v>0</v>
      </c>
      <c r="M19" s="1">
        <v>0</v>
      </c>
      <c r="N19" s="1">
        <v>0</v>
      </c>
      <c r="O19" s="1">
        <v>0</v>
      </c>
      <c r="P19" s="1">
        <v>15</v>
      </c>
      <c r="Q19" s="1">
        <v>10</v>
      </c>
      <c r="R19" s="1">
        <v>7</v>
      </c>
      <c r="S19" s="1">
        <v>1</v>
      </c>
      <c r="T19" s="1">
        <v>1</v>
      </c>
      <c r="U19" s="1">
        <v>4</v>
      </c>
      <c r="V19" s="1">
        <v>4</v>
      </c>
      <c r="W19" s="1">
        <v>3</v>
      </c>
      <c r="X19" s="1">
        <v>4</v>
      </c>
      <c r="Y19" s="1">
        <v>3</v>
      </c>
      <c r="Z19" s="1">
        <v>4</v>
      </c>
      <c r="AA19" s="1">
        <v>4</v>
      </c>
      <c r="AC19" s="1">
        <v>2</v>
      </c>
      <c r="AE19" s="1">
        <v>9</v>
      </c>
      <c r="AF19" s="3">
        <v>4500000</v>
      </c>
      <c r="AG19" s="1">
        <v>11</v>
      </c>
      <c r="AR19" s="1" t="s">
        <v>239</v>
      </c>
      <c r="BP19" s="1">
        <v>3</v>
      </c>
      <c r="BQ19" s="1" t="s">
        <v>884</v>
      </c>
      <c r="BR19" s="1" t="s">
        <v>885</v>
      </c>
      <c r="BS19" s="1" t="s">
        <v>886</v>
      </c>
      <c r="BT19" s="1" t="s">
        <v>79</v>
      </c>
      <c r="BU19" s="1">
        <v>3</v>
      </c>
      <c r="BV19" s="1">
        <v>3</v>
      </c>
      <c r="BW19" s="1">
        <v>0</v>
      </c>
      <c r="BX19" s="1">
        <v>1</v>
      </c>
      <c r="BY19" s="1">
        <v>0</v>
      </c>
      <c r="BZ19" s="1">
        <v>0</v>
      </c>
      <c r="CA19" s="1">
        <v>0</v>
      </c>
      <c r="CB19" s="1">
        <v>0</v>
      </c>
      <c r="CC19" s="1">
        <v>0</v>
      </c>
      <c r="CD19" s="1">
        <v>0</v>
      </c>
      <c r="CE19" s="1">
        <v>0</v>
      </c>
      <c r="CF19" s="1">
        <v>0</v>
      </c>
      <c r="CG19" s="1">
        <v>1</v>
      </c>
      <c r="CH19" s="1">
        <v>1</v>
      </c>
      <c r="CI19" s="1">
        <v>0</v>
      </c>
      <c r="CJ19" s="1">
        <v>4</v>
      </c>
      <c r="CK19" s="1">
        <v>3</v>
      </c>
      <c r="CL19" s="1">
        <v>2</v>
      </c>
      <c r="CM19" s="1">
        <v>4</v>
      </c>
      <c r="CN19" s="1">
        <v>4</v>
      </c>
      <c r="CO19" s="1">
        <v>4</v>
      </c>
      <c r="CP19" s="1">
        <v>2</v>
      </c>
      <c r="CU19" s="1">
        <v>1</v>
      </c>
    </row>
    <row r="20" spans="1:99" x14ac:dyDescent="0.35">
      <c r="A20" s="1" t="s">
        <v>887</v>
      </c>
      <c r="B20" s="1">
        <v>171354031</v>
      </c>
      <c r="C20" s="1">
        <v>0</v>
      </c>
      <c r="D20" s="1">
        <v>1</v>
      </c>
      <c r="E20" s="1">
        <v>0</v>
      </c>
      <c r="F20" s="1">
        <v>0</v>
      </c>
      <c r="G20" s="1">
        <v>0</v>
      </c>
      <c r="H20" s="1">
        <v>0</v>
      </c>
      <c r="I20" s="1">
        <v>0</v>
      </c>
      <c r="J20" s="1">
        <v>1</v>
      </c>
      <c r="K20" s="1">
        <v>1</v>
      </c>
      <c r="L20" s="1">
        <v>0</v>
      </c>
      <c r="M20" s="1">
        <v>0</v>
      </c>
      <c r="N20" s="1">
        <v>0</v>
      </c>
      <c r="O20" s="1">
        <v>0</v>
      </c>
      <c r="P20" s="1">
        <v>10</v>
      </c>
      <c r="Q20" s="1">
        <v>4</v>
      </c>
      <c r="R20" s="1">
        <v>4</v>
      </c>
      <c r="S20" s="1">
        <v>5</v>
      </c>
      <c r="T20" s="1">
        <v>3</v>
      </c>
      <c r="U20" s="1">
        <v>4</v>
      </c>
      <c r="V20" s="1">
        <v>3</v>
      </c>
      <c r="W20" s="1">
        <v>4</v>
      </c>
      <c r="X20" s="1">
        <v>4</v>
      </c>
      <c r="Y20" s="1">
        <v>4</v>
      </c>
      <c r="Z20" s="1">
        <v>4</v>
      </c>
      <c r="AA20" s="1">
        <v>4</v>
      </c>
      <c r="CU20" s="1">
        <v>3</v>
      </c>
    </row>
    <row r="21" spans="1:99" x14ac:dyDescent="0.35">
      <c r="A21" s="1" t="s">
        <v>888</v>
      </c>
      <c r="B21" s="1">
        <v>171354032</v>
      </c>
      <c r="C21" s="1">
        <v>0</v>
      </c>
      <c r="D21" s="1">
        <v>0</v>
      </c>
      <c r="E21" s="1">
        <v>0</v>
      </c>
      <c r="F21" s="1">
        <v>0</v>
      </c>
      <c r="G21" s="1">
        <v>0</v>
      </c>
      <c r="H21" s="1">
        <v>0</v>
      </c>
      <c r="I21" s="1">
        <v>0</v>
      </c>
      <c r="J21" s="1">
        <v>0</v>
      </c>
      <c r="K21" s="1">
        <v>1</v>
      </c>
      <c r="L21" s="1">
        <v>0</v>
      </c>
      <c r="M21" s="1">
        <v>0</v>
      </c>
      <c r="N21" s="1">
        <v>0</v>
      </c>
      <c r="O21" s="1">
        <v>0</v>
      </c>
      <c r="P21" s="1">
        <v>42</v>
      </c>
      <c r="Q21" s="1">
        <v>16</v>
      </c>
      <c r="R21" s="1">
        <v>6</v>
      </c>
      <c r="S21" s="1">
        <v>1</v>
      </c>
      <c r="T21" s="1">
        <v>1</v>
      </c>
      <c r="U21" s="1">
        <v>4</v>
      </c>
      <c r="V21" s="1">
        <v>4</v>
      </c>
      <c r="W21" s="1">
        <v>2</v>
      </c>
      <c r="X21" s="1">
        <v>4</v>
      </c>
      <c r="Y21" s="1">
        <v>4</v>
      </c>
      <c r="Z21" s="1">
        <v>4</v>
      </c>
      <c r="AA21" s="1">
        <v>3</v>
      </c>
      <c r="AC21" s="1">
        <v>1</v>
      </c>
      <c r="AD21" s="1">
        <v>5</v>
      </c>
      <c r="AF21" s="3">
        <v>7500000</v>
      </c>
      <c r="AG21" s="1">
        <v>13</v>
      </c>
      <c r="AT21" s="1" t="s">
        <v>829</v>
      </c>
      <c r="BP21" s="1">
        <v>3</v>
      </c>
      <c r="BQ21" s="1" t="s">
        <v>889</v>
      </c>
      <c r="BR21" s="1" t="s">
        <v>890</v>
      </c>
      <c r="BS21" s="1" t="s">
        <v>891</v>
      </c>
      <c r="BT21" s="1" t="s">
        <v>73</v>
      </c>
      <c r="BU21" s="1">
        <v>3</v>
      </c>
      <c r="BV21" s="1">
        <v>3</v>
      </c>
      <c r="BW21" s="1">
        <v>0</v>
      </c>
      <c r="BX21" s="1">
        <v>1</v>
      </c>
      <c r="BY21" s="1">
        <v>0</v>
      </c>
      <c r="BZ21" s="1">
        <v>0</v>
      </c>
      <c r="CA21" s="1">
        <v>0</v>
      </c>
      <c r="CB21" s="1">
        <v>0</v>
      </c>
      <c r="CC21" s="1">
        <v>0</v>
      </c>
      <c r="CD21" s="1">
        <v>0</v>
      </c>
      <c r="CE21" s="1">
        <v>0</v>
      </c>
      <c r="CF21" s="1">
        <v>0</v>
      </c>
      <c r="CG21" s="1">
        <v>1</v>
      </c>
      <c r="CH21" s="1">
        <v>0</v>
      </c>
      <c r="CI21" s="1">
        <v>0</v>
      </c>
      <c r="CJ21" s="1">
        <v>4</v>
      </c>
      <c r="CK21" s="1">
        <v>4</v>
      </c>
      <c r="CL21" s="1">
        <v>2</v>
      </c>
      <c r="CM21" s="1">
        <v>3</v>
      </c>
      <c r="CN21" s="1">
        <v>4</v>
      </c>
      <c r="CO21" s="1">
        <v>4</v>
      </c>
      <c r="CP21" s="1">
        <v>4</v>
      </c>
      <c r="CU21" s="1">
        <v>1</v>
      </c>
    </row>
    <row r="22" spans="1:99" x14ac:dyDescent="0.35">
      <c r="A22" s="1" t="s">
        <v>3640</v>
      </c>
      <c r="B22" s="1">
        <v>171354002</v>
      </c>
    </row>
    <row r="23" spans="1:99" x14ac:dyDescent="0.35">
      <c r="A23" s="1" t="s">
        <v>3641</v>
      </c>
      <c r="B23" s="1">
        <v>171354011</v>
      </c>
    </row>
    <row r="24" spans="1:99" x14ac:dyDescent="0.35">
      <c r="A24" s="1" t="s">
        <v>3642</v>
      </c>
      <c r="B24" s="1">
        <v>171354012</v>
      </c>
    </row>
    <row r="25" spans="1:99" x14ac:dyDescent="0.35">
      <c r="A25" s="1" t="s">
        <v>3643</v>
      </c>
      <c r="B25" s="1">
        <v>171354013</v>
      </c>
    </row>
    <row r="26" spans="1:99" x14ac:dyDescent="0.35">
      <c r="A26" s="1" t="s">
        <v>3644</v>
      </c>
      <c r="B26" s="1">
        <v>171354019</v>
      </c>
    </row>
    <row r="27" spans="1:99" x14ac:dyDescent="0.35">
      <c r="A27" s="1" t="s">
        <v>3645</v>
      </c>
      <c r="B27" s="1">
        <v>171354022</v>
      </c>
    </row>
    <row r="28" spans="1:99" x14ac:dyDescent="0.35">
      <c r="A28" s="1" t="s">
        <v>3646</v>
      </c>
      <c r="B28" s="1">
        <v>171354029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3D28FF-A384-4B5F-8CAA-60DFB38C8DAC}">
  <dimension ref="A1:CU48"/>
  <sheetViews>
    <sheetView topLeftCell="T1" zoomScale="40" zoomScaleNormal="40" workbookViewId="0">
      <selection activeCell="U31" sqref="U31"/>
    </sheetView>
  </sheetViews>
  <sheetFormatPr defaultColWidth="8.90625" defaultRowHeight="14.5" x14ac:dyDescent="0.35"/>
  <cols>
    <col min="1" max="1" width="36.1796875" style="1" bestFit="1" customWidth="1"/>
    <col min="2" max="2" width="10" style="1" customWidth="1"/>
    <col min="3" max="9" width="63.6328125" style="1" bestFit="1" customWidth="1"/>
    <col min="10" max="14" width="64.6328125" style="1" bestFit="1" customWidth="1"/>
    <col min="15" max="15" width="67" style="1" bestFit="1" customWidth="1"/>
    <col min="16" max="16" width="108.90625" style="1" bestFit="1" customWidth="1"/>
    <col min="17" max="17" width="63.54296875" style="1" bestFit="1" customWidth="1"/>
    <col min="18" max="18" width="72.54296875" style="1" bestFit="1" customWidth="1"/>
    <col min="19" max="19" width="24.81640625" style="1" bestFit="1" customWidth="1"/>
    <col min="20" max="20" width="41.08984375" style="1" bestFit="1" customWidth="1"/>
    <col min="21" max="21" width="66.54296875" style="1" bestFit="1" customWidth="1"/>
    <col min="22" max="22" width="90" style="1" bestFit="1" customWidth="1"/>
    <col min="23" max="23" width="74.36328125" style="1" bestFit="1" customWidth="1"/>
    <col min="24" max="24" width="88.90625" style="1" bestFit="1" customWidth="1"/>
    <col min="25" max="25" width="72" style="1" bestFit="1" customWidth="1"/>
    <col min="26" max="26" width="74.54296875" style="1" bestFit="1" customWidth="1"/>
    <col min="27" max="27" width="78.453125" style="1" bestFit="1" customWidth="1"/>
    <col min="28" max="28" width="42.36328125" style="1" bestFit="1" customWidth="1"/>
    <col min="29" max="29" width="72.90625" style="1" bestFit="1" customWidth="1"/>
    <col min="30" max="30" width="43.08984375" style="1" bestFit="1" customWidth="1"/>
    <col min="31" max="31" width="50.08984375" style="1" bestFit="1" customWidth="1"/>
    <col min="32" max="32" width="118.453125" style="1" bestFit="1" customWidth="1"/>
    <col min="33" max="33" width="38.6328125" style="1" bestFit="1" customWidth="1"/>
    <col min="34" max="35" width="45" style="1" bestFit="1" customWidth="1"/>
    <col min="36" max="37" width="45.36328125" style="1" bestFit="1" customWidth="1"/>
    <col min="38" max="38" width="45" style="1" bestFit="1" customWidth="1"/>
    <col min="39" max="52" width="45.36328125" style="1" bestFit="1" customWidth="1"/>
    <col min="53" max="55" width="45" style="1" bestFit="1" customWidth="1"/>
    <col min="56" max="64" width="45.36328125" style="1" bestFit="1" customWidth="1"/>
    <col min="65" max="67" width="45" style="1" bestFit="1" customWidth="1"/>
    <col min="68" max="68" width="58.453125" style="1" bestFit="1" customWidth="1"/>
    <col min="69" max="69" width="55" style="1" bestFit="1" customWidth="1"/>
    <col min="70" max="70" width="45.08984375" style="1" bestFit="1" customWidth="1"/>
    <col min="71" max="71" width="45" style="1" bestFit="1" customWidth="1"/>
    <col min="72" max="72" width="55.1796875" style="1" bestFit="1" customWidth="1"/>
    <col min="73" max="73" width="216.453125" style="1" bestFit="1" customWidth="1"/>
    <col min="74" max="74" width="64.36328125" style="1" bestFit="1" customWidth="1"/>
    <col min="75" max="83" width="116.54296875" style="1" bestFit="1" customWidth="1"/>
    <col min="84" max="86" width="117.54296875" style="1" bestFit="1" customWidth="1"/>
    <col min="87" max="87" width="119.81640625" style="1" bestFit="1" customWidth="1"/>
    <col min="88" max="88" width="76" style="1" bestFit="1" customWidth="1"/>
    <col min="89" max="89" width="99.54296875" style="1" bestFit="1" customWidth="1"/>
    <col min="90" max="90" width="83.90625" style="1" bestFit="1" customWidth="1"/>
    <col min="91" max="91" width="98.36328125" style="1" bestFit="1" customWidth="1"/>
    <col min="92" max="92" width="81.453125" style="1" bestFit="1" customWidth="1"/>
    <col min="93" max="93" width="84.08984375" style="1" bestFit="1" customWidth="1"/>
    <col min="94" max="94" width="88" style="1" bestFit="1" customWidth="1"/>
    <col min="95" max="95" width="40.1796875" style="1" bestFit="1" customWidth="1"/>
    <col min="96" max="96" width="53.1796875" style="1" bestFit="1" customWidth="1"/>
    <col min="97" max="97" width="23.81640625" style="1" bestFit="1" customWidth="1"/>
    <col min="98" max="98" width="24.54296875" style="1" bestFit="1" customWidth="1"/>
    <col min="99" max="99" width="51.90625" style="1" bestFit="1" customWidth="1"/>
    <col min="100" max="16384" width="8.90625" style="1"/>
  </cols>
  <sheetData>
    <row r="1" spans="1:99" s="6" customFormat="1" x14ac:dyDescent="0.35">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6" t="s">
        <v>15</v>
      </c>
      <c r="Q1" s="6" t="s">
        <v>16</v>
      </c>
      <c r="R1" s="6" t="s">
        <v>17</v>
      </c>
      <c r="S1" s="6" t="s">
        <v>18</v>
      </c>
      <c r="T1" s="6" t="s">
        <v>19</v>
      </c>
      <c r="U1" s="6" t="s">
        <v>20</v>
      </c>
      <c r="V1" s="6" t="s">
        <v>21</v>
      </c>
      <c r="W1" s="6" t="s">
        <v>22</v>
      </c>
      <c r="X1" s="6" t="s">
        <v>23</v>
      </c>
      <c r="Y1" s="6" t="s">
        <v>24</v>
      </c>
      <c r="Z1" s="6" t="s">
        <v>25</v>
      </c>
      <c r="AA1" s="6" t="s">
        <v>26</v>
      </c>
      <c r="AB1" s="6" t="s">
        <v>27</v>
      </c>
      <c r="AC1" s="6" t="s">
        <v>28</v>
      </c>
      <c r="AD1" s="6" t="s">
        <v>29</v>
      </c>
      <c r="AE1" s="6" t="s">
        <v>30</v>
      </c>
      <c r="AF1" s="6" t="s">
        <v>31</v>
      </c>
      <c r="AG1" s="6" t="s">
        <v>32</v>
      </c>
      <c r="AH1" s="6" t="s">
        <v>33</v>
      </c>
      <c r="AI1" s="6" t="s">
        <v>33</v>
      </c>
      <c r="AJ1" s="6" t="s">
        <v>34</v>
      </c>
      <c r="AK1" s="6" t="s">
        <v>34</v>
      </c>
      <c r="AL1" s="6" t="s">
        <v>33</v>
      </c>
      <c r="AM1" s="6" t="s">
        <v>34</v>
      </c>
      <c r="AN1" s="6" t="s">
        <v>34</v>
      </c>
      <c r="AO1" s="6" t="s">
        <v>34</v>
      </c>
      <c r="AP1" s="6" t="s">
        <v>34</v>
      </c>
      <c r="AQ1" s="6" t="s">
        <v>34</v>
      </c>
      <c r="AR1" s="6" t="s">
        <v>34</v>
      </c>
      <c r="AS1" s="6" t="s">
        <v>34</v>
      </c>
      <c r="AT1" s="6" t="s">
        <v>34</v>
      </c>
      <c r="AU1" s="6" t="s">
        <v>34</v>
      </c>
      <c r="AV1" s="6" t="s">
        <v>34</v>
      </c>
      <c r="AW1" s="6" t="s">
        <v>34</v>
      </c>
      <c r="AX1" s="6" t="s">
        <v>34</v>
      </c>
      <c r="AY1" s="6" t="s">
        <v>34</v>
      </c>
      <c r="AZ1" s="6" t="s">
        <v>34</v>
      </c>
      <c r="BA1" s="6" t="s">
        <v>33</v>
      </c>
      <c r="BB1" s="6" t="s">
        <v>33</v>
      </c>
      <c r="BC1" s="6" t="s">
        <v>33</v>
      </c>
      <c r="BD1" s="6" t="s">
        <v>34</v>
      </c>
      <c r="BE1" s="6" t="s">
        <v>34</v>
      </c>
      <c r="BF1" s="6" t="s">
        <v>34</v>
      </c>
      <c r="BG1" s="6" t="s">
        <v>34</v>
      </c>
      <c r="BH1" s="6" t="s">
        <v>34</v>
      </c>
      <c r="BI1" s="6" t="s">
        <v>34</v>
      </c>
      <c r="BJ1" s="6" t="s">
        <v>34</v>
      </c>
      <c r="BK1" s="6" t="s">
        <v>34</v>
      </c>
      <c r="BL1" s="6" t="s">
        <v>34</v>
      </c>
      <c r="BM1" s="6" t="s">
        <v>33</v>
      </c>
      <c r="BN1" s="6" t="s">
        <v>33</v>
      </c>
      <c r="BO1" s="6" t="s">
        <v>33</v>
      </c>
      <c r="BP1" s="6" t="s">
        <v>35</v>
      </c>
      <c r="BQ1" s="6" t="s">
        <v>36</v>
      </c>
      <c r="BR1" s="6" t="s">
        <v>37</v>
      </c>
      <c r="BS1" s="6" t="s">
        <v>38</v>
      </c>
      <c r="BT1" s="6" t="s">
        <v>39</v>
      </c>
      <c r="BU1" s="6" t="s">
        <v>40</v>
      </c>
      <c r="BV1" s="6" t="s">
        <v>41</v>
      </c>
      <c r="BW1" s="6" t="s">
        <v>42</v>
      </c>
      <c r="BX1" s="6" t="s">
        <v>43</v>
      </c>
      <c r="BY1" s="6" t="s">
        <v>44</v>
      </c>
      <c r="BZ1" s="6" t="s">
        <v>45</v>
      </c>
      <c r="CA1" s="6" t="s">
        <v>46</v>
      </c>
      <c r="CB1" s="6" t="s">
        <v>47</v>
      </c>
      <c r="CC1" s="6" t="s">
        <v>48</v>
      </c>
      <c r="CD1" s="6" t="s">
        <v>49</v>
      </c>
      <c r="CE1" s="6" t="s">
        <v>50</v>
      </c>
      <c r="CF1" s="6" t="s">
        <v>51</v>
      </c>
      <c r="CG1" s="6" t="s">
        <v>52</v>
      </c>
      <c r="CH1" s="6" t="s">
        <v>53</v>
      </c>
      <c r="CI1" s="6" t="s">
        <v>54</v>
      </c>
      <c r="CJ1" s="6" t="s">
        <v>55</v>
      </c>
      <c r="CK1" s="6" t="s">
        <v>56</v>
      </c>
      <c r="CL1" s="6" t="s">
        <v>57</v>
      </c>
      <c r="CM1" s="6" t="s">
        <v>58</v>
      </c>
      <c r="CN1" s="6" t="s">
        <v>59</v>
      </c>
      <c r="CO1" s="6" t="s">
        <v>60</v>
      </c>
      <c r="CP1" s="6" t="s">
        <v>61</v>
      </c>
      <c r="CQ1" s="6" t="s">
        <v>62</v>
      </c>
      <c r="CR1" s="6" t="s">
        <v>63</v>
      </c>
      <c r="CS1" s="6" t="s">
        <v>64</v>
      </c>
      <c r="CT1" s="6" t="s">
        <v>65</v>
      </c>
      <c r="CU1" s="6" t="s">
        <v>66</v>
      </c>
    </row>
    <row r="2" spans="1:99" x14ac:dyDescent="0.35">
      <c r="A2" s="1" t="s">
        <v>892</v>
      </c>
      <c r="B2" s="1">
        <v>181311004</v>
      </c>
      <c r="C2" s="1">
        <v>0</v>
      </c>
      <c r="D2" s="1">
        <v>1</v>
      </c>
      <c r="E2" s="1">
        <v>0</v>
      </c>
      <c r="F2" s="1">
        <v>0</v>
      </c>
      <c r="G2" s="1">
        <v>0</v>
      </c>
      <c r="H2" s="1">
        <v>0</v>
      </c>
      <c r="I2" s="1">
        <v>0</v>
      </c>
      <c r="J2" s="1">
        <v>0</v>
      </c>
      <c r="K2" s="1">
        <v>0</v>
      </c>
      <c r="L2" s="1">
        <v>0</v>
      </c>
      <c r="M2" s="1">
        <v>0</v>
      </c>
      <c r="N2" s="1">
        <v>0</v>
      </c>
      <c r="O2" s="1">
        <v>0</v>
      </c>
      <c r="P2" s="1">
        <v>30</v>
      </c>
      <c r="Q2" s="1">
        <v>3</v>
      </c>
      <c r="R2" s="1">
        <v>3</v>
      </c>
      <c r="S2" s="1">
        <v>1</v>
      </c>
      <c r="T2" s="1">
        <v>1</v>
      </c>
      <c r="U2" s="1">
        <v>3</v>
      </c>
      <c r="V2" s="1">
        <v>2</v>
      </c>
      <c r="W2" s="1">
        <v>2</v>
      </c>
      <c r="X2" s="1">
        <v>2</v>
      </c>
      <c r="Y2" s="1">
        <v>3</v>
      </c>
      <c r="Z2" s="1">
        <v>3</v>
      </c>
      <c r="AA2" s="1">
        <v>2</v>
      </c>
      <c r="AC2" s="1">
        <v>1</v>
      </c>
      <c r="AD2" s="1">
        <v>6</v>
      </c>
      <c r="AF2" s="3">
        <v>4750000</v>
      </c>
      <c r="AG2" s="1">
        <v>13</v>
      </c>
      <c r="AT2" s="1" t="s">
        <v>86</v>
      </c>
      <c r="BP2" s="1" t="s">
        <v>893</v>
      </c>
      <c r="BQ2" s="1" t="s">
        <v>894</v>
      </c>
      <c r="BR2" s="1" t="s">
        <v>895</v>
      </c>
      <c r="BS2" s="1" t="s">
        <v>896</v>
      </c>
      <c r="BT2" s="1" t="s">
        <v>79</v>
      </c>
      <c r="BU2" s="1">
        <v>1</v>
      </c>
      <c r="BV2" s="1">
        <v>1</v>
      </c>
      <c r="BW2" s="1">
        <v>1</v>
      </c>
      <c r="BX2" s="1">
        <v>0</v>
      </c>
      <c r="BY2" s="1">
        <v>0</v>
      </c>
      <c r="BZ2" s="1">
        <v>0</v>
      </c>
      <c r="CA2" s="1">
        <v>0</v>
      </c>
      <c r="CB2" s="1">
        <v>0</v>
      </c>
      <c r="CC2" s="1">
        <v>0</v>
      </c>
      <c r="CD2" s="1">
        <v>0</v>
      </c>
      <c r="CE2" s="1">
        <v>0</v>
      </c>
      <c r="CF2" s="1">
        <v>0</v>
      </c>
      <c r="CG2" s="1">
        <v>0</v>
      </c>
      <c r="CH2" s="1">
        <v>0</v>
      </c>
      <c r="CI2" s="1">
        <v>0</v>
      </c>
      <c r="CJ2" s="1">
        <v>4</v>
      </c>
      <c r="CK2" s="1">
        <v>4</v>
      </c>
      <c r="CL2" s="1">
        <v>4</v>
      </c>
      <c r="CM2" s="1">
        <v>4</v>
      </c>
      <c r="CN2" s="1">
        <v>4</v>
      </c>
      <c r="CO2" s="1">
        <v>4</v>
      </c>
      <c r="CP2" s="1">
        <v>4</v>
      </c>
      <c r="CU2" s="1">
        <v>1</v>
      </c>
    </row>
    <row r="3" spans="1:99" x14ac:dyDescent="0.35">
      <c r="A3" s="1" t="s">
        <v>897</v>
      </c>
      <c r="B3" s="1">
        <v>181311005</v>
      </c>
      <c r="C3" s="1">
        <v>0</v>
      </c>
      <c r="D3" s="1">
        <v>1</v>
      </c>
      <c r="E3" s="1">
        <v>0</v>
      </c>
      <c r="F3" s="1">
        <v>0</v>
      </c>
      <c r="G3" s="1">
        <v>0</v>
      </c>
      <c r="H3" s="1">
        <v>0</v>
      </c>
      <c r="I3" s="1">
        <v>0</v>
      </c>
      <c r="J3" s="1">
        <v>0</v>
      </c>
      <c r="K3" s="1">
        <v>1</v>
      </c>
      <c r="L3" s="1">
        <v>0</v>
      </c>
      <c r="M3" s="1">
        <v>0</v>
      </c>
      <c r="N3" s="1">
        <v>0</v>
      </c>
      <c r="O3" s="1">
        <v>0</v>
      </c>
      <c r="P3" s="1">
        <f>+-20</f>
        <v>-20</v>
      </c>
      <c r="Q3" s="1">
        <f>+-8</f>
        <v>-8</v>
      </c>
      <c r="R3" s="1">
        <v>5</v>
      </c>
      <c r="S3" s="1">
        <v>1</v>
      </c>
      <c r="T3" s="1">
        <v>1</v>
      </c>
      <c r="U3" s="1">
        <v>4</v>
      </c>
      <c r="V3" s="1">
        <v>3</v>
      </c>
      <c r="W3" s="1">
        <v>2</v>
      </c>
      <c r="X3" s="1">
        <v>3</v>
      </c>
      <c r="Y3" s="1">
        <v>3</v>
      </c>
      <c r="Z3" s="1">
        <v>3</v>
      </c>
      <c r="AA3" s="1">
        <v>3</v>
      </c>
      <c r="AC3" s="1">
        <v>2</v>
      </c>
      <c r="AE3" s="1">
        <v>3</v>
      </c>
      <c r="AF3" s="3">
        <v>6200000</v>
      </c>
      <c r="AG3" s="1">
        <v>21</v>
      </c>
      <c r="BB3" s="1" t="s">
        <v>898</v>
      </c>
      <c r="BP3" s="1">
        <v>3</v>
      </c>
      <c r="BQ3" s="1" t="s">
        <v>899</v>
      </c>
      <c r="BT3" s="1" t="s">
        <v>79</v>
      </c>
      <c r="BU3" s="1">
        <v>3</v>
      </c>
      <c r="BV3" s="1">
        <v>2</v>
      </c>
      <c r="BW3" s="1">
        <v>0</v>
      </c>
      <c r="BX3" s="1">
        <v>0</v>
      </c>
      <c r="BY3" s="1">
        <v>1</v>
      </c>
      <c r="BZ3" s="1">
        <v>0</v>
      </c>
      <c r="CA3" s="1">
        <v>0</v>
      </c>
      <c r="CB3" s="1">
        <v>0</v>
      </c>
      <c r="CC3" s="1">
        <v>0</v>
      </c>
      <c r="CD3" s="1">
        <v>0</v>
      </c>
      <c r="CE3" s="1">
        <v>0</v>
      </c>
      <c r="CF3" s="1">
        <v>0</v>
      </c>
      <c r="CG3" s="1">
        <v>0</v>
      </c>
      <c r="CH3" s="1">
        <v>0</v>
      </c>
      <c r="CI3" s="1">
        <v>0</v>
      </c>
      <c r="CJ3" s="1">
        <v>4</v>
      </c>
      <c r="CK3" s="1">
        <v>3</v>
      </c>
      <c r="CL3" s="1">
        <v>3</v>
      </c>
      <c r="CM3" s="1">
        <v>4</v>
      </c>
      <c r="CN3" s="1">
        <v>4</v>
      </c>
      <c r="CO3" s="1">
        <v>4</v>
      </c>
      <c r="CP3" s="1">
        <v>4</v>
      </c>
      <c r="CU3" s="1">
        <v>1</v>
      </c>
    </row>
    <row r="4" spans="1:99" x14ac:dyDescent="0.35">
      <c r="A4" s="1" t="s">
        <v>900</v>
      </c>
      <c r="B4" s="1">
        <v>181311007</v>
      </c>
      <c r="C4" s="1">
        <v>1</v>
      </c>
      <c r="D4" s="1">
        <v>1</v>
      </c>
      <c r="E4" s="1">
        <v>0</v>
      </c>
      <c r="F4" s="1">
        <v>0</v>
      </c>
      <c r="G4" s="1">
        <v>0</v>
      </c>
      <c r="H4" s="1">
        <v>1</v>
      </c>
      <c r="I4" s="1">
        <v>0</v>
      </c>
      <c r="J4" s="1">
        <v>0</v>
      </c>
      <c r="K4" s="1">
        <v>1</v>
      </c>
      <c r="L4" s="1">
        <v>0</v>
      </c>
      <c r="M4" s="1">
        <v>0</v>
      </c>
      <c r="N4" s="1">
        <v>0</v>
      </c>
      <c r="O4" s="1">
        <v>0</v>
      </c>
      <c r="P4" s="1">
        <v>200</v>
      </c>
      <c r="Q4" s="1">
        <v>10</v>
      </c>
      <c r="R4" s="1">
        <v>2</v>
      </c>
      <c r="S4" s="1">
        <v>1</v>
      </c>
      <c r="T4" s="1">
        <v>1</v>
      </c>
      <c r="U4" s="1">
        <v>3</v>
      </c>
      <c r="V4" s="1">
        <v>3</v>
      </c>
      <c r="W4" s="1">
        <v>2</v>
      </c>
      <c r="X4" s="1">
        <v>3</v>
      </c>
      <c r="Y4" s="1">
        <v>2</v>
      </c>
      <c r="Z4" s="1">
        <v>3</v>
      </c>
      <c r="AA4" s="1">
        <v>3</v>
      </c>
      <c r="AC4" s="1">
        <v>1</v>
      </c>
      <c r="AD4" s="1">
        <v>4</v>
      </c>
      <c r="AF4" s="3">
        <v>4000000</v>
      </c>
      <c r="AG4" s="1">
        <v>13</v>
      </c>
      <c r="AT4" s="1" t="s">
        <v>86</v>
      </c>
      <c r="BP4" s="1">
        <v>3</v>
      </c>
      <c r="BQ4" s="1" t="s">
        <v>901</v>
      </c>
      <c r="BR4" s="1" t="s">
        <v>902</v>
      </c>
      <c r="BS4" s="1" t="s">
        <v>903</v>
      </c>
      <c r="BT4" s="1" t="s">
        <v>79</v>
      </c>
      <c r="BU4" s="1">
        <v>1</v>
      </c>
      <c r="BV4" s="1">
        <v>2</v>
      </c>
      <c r="BW4" s="1">
        <v>1</v>
      </c>
      <c r="BX4" s="1">
        <v>0</v>
      </c>
      <c r="BY4" s="1">
        <v>0</v>
      </c>
      <c r="BZ4" s="1">
        <v>0</v>
      </c>
      <c r="CA4" s="1">
        <v>0</v>
      </c>
      <c r="CB4" s="1">
        <v>0</v>
      </c>
      <c r="CC4" s="1">
        <v>0</v>
      </c>
      <c r="CD4" s="1">
        <v>1</v>
      </c>
      <c r="CE4" s="1">
        <v>1</v>
      </c>
      <c r="CF4" s="1">
        <v>1</v>
      </c>
      <c r="CG4" s="1">
        <v>0</v>
      </c>
      <c r="CH4" s="1">
        <v>0</v>
      </c>
      <c r="CI4" s="1">
        <v>0</v>
      </c>
      <c r="CJ4" s="1">
        <v>4</v>
      </c>
      <c r="CK4" s="1">
        <v>4</v>
      </c>
      <c r="CL4" s="1">
        <v>4</v>
      </c>
      <c r="CM4" s="1">
        <v>4</v>
      </c>
      <c r="CN4" s="1">
        <v>4</v>
      </c>
      <c r="CO4" s="1">
        <v>4</v>
      </c>
      <c r="CP4" s="1">
        <v>4</v>
      </c>
      <c r="CU4" s="1">
        <v>1</v>
      </c>
    </row>
    <row r="5" spans="1:99" x14ac:dyDescent="0.35">
      <c r="A5" s="1" t="s">
        <v>904</v>
      </c>
      <c r="B5" s="1">
        <v>181311009</v>
      </c>
      <c r="C5" s="1">
        <v>0</v>
      </c>
      <c r="D5" s="1">
        <v>1</v>
      </c>
      <c r="E5" s="1">
        <v>0</v>
      </c>
      <c r="F5" s="1">
        <v>0</v>
      </c>
      <c r="G5" s="1">
        <v>0</v>
      </c>
      <c r="H5" s="1">
        <v>0</v>
      </c>
      <c r="I5" s="1">
        <v>0</v>
      </c>
      <c r="J5" s="1">
        <v>0</v>
      </c>
      <c r="K5" s="1">
        <v>1</v>
      </c>
      <c r="L5" s="1">
        <v>0</v>
      </c>
      <c r="M5" s="1">
        <v>0</v>
      </c>
      <c r="N5" s="1">
        <v>0</v>
      </c>
      <c r="O5" s="1">
        <v>0</v>
      </c>
      <c r="P5" s="1">
        <v>3</v>
      </c>
      <c r="Q5" s="1">
        <v>3</v>
      </c>
      <c r="R5" s="1">
        <v>1</v>
      </c>
      <c r="S5" s="1">
        <v>1</v>
      </c>
      <c r="T5" s="1">
        <v>1</v>
      </c>
      <c r="U5" s="1">
        <v>4</v>
      </c>
      <c r="V5" s="1">
        <v>3</v>
      </c>
      <c r="W5" s="1">
        <v>3</v>
      </c>
      <c r="X5" s="1">
        <v>3</v>
      </c>
      <c r="Y5" s="1">
        <v>3</v>
      </c>
      <c r="Z5" s="1">
        <v>3</v>
      </c>
      <c r="AA5" s="1">
        <v>4</v>
      </c>
      <c r="AC5" s="1">
        <v>1</v>
      </c>
      <c r="AD5" s="1">
        <v>1</v>
      </c>
      <c r="AF5" s="3">
        <v>4000000</v>
      </c>
      <c r="AG5" s="1">
        <v>13</v>
      </c>
      <c r="AT5" s="1" t="s">
        <v>905</v>
      </c>
      <c r="BP5" s="1">
        <v>3</v>
      </c>
      <c r="BQ5" s="1" t="s">
        <v>906</v>
      </c>
      <c r="BR5" s="1" t="s">
        <v>907</v>
      </c>
      <c r="BS5" s="1" t="s">
        <v>908</v>
      </c>
      <c r="BT5" s="1" t="s">
        <v>79</v>
      </c>
      <c r="BU5" s="1">
        <v>3</v>
      </c>
      <c r="BV5" s="1">
        <v>2</v>
      </c>
      <c r="BW5" s="1">
        <v>1</v>
      </c>
      <c r="BX5" s="1">
        <v>0</v>
      </c>
      <c r="BY5" s="1">
        <v>0</v>
      </c>
      <c r="BZ5" s="1">
        <v>0</v>
      </c>
      <c r="CA5" s="1">
        <v>0</v>
      </c>
      <c r="CB5" s="1">
        <v>0</v>
      </c>
      <c r="CC5" s="1">
        <v>0</v>
      </c>
      <c r="CD5" s="1">
        <v>0</v>
      </c>
      <c r="CE5" s="1">
        <v>0</v>
      </c>
      <c r="CF5" s="1">
        <v>0</v>
      </c>
      <c r="CG5" s="1">
        <v>0</v>
      </c>
      <c r="CH5" s="1">
        <v>0</v>
      </c>
      <c r="CI5" s="1">
        <v>0</v>
      </c>
      <c r="CJ5" s="1">
        <v>4</v>
      </c>
      <c r="CK5" s="1">
        <v>4</v>
      </c>
      <c r="CL5" s="1">
        <v>4</v>
      </c>
      <c r="CM5" s="1">
        <v>4</v>
      </c>
      <c r="CN5" s="1">
        <v>4</v>
      </c>
      <c r="CO5" s="1">
        <v>4</v>
      </c>
      <c r="CP5" s="1">
        <v>4</v>
      </c>
      <c r="CU5" s="1">
        <v>4</v>
      </c>
    </row>
    <row r="6" spans="1:99" x14ac:dyDescent="0.35">
      <c r="A6" s="1" t="s">
        <v>909</v>
      </c>
      <c r="B6" s="1">
        <v>181311013</v>
      </c>
      <c r="C6" s="1">
        <v>0</v>
      </c>
      <c r="D6" s="1">
        <v>1</v>
      </c>
      <c r="E6" s="1">
        <v>1</v>
      </c>
      <c r="F6" s="1">
        <v>1</v>
      </c>
      <c r="G6" s="1">
        <v>0</v>
      </c>
      <c r="H6" s="1">
        <v>0</v>
      </c>
      <c r="I6" s="1">
        <v>0</v>
      </c>
      <c r="J6" s="1">
        <v>1</v>
      </c>
      <c r="K6" s="1">
        <v>1</v>
      </c>
      <c r="L6" s="1">
        <v>0</v>
      </c>
      <c r="M6" s="1">
        <v>0</v>
      </c>
      <c r="N6" s="1">
        <v>0</v>
      </c>
      <c r="O6" s="1">
        <v>0</v>
      </c>
      <c r="P6" s="1">
        <v>15</v>
      </c>
      <c r="Q6" s="1">
        <v>10</v>
      </c>
      <c r="R6" s="1">
        <v>4</v>
      </c>
      <c r="S6" s="1">
        <v>1</v>
      </c>
      <c r="T6" s="1">
        <v>1</v>
      </c>
      <c r="U6" s="1">
        <v>3</v>
      </c>
      <c r="V6" s="1">
        <v>3</v>
      </c>
      <c r="W6" s="1">
        <v>3</v>
      </c>
      <c r="X6" s="1">
        <v>3</v>
      </c>
      <c r="Y6" s="1">
        <v>3</v>
      </c>
      <c r="Z6" s="1">
        <v>3</v>
      </c>
      <c r="AA6" s="1">
        <v>3</v>
      </c>
      <c r="AC6" s="1">
        <v>2</v>
      </c>
      <c r="AE6" s="1">
        <v>1</v>
      </c>
      <c r="AF6" s="3">
        <v>6000000</v>
      </c>
      <c r="AG6" s="1">
        <v>16</v>
      </c>
      <c r="AW6" s="1" t="s">
        <v>910</v>
      </c>
      <c r="BP6" s="1">
        <v>3</v>
      </c>
      <c r="BQ6" s="1" t="s">
        <v>911</v>
      </c>
      <c r="BR6" s="1" t="s">
        <v>912</v>
      </c>
      <c r="BT6" s="1" t="s">
        <v>79</v>
      </c>
      <c r="BU6" s="1">
        <v>2</v>
      </c>
      <c r="BV6" s="1">
        <v>1</v>
      </c>
      <c r="BW6" s="1">
        <v>1</v>
      </c>
      <c r="BX6" s="1">
        <v>0</v>
      </c>
      <c r="BY6" s="1">
        <v>0</v>
      </c>
      <c r="BZ6" s="1">
        <v>0</v>
      </c>
      <c r="CA6" s="1">
        <v>0</v>
      </c>
      <c r="CB6" s="1">
        <v>0</v>
      </c>
      <c r="CC6" s="1">
        <v>0</v>
      </c>
      <c r="CD6" s="1">
        <v>0</v>
      </c>
      <c r="CE6" s="1">
        <v>0</v>
      </c>
      <c r="CF6" s="1">
        <v>0</v>
      </c>
      <c r="CG6" s="1">
        <v>0</v>
      </c>
      <c r="CH6" s="1">
        <v>0</v>
      </c>
      <c r="CI6" s="1">
        <v>0</v>
      </c>
      <c r="CJ6" s="1">
        <v>4</v>
      </c>
      <c r="CK6" s="1">
        <v>4</v>
      </c>
      <c r="CL6" s="1">
        <v>4</v>
      </c>
      <c r="CM6" s="1">
        <v>4</v>
      </c>
      <c r="CN6" s="1">
        <v>4</v>
      </c>
      <c r="CO6" s="1">
        <v>4</v>
      </c>
      <c r="CP6" s="1">
        <v>4</v>
      </c>
      <c r="CU6" s="1">
        <v>4</v>
      </c>
    </row>
    <row r="7" spans="1:99" x14ac:dyDescent="0.35">
      <c r="A7" s="1" t="s">
        <v>913</v>
      </c>
      <c r="B7" s="1">
        <v>181311014</v>
      </c>
      <c r="C7" s="1">
        <v>0</v>
      </c>
      <c r="D7" s="1">
        <v>1</v>
      </c>
      <c r="E7" s="1">
        <v>1</v>
      </c>
      <c r="F7" s="1">
        <v>0</v>
      </c>
      <c r="G7" s="1">
        <v>0</v>
      </c>
      <c r="H7" s="1">
        <v>0</v>
      </c>
      <c r="I7" s="1">
        <v>0</v>
      </c>
      <c r="J7" s="1">
        <v>0</v>
      </c>
      <c r="K7" s="1">
        <v>0</v>
      </c>
      <c r="L7" s="1">
        <v>0</v>
      </c>
      <c r="M7" s="1">
        <v>0</v>
      </c>
      <c r="N7" s="1">
        <v>0</v>
      </c>
      <c r="O7" s="1">
        <v>0</v>
      </c>
      <c r="P7" s="1">
        <v>5</v>
      </c>
      <c r="Q7" s="1">
        <v>4</v>
      </c>
      <c r="R7" s="1">
        <v>2</v>
      </c>
      <c r="S7" s="1">
        <v>1</v>
      </c>
      <c r="T7" s="1">
        <v>1</v>
      </c>
      <c r="U7" s="1">
        <v>4</v>
      </c>
      <c r="V7" s="1">
        <v>3</v>
      </c>
      <c r="W7" s="1">
        <v>3</v>
      </c>
      <c r="X7" s="1">
        <v>3</v>
      </c>
      <c r="Y7" s="1">
        <v>3</v>
      </c>
      <c r="Z7" s="1">
        <v>3</v>
      </c>
      <c r="AA7" s="1">
        <v>3</v>
      </c>
      <c r="AC7" s="1">
        <v>1</v>
      </c>
      <c r="AD7" s="1">
        <v>2</v>
      </c>
      <c r="AF7" s="3">
        <v>7534777</v>
      </c>
      <c r="AG7" s="1">
        <v>11</v>
      </c>
      <c r="AR7" s="1" t="s">
        <v>130</v>
      </c>
      <c r="BP7" s="1">
        <v>3</v>
      </c>
      <c r="BQ7" s="1" t="s">
        <v>914</v>
      </c>
      <c r="BR7" s="1" t="s">
        <v>915</v>
      </c>
      <c r="BS7" s="1" t="s">
        <v>916</v>
      </c>
      <c r="BT7" s="1" t="s">
        <v>73</v>
      </c>
      <c r="BU7" s="1">
        <v>4</v>
      </c>
      <c r="BV7" s="1">
        <v>1</v>
      </c>
      <c r="BW7" s="1">
        <v>0</v>
      </c>
      <c r="BX7" s="1">
        <v>0</v>
      </c>
      <c r="BY7" s="1">
        <v>0</v>
      </c>
      <c r="BZ7" s="1">
        <v>0</v>
      </c>
      <c r="CA7" s="1">
        <v>0</v>
      </c>
      <c r="CB7" s="1">
        <v>0</v>
      </c>
      <c r="CC7" s="1">
        <v>0</v>
      </c>
      <c r="CD7" s="1">
        <v>0</v>
      </c>
      <c r="CE7" s="1">
        <v>0</v>
      </c>
      <c r="CF7" s="1">
        <v>0</v>
      </c>
      <c r="CG7" s="1">
        <v>0</v>
      </c>
      <c r="CH7" s="1">
        <v>1</v>
      </c>
      <c r="CI7" s="1">
        <v>0</v>
      </c>
      <c r="CJ7" s="1">
        <v>4</v>
      </c>
      <c r="CK7" s="1">
        <v>2</v>
      </c>
      <c r="CL7" s="1">
        <v>4</v>
      </c>
      <c r="CM7" s="1">
        <v>4</v>
      </c>
      <c r="CN7" s="1">
        <v>4</v>
      </c>
      <c r="CO7" s="1">
        <v>4</v>
      </c>
      <c r="CP7" s="1">
        <v>3</v>
      </c>
      <c r="CU7" s="1">
        <v>2</v>
      </c>
    </row>
    <row r="8" spans="1:99" x14ac:dyDescent="0.35">
      <c r="A8" s="1" t="s">
        <v>917</v>
      </c>
      <c r="B8" s="1">
        <v>181311015</v>
      </c>
      <c r="C8" s="1">
        <v>1</v>
      </c>
      <c r="D8" s="1">
        <v>1</v>
      </c>
      <c r="E8" s="1">
        <v>0</v>
      </c>
      <c r="F8" s="1">
        <v>0</v>
      </c>
      <c r="G8" s="1">
        <v>0</v>
      </c>
      <c r="H8" s="1">
        <v>0</v>
      </c>
      <c r="I8" s="1">
        <v>0</v>
      </c>
      <c r="J8" s="1">
        <v>0</v>
      </c>
      <c r="K8" s="1">
        <v>1</v>
      </c>
      <c r="L8" s="1">
        <v>0</v>
      </c>
      <c r="M8" s="1">
        <v>0</v>
      </c>
      <c r="N8" s="1">
        <v>0</v>
      </c>
      <c r="O8" s="1">
        <v>0</v>
      </c>
      <c r="P8" s="1">
        <v>5</v>
      </c>
      <c r="Q8" s="1">
        <v>2</v>
      </c>
      <c r="R8" s="1">
        <v>1</v>
      </c>
      <c r="S8" s="1">
        <v>5</v>
      </c>
      <c r="T8" s="1">
        <v>1</v>
      </c>
      <c r="U8" s="1">
        <v>3</v>
      </c>
      <c r="V8" s="1">
        <v>3</v>
      </c>
      <c r="W8" s="1">
        <v>2</v>
      </c>
      <c r="X8" s="1">
        <v>3</v>
      </c>
      <c r="Y8" s="1">
        <v>3</v>
      </c>
      <c r="Z8" s="1">
        <v>3</v>
      </c>
      <c r="AA8" s="1">
        <v>3</v>
      </c>
      <c r="CU8" s="1">
        <v>4</v>
      </c>
    </row>
    <row r="9" spans="1:99" x14ac:dyDescent="0.35">
      <c r="A9" s="1" t="s">
        <v>918</v>
      </c>
      <c r="B9" s="1">
        <v>181311017</v>
      </c>
      <c r="C9" s="1">
        <v>1</v>
      </c>
      <c r="D9" s="1">
        <v>1</v>
      </c>
      <c r="E9" s="1">
        <v>0</v>
      </c>
      <c r="F9" s="1">
        <v>0</v>
      </c>
      <c r="G9" s="1">
        <v>0</v>
      </c>
      <c r="H9" s="1">
        <v>1</v>
      </c>
      <c r="I9" s="1">
        <v>0</v>
      </c>
      <c r="J9" s="1">
        <v>1</v>
      </c>
      <c r="K9" s="1">
        <v>1</v>
      </c>
      <c r="L9" s="1">
        <v>0</v>
      </c>
      <c r="M9" s="1">
        <v>0</v>
      </c>
      <c r="N9" s="1">
        <v>0</v>
      </c>
      <c r="O9" s="1">
        <v>0</v>
      </c>
      <c r="P9" s="1">
        <v>15</v>
      </c>
      <c r="Q9" s="1">
        <v>5</v>
      </c>
      <c r="R9" s="1">
        <v>4</v>
      </c>
      <c r="S9" s="1">
        <v>5</v>
      </c>
      <c r="T9" s="1">
        <v>1</v>
      </c>
      <c r="U9" s="1">
        <v>3</v>
      </c>
      <c r="V9" s="1">
        <v>3</v>
      </c>
      <c r="W9" s="1">
        <v>3</v>
      </c>
      <c r="X9" s="1">
        <v>4</v>
      </c>
      <c r="Y9" s="1">
        <v>4</v>
      </c>
      <c r="Z9" s="1">
        <v>4</v>
      </c>
      <c r="AA9" s="1">
        <v>4</v>
      </c>
      <c r="CU9" s="1">
        <v>4</v>
      </c>
    </row>
    <row r="10" spans="1:99" x14ac:dyDescent="0.35">
      <c r="A10" s="1" t="s">
        <v>919</v>
      </c>
      <c r="B10" s="1">
        <v>181311019</v>
      </c>
      <c r="C10" s="1">
        <v>0</v>
      </c>
      <c r="D10" s="1">
        <v>1</v>
      </c>
      <c r="E10" s="1">
        <v>0</v>
      </c>
      <c r="F10" s="1">
        <v>0</v>
      </c>
      <c r="G10" s="1">
        <v>0</v>
      </c>
      <c r="H10" s="1">
        <v>0</v>
      </c>
      <c r="I10" s="1">
        <v>1</v>
      </c>
      <c r="J10" s="1">
        <v>0</v>
      </c>
      <c r="K10" s="1">
        <v>0</v>
      </c>
      <c r="L10" s="1">
        <v>0</v>
      </c>
      <c r="M10" s="1">
        <v>0</v>
      </c>
      <c r="N10" s="1">
        <v>0</v>
      </c>
      <c r="O10" s="1">
        <v>0</v>
      </c>
      <c r="P10" s="1">
        <v>70</v>
      </c>
      <c r="Q10" s="1">
        <v>20</v>
      </c>
      <c r="R10" s="1">
        <v>18</v>
      </c>
      <c r="S10" s="1">
        <v>1</v>
      </c>
      <c r="T10" s="1">
        <v>3</v>
      </c>
      <c r="U10" s="1">
        <v>3</v>
      </c>
      <c r="V10" s="1">
        <v>3</v>
      </c>
      <c r="W10" s="1">
        <v>4</v>
      </c>
      <c r="X10" s="1">
        <v>4</v>
      </c>
      <c r="Y10" s="1">
        <v>4</v>
      </c>
      <c r="Z10" s="1">
        <v>4</v>
      </c>
      <c r="AA10" s="1">
        <v>4</v>
      </c>
      <c r="AC10" s="1">
        <v>1</v>
      </c>
      <c r="AD10" s="1">
        <v>6</v>
      </c>
      <c r="AF10" s="3">
        <v>6500000</v>
      </c>
      <c r="AG10" s="1">
        <v>13</v>
      </c>
      <c r="AT10" s="1" t="s">
        <v>75</v>
      </c>
      <c r="BP10" s="1">
        <v>3</v>
      </c>
      <c r="BQ10" s="1" t="s">
        <v>920</v>
      </c>
      <c r="BR10" s="1" t="s">
        <v>921</v>
      </c>
      <c r="BS10" s="1" t="s">
        <v>922</v>
      </c>
      <c r="BT10" s="1" t="s">
        <v>73</v>
      </c>
      <c r="BU10" s="1">
        <v>2</v>
      </c>
      <c r="BV10" s="1">
        <v>1</v>
      </c>
      <c r="BW10" s="1">
        <v>0</v>
      </c>
      <c r="BX10" s="1">
        <v>0</v>
      </c>
      <c r="BY10" s="1">
        <v>0</v>
      </c>
      <c r="BZ10" s="1">
        <v>0</v>
      </c>
      <c r="CA10" s="1">
        <v>0</v>
      </c>
      <c r="CB10" s="1">
        <v>0</v>
      </c>
      <c r="CC10" s="1">
        <v>0</v>
      </c>
      <c r="CD10" s="1">
        <v>0</v>
      </c>
      <c r="CE10" s="1">
        <v>0</v>
      </c>
      <c r="CF10" s="1">
        <v>0</v>
      </c>
      <c r="CG10" s="1">
        <v>0</v>
      </c>
      <c r="CH10" s="1">
        <v>0</v>
      </c>
      <c r="CJ10" s="1">
        <v>4</v>
      </c>
      <c r="CK10" s="1">
        <v>4</v>
      </c>
      <c r="CL10" s="1">
        <v>4</v>
      </c>
      <c r="CM10" s="1">
        <v>4</v>
      </c>
      <c r="CN10" s="1">
        <v>4</v>
      </c>
      <c r="CO10" s="1">
        <v>4</v>
      </c>
      <c r="CP10" s="1">
        <v>4</v>
      </c>
      <c r="CU10" s="1">
        <v>1</v>
      </c>
    </row>
    <row r="11" spans="1:99" x14ac:dyDescent="0.35">
      <c r="A11" s="1" t="s">
        <v>923</v>
      </c>
      <c r="B11" s="1">
        <v>181311020</v>
      </c>
      <c r="S11" s="1">
        <v>4</v>
      </c>
      <c r="T11" s="1">
        <v>1</v>
      </c>
      <c r="U11" s="1">
        <v>4</v>
      </c>
      <c r="V11" s="1">
        <v>3</v>
      </c>
      <c r="W11" s="1">
        <v>4</v>
      </c>
      <c r="X11" s="1">
        <v>4</v>
      </c>
      <c r="Y11" s="1">
        <v>3</v>
      </c>
      <c r="Z11" s="1">
        <v>3</v>
      </c>
      <c r="AA11" s="1">
        <v>4</v>
      </c>
      <c r="CQ11" s="1">
        <v>1</v>
      </c>
      <c r="CR11" s="1" t="s">
        <v>924</v>
      </c>
      <c r="CS11" s="1" t="s">
        <v>925</v>
      </c>
      <c r="CT11" s="5">
        <v>44490</v>
      </c>
      <c r="CU11" s="1">
        <v>1</v>
      </c>
    </row>
    <row r="12" spans="1:99" x14ac:dyDescent="0.35">
      <c r="A12" s="1" t="s">
        <v>926</v>
      </c>
      <c r="B12" s="1">
        <v>181311025</v>
      </c>
      <c r="C12" s="1">
        <v>0</v>
      </c>
      <c r="D12" s="1">
        <v>1</v>
      </c>
      <c r="E12" s="1">
        <v>0</v>
      </c>
      <c r="F12" s="1">
        <v>0</v>
      </c>
      <c r="G12" s="1">
        <v>0</v>
      </c>
      <c r="H12" s="1">
        <v>0</v>
      </c>
      <c r="I12" s="1">
        <v>0</v>
      </c>
      <c r="J12" s="1">
        <v>0</v>
      </c>
      <c r="K12" s="1">
        <v>0</v>
      </c>
      <c r="L12" s="1">
        <v>0</v>
      </c>
      <c r="M12" s="1">
        <v>0</v>
      </c>
      <c r="N12" s="1">
        <v>0</v>
      </c>
      <c r="O12" s="1">
        <v>0</v>
      </c>
      <c r="P12" s="1">
        <v>14</v>
      </c>
      <c r="Q12" s="1">
        <v>9</v>
      </c>
      <c r="R12" s="1">
        <v>7</v>
      </c>
      <c r="S12" s="1">
        <v>1</v>
      </c>
      <c r="T12" s="1">
        <v>1</v>
      </c>
      <c r="U12" s="1">
        <v>4</v>
      </c>
      <c r="V12" s="1">
        <v>3</v>
      </c>
      <c r="W12" s="1">
        <v>3</v>
      </c>
      <c r="X12" s="1">
        <v>3</v>
      </c>
      <c r="Y12" s="1">
        <v>3</v>
      </c>
      <c r="Z12" s="1">
        <v>4</v>
      </c>
      <c r="AA12" s="1">
        <v>4</v>
      </c>
      <c r="AC12" s="1">
        <v>1</v>
      </c>
      <c r="AD12" s="1">
        <v>5</v>
      </c>
      <c r="AF12" s="3">
        <v>5600000</v>
      </c>
      <c r="AG12" s="1">
        <v>13</v>
      </c>
      <c r="AT12" s="1" t="s">
        <v>75</v>
      </c>
      <c r="BP12" s="1">
        <v>3</v>
      </c>
      <c r="BQ12" s="1" t="s">
        <v>927</v>
      </c>
      <c r="BR12" s="1" t="s">
        <v>928</v>
      </c>
      <c r="BS12" s="1" t="s">
        <v>929</v>
      </c>
      <c r="BT12" s="1" t="s">
        <v>73</v>
      </c>
      <c r="BU12" s="1">
        <v>3</v>
      </c>
      <c r="BV12" s="1">
        <v>1</v>
      </c>
      <c r="BW12" s="1">
        <v>1</v>
      </c>
      <c r="BX12" s="1">
        <v>0</v>
      </c>
      <c r="BY12" s="1">
        <v>0</v>
      </c>
      <c r="BZ12" s="1">
        <v>0</v>
      </c>
      <c r="CA12" s="1">
        <v>0</v>
      </c>
      <c r="CB12" s="1">
        <v>0</v>
      </c>
      <c r="CC12" s="1">
        <v>1</v>
      </c>
      <c r="CD12" s="1">
        <v>0</v>
      </c>
      <c r="CE12" s="1">
        <v>0</v>
      </c>
      <c r="CF12" s="1">
        <v>0</v>
      </c>
      <c r="CG12" s="1">
        <v>0</v>
      </c>
      <c r="CH12" s="1">
        <v>0</v>
      </c>
      <c r="CI12" s="1">
        <v>0</v>
      </c>
      <c r="CJ12" s="1">
        <v>4</v>
      </c>
      <c r="CK12" s="1">
        <v>4</v>
      </c>
      <c r="CL12" s="1">
        <v>4</v>
      </c>
      <c r="CM12" s="1">
        <v>4</v>
      </c>
      <c r="CN12" s="1">
        <v>4</v>
      </c>
      <c r="CO12" s="1">
        <v>4</v>
      </c>
      <c r="CP12" s="1">
        <v>4</v>
      </c>
      <c r="CU12" s="1">
        <v>1</v>
      </c>
    </row>
    <row r="13" spans="1:99" x14ac:dyDescent="0.35">
      <c r="A13" s="1" t="s">
        <v>930</v>
      </c>
      <c r="B13" s="1">
        <v>181311027</v>
      </c>
      <c r="C13" s="1">
        <v>1</v>
      </c>
      <c r="D13" s="1">
        <v>1</v>
      </c>
      <c r="E13" s="1">
        <v>0</v>
      </c>
      <c r="F13" s="1">
        <v>0</v>
      </c>
      <c r="G13" s="1">
        <v>1</v>
      </c>
      <c r="H13" s="1">
        <v>1</v>
      </c>
      <c r="I13" s="1">
        <v>1</v>
      </c>
      <c r="J13" s="1">
        <v>1</v>
      </c>
      <c r="K13" s="1">
        <v>1</v>
      </c>
      <c r="L13" s="1">
        <v>0</v>
      </c>
      <c r="M13" s="1">
        <v>1</v>
      </c>
      <c r="N13" s="1">
        <v>0</v>
      </c>
      <c r="O13" s="1">
        <v>0</v>
      </c>
      <c r="P13" s="1" t="s">
        <v>431</v>
      </c>
      <c r="Q13" s="1">
        <v>5</v>
      </c>
      <c r="R13" s="1">
        <v>3</v>
      </c>
      <c r="S13" s="1">
        <v>5</v>
      </c>
      <c r="T13" s="1">
        <v>1</v>
      </c>
      <c r="U13" s="1">
        <v>3</v>
      </c>
      <c r="V13" s="1">
        <v>3</v>
      </c>
      <c r="W13" s="1">
        <v>2</v>
      </c>
      <c r="X13" s="1">
        <v>3</v>
      </c>
      <c r="Y13" s="1">
        <v>2</v>
      </c>
      <c r="Z13" s="1">
        <v>3</v>
      </c>
      <c r="AA13" s="1">
        <v>3</v>
      </c>
      <c r="CU13" s="1">
        <v>4</v>
      </c>
    </row>
    <row r="14" spans="1:99" x14ac:dyDescent="0.35">
      <c r="A14" s="1" t="s">
        <v>931</v>
      </c>
      <c r="B14" s="1">
        <v>181311029</v>
      </c>
      <c r="C14" s="1">
        <v>0</v>
      </c>
      <c r="D14" s="1">
        <v>1</v>
      </c>
      <c r="E14" s="1">
        <v>1</v>
      </c>
      <c r="F14" s="1">
        <v>0</v>
      </c>
      <c r="G14" s="1">
        <v>0</v>
      </c>
      <c r="H14" s="1">
        <v>1</v>
      </c>
      <c r="I14" s="1">
        <v>0</v>
      </c>
      <c r="J14" s="1">
        <v>0</v>
      </c>
      <c r="K14" s="1">
        <v>1</v>
      </c>
      <c r="L14" s="1">
        <v>0</v>
      </c>
      <c r="M14" s="1">
        <v>0</v>
      </c>
      <c r="N14" s="1">
        <v>1</v>
      </c>
      <c r="O14" s="1">
        <v>0</v>
      </c>
      <c r="P14" s="1">
        <v>20</v>
      </c>
      <c r="Q14" s="1">
        <v>15</v>
      </c>
      <c r="R14" s="1">
        <v>10</v>
      </c>
    </row>
    <row r="15" spans="1:99" x14ac:dyDescent="0.35">
      <c r="A15" s="1" t="s">
        <v>932</v>
      </c>
      <c r="B15" s="1">
        <v>181311031</v>
      </c>
      <c r="C15" s="1">
        <v>0</v>
      </c>
      <c r="D15" s="1">
        <v>0</v>
      </c>
      <c r="E15" s="1">
        <v>1</v>
      </c>
      <c r="F15" s="1">
        <v>0</v>
      </c>
      <c r="G15" s="1">
        <v>0</v>
      </c>
      <c r="H15" s="1">
        <v>0</v>
      </c>
      <c r="I15" s="1">
        <v>0</v>
      </c>
      <c r="J15" s="1">
        <v>0</v>
      </c>
      <c r="K15" s="1">
        <v>0</v>
      </c>
      <c r="L15" s="1">
        <v>0</v>
      </c>
      <c r="M15" s="1">
        <v>0</v>
      </c>
      <c r="N15" s="1">
        <v>0</v>
      </c>
      <c r="O15" s="1">
        <v>0</v>
      </c>
      <c r="P15" s="1">
        <v>3</v>
      </c>
      <c r="Q15" s="1">
        <v>3</v>
      </c>
      <c r="R15" s="1">
        <v>3</v>
      </c>
      <c r="S15" s="1">
        <v>1</v>
      </c>
      <c r="T15" s="1">
        <v>1</v>
      </c>
      <c r="U15" s="1">
        <v>4</v>
      </c>
      <c r="V15" s="1">
        <v>2</v>
      </c>
      <c r="W15" s="1">
        <v>4</v>
      </c>
      <c r="X15" s="1">
        <v>3</v>
      </c>
      <c r="Y15" s="1">
        <v>4</v>
      </c>
      <c r="Z15" s="1">
        <v>3</v>
      </c>
      <c r="AA15" s="1">
        <v>4</v>
      </c>
      <c r="AC15" s="1">
        <v>1</v>
      </c>
      <c r="AD15" s="1">
        <v>0</v>
      </c>
      <c r="AF15" s="3">
        <v>6800000</v>
      </c>
      <c r="AG15" s="1">
        <v>13</v>
      </c>
      <c r="AT15" s="1" t="s">
        <v>83</v>
      </c>
      <c r="BP15" s="1">
        <v>3</v>
      </c>
      <c r="BQ15" s="1" t="s">
        <v>933</v>
      </c>
      <c r="BR15" s="1" t="s">
        <v>934</v>
      </c>
      <c r="BS15" s="1" t="s">
        <v>935</v>
      </c>
      <c r="BT15" s="1" t="s">
        <v>73</v>
      </c>
      <c r="BU15" s="1">
        <v>5</v>
      </c>
      <c r="BV15" s="1">
        <v>2</v>
      </c>
      <c r="BW15" s="1">
        <v>0</v>
      </c>
      <c r="BX15" s="1">
        <v>0</v>
      </c>
      <c r="BY15" s="1">
        <v>1</v>
      </c>
      <c r="BZ15" s="1">
        <v>0</v>
      </c>
      <c r="CA15" s="1">
        <v>1</v>
      </c>
      <c r="CB15" s="1">
        <v>1</v>
      </c>
      <c r="CC15" s="1">
        <v>1</v>
      </c>
      <c r="CD15" s="1">
        <v>1</v>
      </c>
      <c r="CE15" s="1">
        <v>1</v>
      </c>
      <c r="CF15" s="1">
        <v>0</v>
      </c>
      <c r="CG15" s="1">
        <v>1</v>
      </c>
      <c r="CH15" s="1">
        <v>0</v>
      </c>
      <c r="CI15" s="1">
        <v>0</v>
      </c>
      <c r="CJ15" s="1">
        <v>4</v>
      </c>
      <c r="CK15" s="1">
        <v>4</v>
      </c>
      <c r="CL15" s="1">
        <v>4</v>
      </c>
      <c r="CM15" s="1">
        <v>4</v>
      </c>
      <c r="CN15" s="1">
        <v>4</v>
      </c>
      <c r="CO15" s="1">
        <v>4</v>
      </c>
      <c r="CP15" s="1">
        <v>4</v>
      </c>
      <c r="CU15" s="1">
        <v>1</v>
      </c>
    </row>
    <row r="16" spans="1:99" x14ac:dyDescent="0.35">
      <c r="A16" s="1" t="s">
        <v>936</v>
      </c>
      <c r="B16" s="1">
        <v>181311034</v>
      </c>
      <c r="C16" s="1">
        <v>0</v>
      </c>
      <c r="D16" s="1">
        <v>0</v>
      </c>
      <c r="E16" s="1">
        <v>0</v>
      </c>
      <c r="F16" s="1">
        <v>0</v>
      </c>
      <c r="G16" s="1">
        <v>0</v>
      </c>
      <c r="H16" s="1">
        <v>0</v>
      </c>
      <c r="I16" s="1">
        <v>0</v>
      </c>
      <c r="J16" s="1">
        <v>0</v>
      </c>
      <c r="K16" s="1">
        <v>1</v>
      </c>
      <c r="L16" s="1">
        <v>0</v>
      </c>
      <c r="M16" s="1">
        <v>0</v>
      </c>
      <c r="N16" s="1">
        <v>0</v>
      </c>
      <c r="O16" s="1">
        <v>0</v>
      </c>
      <c r="P16" s="1">
        <v>1</v>
      </c>
      <c r="Q16" s="1">
        <v>1</v>
      </c>
      <c r="R16" s="1">
        <v>1</v>
      </c>
    </row>
    <row r="17" spans="1:99" x14ac:dyDescent="0.35">
      <c r="A17" s="1" t="s">
        <v>937</v>
      </c>
      <c r="B17" s="1">
        <v>181311036</v>
      </c>
      <c r="C17" s="1">
        <v>0</v>
      </c>
      <c r="D17" s="1">
        <v>0</v>
      </c>
      <c r="E17" s="1">
        <v>1</v>
      </c>
      <c r="F17" s="1">
        <v>0</v>
      </c>
      <c r="G17" s="1">
        <v>0</v>
      </c>
      <c r="H17" s="1">
        <v>0</v>
      </c>
      <c r="I17" s="1">
        <v>0</v>
      </c>
      <c r="J17" s="1">
        <v>0</v>
      </c>
      <c r="K17" s="1">
        <v>0</v>
      </c>
      <c r="L17" s="1">
        <v>0</v>
      </c>
      <c r="M17" s="1">
        <v>0</v>
      </c>
      <c r="N17" s="1">
        <v>0</v>
      </c>
      <c r="O17" s="1">
        <v>0</v>
      </c>
      <c r="P17" s="1">
        <v>1</v>
      </c>
      <c r="Q17" s="1">
        <v>1</v>
      </c>
      <c r="R17" s="1">
        <v>1</v>
      </c>
      <c r="S17" s="1">
        <v>1</v>
      </c>
      <c r="T17" s="1">
        <v>1</v>
      </c>
      <c r="U17" s="1">
        <v>4</v>
      </c>
      <c r="V17" s="1">
        <v>4</v>
      </c>
      <c r="W17" s="1">
        <v>2</v>
      </c>
      <c r="X17" s="1">
        <v>4</v>
      </c>
      <c r="Y17" s="1">
        <v>4</v>
      </c>
      <c r="Z17" s="1">
        <v>4</v>
      </c>
      <c r="AA17" s="1">
        <v>4</v>
      </c>
      <c r="AC17" s="1">
        <v>1</v>
      </c>
      <c r="AD17" s="1">
        <v>0</v>
      </c>
      <c r="AF17" s="3">
        <v>5800000</v>
      </c>
      <c r="AG17" s="1">
        <v>13</v>
      </c>
      <c r="AT17" s="1" t="s">
        <v>86</v>
      </c>
      <c r="BP17" s="1">
        <v>3</v>
      </c>
      <c r="BQ17" s="1" t="s">
        <v>938</v>
      </c>
      <c r="BR17" s="1" t="s">
        <v>939</v>
      </c>
      <c r="BS17" s="1" t="s">
        <v>940</v>
      </c>
      <c r="BT17" s="1" t="s">
        <v>79</v>
      </c>
      <c r="BU17" s="1">
        <v>1</v>
      </c>
      <c r="BV17" s="1">
        <v>1</v>
      </c>
      <c r="BW17" s="1">
        <v>1</v>
      </c>
      <c r="BX17" s="1">
        <v>0</v>
      </c>
      <c r="BY17" s="1">
        <v>0</v>
      </c>
      <c r="BZ17" s="1">
        <v>0</v>
      </c>
      <c r="CA17" s="1">
        <v>0</v>
      </c>
      <c r="CB17" s="1">
        <v>0</v>
      </c>
      <c r="CC17" s="1">
        <v>0</v>
      </c>
      <c r="CD17" s="1">
        <v>0</v>
      </c>
      <c r="CE17" s="1">
        <v>0</v>
      </c>
      <c r="CF17" s="1">
        <v>0</v>
      </c>
      <c r="CG17" s="1">
        <v>0</v>
      </c>
      <c r="CH17" s="1">
        <v>0</v>
      </c>
      <c r="CI17" s="1">
        <v>0</v>
      </c>
      <c r="CJ17" s="1">
        <v>4</v>
      </c>
      <c r="CK17" s="1">
        <v>4</v>
      </c>
      <c r="CL17" s="1">
        <v>3</v>
      </c>
      <c r="CM17" s="1">
        <v>4</v>
      </c>
      <c r="CN17" s="1">
        <v>4</v>
      </c>
      <c r="CO17" s="1">
        <v>4</v>
      </c>
      <c r="CP17" s="1">
        <v>4</v>
      </c>
      <c r="CU17" s="1">
        <v>4</v>
      </c>
    </row>
    <row r="18" spans="1:99" x14ac:dyDescent="0.35">
      <c r="A18" s="1" t="s">
        <v>941</v>
      </c>
      <c r="B18" s="1">
        <v>181311038</v>
      </c>
      <c r="C18" s="1">
        <v>1</v>
      </c>
      <c r="D18" s="1">
        <v>1</v>
      </c>
      <c r="E18" s="1">
        <v>0</v>
      </c>
      <c r="F18" s="1">
        <v>0</v>
      </c>
      <c r="G18" s="1">
        <v>0</v>
      </c>
      <c r="H18" s="1">
        <v>0</v>
      </c>
      <c r="I18" s="1">
        <v>0</v>
      </c>
      <c r="J18" s="1">
        <v>0</v>
      </c>
      <c r="K18" s="1">
        <v>0</v>
      </c>
      <c r="L18" s="1">
        <v>0</v>
      </c>
      <c r="M18" s="1">
        <v>0</v>
      </c>
      <c r="N18" s="1">
        <v>0</v>
      </c>
      <c r="O18" s="1">
        <v>0</v>
      </c>
      <c r="P18" s="1" t="s">
        <v>545</v>
      </c>
      <c r="Q18" s="1">
        <v>20</v>
      </c>
      <c r="R18" s="1">
        <v>8</v>
      </c>
      <c r="S18" s="1">
        <v>5</v>
      </c>
      <c r="T18" s="1">
        <v>1</v>
      </c>
      <c r="U18" s="1">
        <v>4</v>
      </c>
      <c r="V18" s="1">
        <v>4</v>
      </c>
      <c r="W18" s="1">
        <v>3</v>
      </c>
      <c r="X18" s="1">
        <v>3</v>
      </c>
      <c r="Y18" s="1">
        <v>4</v>
      </c>
      <c r="Z18" s="1">
        <v>4</v>
      </c>
      <c r="AA18" s="1">
        <v>4</v>
      </c>
    </row>
    <row r="19" spans="1:99" x14ac:dyDescent="0.35">
      <c r="A19" s="1" t="s">
        <v>942</v>
      </c>
      <c r="B19" s="1">
        <v>181311047</v>
      </c>
      <c r="C19" s="1">
        <v>0</v>
      </c>
      <c r="D19" s="1">
        <v>1</v>
      </c>
      <c r="E19" s="1">
        <v>0</v>
      </c>
      <c r="F19" s="1">
        <v>0</v>
      </c>
      <c r="G19" s="1">
        <v>0</v>
      </c>
      <c r="H19" s="1">
        <v>1</v>
      </c>
      <c r="I19" s="1">
        <v>0</v>
      </c>
      <c r="J19" s="1">
        <v>0</v>
      </c>
      <c r="K19" s="1">
        <v>1</v>
      </c>
      <c r="L19" s="1">
        <v>0</v>
      </c>
      <c r="M19" s="1">
        <v>0</v>
      </c>
      <c r="N19" s="1">
        <v>0</v>
      </c>
      <c r="O19" s="1">
        <v>0</v>
      </c>
      <c r="P19" s="1">
        <v>7</v>
      </c>
      <c r="Q19" s="1">
        <v>5</v>
      </c>
      <c r="R19" s="1">
        <v>5</v>
      </c>
      <c r="S19" s="1">
        <v>1</v>
      </c>
      <c r="T19" s="1">
        <v>3</v>
      </c>
      <c r="U19" s="1">
        <v>3</v>
      </c>
      <c r="V19" s="1">
        <v>4</v>
      </c>
      <c r="W19" s="1">
        <v>2</v>
      </c>
      <c r="X19" s="1">
        <v>4</v>
      </c>
      <c r="Y19" s="1">
        <v>3</v>
      </c>
      <c r="Z19" s="1">
        <v>4</v>
      </c>
      <c r="AA19" s="1">
        <v>3</v>
      </c>
      <c r="AC19" s="1">
        <v>1</v>
      </c>
      <c r="AD19" s="1">
        <v>5</v>
      </c>
      <c r="AF19" s="3">
        <v>7000000</v>
      </c>
      <c r="AG19" s="1">
        <v>23</v>
      </c>
      <c r="BD19" s="1" t="s">
        <v>943</v>
      </c>
      <c r="BP19" s="1">
        <v>3</v>
      </c>
      <c r="BQ19" s="1" t="s">
        <v>944</v>
      </c>
      <c r="BT19" s="1" t="s">
        <v>79</v>
      </c>
      <c r="BU19" s="1">
        <v>3</v>
      </c>
      <c r="BV19" s="1">
        <v>2</v>
      </c>
      <c r="BW19" s="1">
        <v>0</v>
      </c>
      <c r="BX19" s="1">
        <v>0</v>
      </c>
      <c r="BY19" s="1">
        <v>0</v>
      </c>
      <c r="BZ19" s="1">
        <v>0</v>
      </c>
      <c r="CA19" s="1">
        <v>0</v>
      </c>
      <c r="CB19" s="1">
        <v>0</v>
      </c>
      <c r="CC19" s="1">
        <v>0</v>
      </c>
      <c r="CD19" s="1">
        <v>0</v>
      </c>
      <c r="CE19" s="1">
        <v>0</v>
      </c>
      <c r="CF19" s="1">
        <v>0</v>
      </c>
      <c r="CG19" s="1">
        <v>0</v>
      </c>
      <c r="CH19" s="1">
        <v>0</v>
      </c>
      <c r="CI19" s="1" t="s">
        <v>945</v>
      </c>
      <c r="CJ19" s="1">
        <v>4</v>
      </c>
      <c r="CK19" s="1">
        <v>3</v>
      </c>
      <c r="CL19" s="1">
        <v>3</v>
      </c>
      <c r="CM19" s="1">
        <v>4</v>
      </c>
      <c r="CN19" s="1">
        <v>4</v>
      </c>
      <c r="CO19" s="1">
        <v>4</v>
      </c>
      <c r="CP19" s="1">
        <v>4</v>
      </c>
      <c r="CU19" s="1">
        <v>1</v>
      </c>
    </row>
    <row r="20" spans="1:99" x14ac:dyDescent="0.35">
      <c r="A20" s="1" t="s">
        <v>946</v>
      </c>
      <c r="B20" s="1">
        <v>181311049</v>
      </c>
      <c r="C20" s="1">
        <v>0</v>
      </c>
      <c r="D20" s="1">
        <v>1</v>
      </c>
      <c r="E20" s="1">
        <v>0</v>
      </c>
      <c r="F20" s="1">
        <v>0</v>
      </c>
      <c r="G20" s="1">
        <v>0</v>
      </c>
      <c r="H20" s="1">
        <v>0</v>
      </c>
      <c r="I20" s="1">
        <v>0</v>
      </c>
      <c r="J20" s="1">
        <v>0</v>
      </c>
      <c r="K20" s="1">
        <v>0</v>
      </c>
      <c r="L20" s="1">
        <v>0</v>
      </c>
      <c r="M20" s="1">
        <v>1</v>
      </c>
      <c r="N20" s="1">
        <v>0</v>
      </c>
      <c r="O20" s="1">
        <v>0</v>
      </c>
      <c r="P20" s="1">
        <v>2</v>
      </c>
      <c r="Q20" s="1">
        <v>2</v>
      </c>
      <c r="R20" s="1">
        <v>2</v>
      </c>
      <c r="S20" s="1">
        <v>1</v>
      </c>
      <c r="T20" s="1">
        <v>1</v>
      </c>
      <c r="U20" s="1">
        <v>4</v>
      </c>
      <c r="V20" s="1">
        <v>3</v>
      </c>
      <c r="W20" s="1">
        <v>2</v>
      </c>
      <c r="X20" s="1">
        <v>3</v>
      </c>
      <c r="Y20" s="1">
        <v>3</v>
      </c>
      <c r="Z20" s="1">
        <v>4</v>
      </c>
      <c r="AA20" s="1">
        <v>4</v>
      </c>
      <c r="AC20" s="1">
        <v>1</v>
      </c>
      <c r="AD20" s="1">
        <v>3</v>
      </c>
      <c r="AF20" s="3">
        <v>4900000</v>
      </c>
      <c r="AG20" s="1">
        <v>13</v>
      </c>
      <c r="AT20" s="1" t="s">
        <v>86</v>
      </c>
      <c r="BP20" s="1">
        <v>3</v>
      </c>
      <c r="BQ20" s="1" t="s">
        <v>947</v>
      </c>
      <c r="BR20" s="1" t="s">
        <v>948</v>
      </c>
      <c r="BS20" s="1" t="s">
        <v>940</v>
      </c>
      <c r="BT20" s="1" t="s">
        <v>79</v>
      </c>
      <c r="BU20" s="1">
        <v>3</v>
      </c>
      <c r="BV20" s="1">
        <v>1</v>
      </c>
      <c r="BW20" s="1">
        <v>0</v>
      </c>
      <c r="BX20" s="1">
        <v>0</v>
      </c>
      <c r="BY20" s="1">
        <v>1</v>
      </c>
      <c r="BZ20" s="1">
        <v>0</v>
      </c>
      <c r="CA20" s="1">
        <v>0</v>
      </c>
      <c r="CB20" s="1">
        <v>1</v>
      </c>
      <c r="CC20" s="1">
        <v>0</v>
      </c>
      <c r="CD20" s="1">
        <v>1</v>
      </c>
      <c r="CE20" s="1">
        <v>1</v>
      </c>
      <c r="CF20" s="1">
        <v>0</v>
      </c>
      <c r="CG20" s="1">
        <v>0</v>
      </c>
      <c r="CH20" s="1">
        <v>0</v>
      </c>
      <c r="CI20" s="1">
        <v>0</v>
      </c>
      <c r="CJ20" s="1">
        <v>4</v>
      </c>
      <c r="CK20" s="1">
        <v>4</v>
      </c>
      <c r="CL20" s="1">
        <v>3</v>
      </c>
      <c r="CM20" s="1">
        <v>4</v>
      </c>
      <c r="CN20" s="1">
        <v>4</v>
      </c>
      <c r="CO20" s="1">
        <v>4</v>
      </c>
      <c r="CP20" s="1">
        <v>4</v>
      </c>
      <c r="CU20" s="1">
        <v>3</v>
      </c>
    </row>
    <row r="21" spans="1:99" x14ac:dyDescent="0.35">
      <c r="A21" s="1" t="s">
        <v>949</v>
      </c>
      <c r="B21" s="1">
        <v>181311050</v>
      </c>
      <c r="C21" s="1">
        <v>1</v>
      </c>
      <c r="D21" s="1">
        <v>1</v>
      </c>
      <c r="E21" s="1">
        <v>0</v>
      </c>
      <c r="F21" s="1">
        <v>0</v>
      </c>
      <c r="G21" s="1">
        <v>0</v>
      </c>
      <c r="H21" s="1">
        <v>1</v>
      </c>
      <c r="I21" s="1">
        <v>1</v>
      </c>
      <c r="J21" s="1">
        <v>0</v>
      </c>
      <c r="K21" s="1">
        <v>1</v>
      </c>
      <c r="L21" s="1">
        <v>0</v>
      </c>
      <c r="M21" s="1">
        <v>0</v>
      </c>
      <c r="N21" s="1">
        <v>0</v>
      </c>
      <c r="O21" s="1">
        <v>0</v>
      </c>
      <c r="P21" s="1">
        <v>20</v>
      </c>
      <c r="Q21" s="1">
        <v>8</v>
      </c>
      <c r="R21" s="1">
        <v>5</v>
      </c>
    </row>
    <row r="22" spans="1:99" x14ac:dyDescent="0.35">
      <c r="A22" s="1" t="s">
        <v>950</v>
      </c>
      <c r="B22" s="1">
        <v>181311052</v>
      </c>
      <c r="C22" s="1">
        <v>0</v>
      </c>
      <c r="D22" s="1">
        <v>1</v>
      </c>
      <c r="E22" s="1">
        <v>0</v>
      </c>
      <c r="F22" s="1">
        <v>0</v>
      </c>
      <c r="G22" s="1">
        <v>0</v>
      </c>
      <c r="H22" s="1">
        <v>1</v>
      </c>
      <c r="I22" s="1">
        <v>0</v>
      </c>
      <c r="J22" s="1">
        <v>0</v>
      </c>
      <c r="K22" s="1">
        <v>0</v>
      </c>
      <c r="L22" s="1">
        <v>0</v>
      </c>
      <c r="M22" s="1">
        <v>0</v>
      </c>
      <c r="N22" s="1">
        <v>0</v>
      </c>
      <c r="O22" s="1">
        <v>0</v>
      </c>
      <c r="P22" s="1">
        <v>40</v>
      </c>
      <c r="Q22" s="1">
        <v>10</v>
      </c>
      <c r="R22" s="1">
        <v>3</v>
      </c>
      <c r="S22" s="1">
        <v>1</v>
      </c>
      <c r="T22" s="1">
        <v>1</v>
      </c>
      <c r="U22" s="1">
        <v>3</v>
      </c>
      <c r="V22" s="1">
        <v>3</v>
      </c>
      <c r="W22" s="1">
        <v>3</v>
      </c>
      <c r="X22" s="1">
        <v>3</v>
      </c>
      <c r="Y22" s="1">
        <v>3</v>
      </c>
      <c r="Z22" s="1">
        <v>4</v>
      </c>
      <c r="AA22" s="1">
        <v>4</v>
      </c>
      <c r="AC22" s="1">
        <v>2</v>
      </c>
      <c r="AE22" s="1">
        <v>4</v>
      </c>
      <c r="AF22" s="3">
        <v>6317000</v>
      </c>
      <c r="AG22" s="1">
        <v>21</v>
      </c>
      <c r="BB22" s="1" t="s">
        <v>951</v>
      </c>
      <c r="BP22" s="1">
        <v>3</v>
      </c>
      <c r="BQ22" s="1" t="s">
        <v>952</v>
      </c>
      <c r="BR22" s="1" t="s">
        <v>953</v>
      </c>
      <c r="BS22" s="1" t="s">
        <v>954</v>
      </c>
      <c r="BT22" s="1" t="s">
        <v>79</v>
      </c>
      <c r="BU22" s="1">
        <v>5</v>
      </c>
      <c r="BV22" s="1">
        <v>1</v>
      </c>
      <c r="BW22" s="1">
        <v>0</v>
      </c>
      <c r="BX22" s="1">
        <v>0</v>
      </c>
      <c r="BY22" s="1">
        <v>1</v>
      </c>
      <c r="BZ22" s="1">
        <v>0</v>
      </c>
      <c r="CA22" s="1">
        <v>0</v>
      </c>
      <c r="CB22" s="1">
        <v>1</v>
      </c>
      <c r="CC22" s="1">
        <v>0</v>
      </c>
      <c r="CD22" s="1">
        <v>1</v>
      </c>
      <c r="CE22" s="1">
        <v>0</v>
      </c>
      <c r="CF22" s="1">
        <v>0</v>
      </c>
      <c r="CG22" s="1">
        <v>0</v>
      </c>
      <c r="CH22" s="1">
        <v>0</v>
      </c>
      <c r="CI22" s="1">
        <v>0</v>
      </c>
      <c r="CJ22" s="1">
        <v>4</v>
      </c>
      <c r="CK22" s="1">
        <v>2</v>
      </c>
      <c r="CL22" s="1">
        <v>2</v>
      </c>
      <c r="CM22" s="1">
        <v>3</v>
      </c>
      <c r="CN22" s="1">
        <v>3</v>
      </c>
      <c r="CO22" s="1">
        <v>4</v>
      </c>
      <c r="CP22" s="1">
        <v>3</v>
      </c>
      <c r="CU22" s="1">
        <v>1</v>
      </c>
    </row>
    <row r="23" spans="1:99" x14ac:dyDescent="0.35">
      <c r="A23" s="1" t="s">
        <v>955</v>
      </c>
      <c r="B23" s="1">
        <v>181311053</v>
      </c>
      <c r="C23" s="1">
        <v>0</v>
      </c>
      <c r="D23" s="1">
        <v>1</v>
      </c>
      <c r="E23" s="1">
        <v>0</v>
      </c>
      <c r="F23" s="1">
        <v>0</v>
      </c>
      <c r="G23" s="1">
        <v>0</v>
      </c>
      <c r="H23" s="1">
        <v>1</v>
      </c>
      <c r="I23" s="1">
        <v>0</v>
      </c>
      <c r="J23" s="1">
        <v>0</v>
      </c>
      <c r="K23" s="1">
        <v>1</v>
      </c>
      <c r="L23" s="1">
        <v>0</v>
      </c>
      <c r="M23" s="1">
        <v>0</v>
      </c>
      <c r="N23" s="1">
        <v>0</v>
      </c>
      <c r="O23" s="1">
        <v>0</v>
      </c>
      <c r="P23" s="1">
        <v>12</v>
      </c>
      <c r="Q23" s="1">
        <v>3</v>
      </c>
      <c r="R23" s="1">
        <v>1</v>
      </c>
      <c r="S23" s="1">
        <v>5</v>
      </c>
      <c r="T23" s="1">
        <v>1</v>
      </c>
      <c r="U23" s="1">
        <v>4</v>
      </c>
      <c r="V23" s="1">
        <v>3</v>
      </c>
      <c r="W23" s="1">
        <v>3</v>
      </c>
      <c r="X23" s="1">
        <v>3</v>
      </c>
      <c r="Y23" s="1">
        <v>4</v>
      </c>
      <c r="Z23" s="1">
        <v>3</v>
      </c>
      <c r="AA23" s="1">
        <v>4</v>
      </c>
      <c r="CU23" s="1">
        <v>1</v>
      </c>
    </row>
    <row r="24" spans="1:99" x14ac:dyDescent="0.35">
      <c r="A24" s="1" t="s">
        <v>956</v>
      </c>
      <c r="B24" s="1">
        <v>181311055</v>
      </c>
      <c r="C24" s="1">
        <v>1</v>
      </c>
      <c r="D24" s="1">
        <v>1</v>
      </c>
      <c r="E24" s="1">
        <v>0</v>
      </c>
      <c r="F24" s="1">
        <v>0</v>
      </c>
      <c r="G24" s="1">
        <v>0</v>
      </c>
      <c r="H24" s="1">
        <v>1</v>
      </c>
      <c r="I24" s="1">
        <v>0</v>
      </c>
      <c r="J24" s="1">
        <v>1</v>
      </c>
      <c r="K24" s="1">
        <v>1</v>
      </c>
      <c r="L24" s="1">
        <v>0</v>
      </c>
      <c r="M24" s="1">
        <v>0</v>
      </c>
      <c r="N24" s="1">
        <v>0</v>
      </c>
      <c r="O24" s="1">
        <v>0</v>
      </c>
      <c r="P24" s="1">
        <v>7</v>
      </c>
      <c r="Q24" s="1">
        <v>5</v>
      </c>
      <c r="R24" s="1">
        <v>4</v>
      </c>
      <c r="S24" s="1">
        <v>1</v>
      </c>
      <c r="T24" s="1">
        <v>1</v>
      </c>
      <c r="U24" s="1">
        <v>4</v>
      </c>
      <c r="V24" s="1">
        <v>3</v>
      </c>
      <c r="W24" s="1">
        <v>3</v>
      </c>
      <c r="X24" s="1">
        <v>3</v>
      </c>
      <c r="Y24" s="1">
        <v>4</v>
      </c>
      <c r="Z24" s="1">
        <v>4</v>
      </c>
      <c r="AA24" s="1">
        <v>4</v>
      </c>
      <c r="AC24" s="1">
        <v>1</v>
      </c>
      <c r="AD24" s="1">
        <v>3</v>
      </c>
      <c r="AE24" s="1">
        <v>3</v>
      </c>
      <c r="AF24" s="3">
        <v>7000000</v>
      </c>
      <c r="AG24" s="1">
        <v>12</v>
      </c>
      <c r="AS24" s="1" t="s">
        <v>244</v>
      </c>
      <c r="BP24" s="1">
        <v>3</v>
      </c>
      <c r="BQ24" s="1" t="s">
        <v>957</v>
      </c>
      <c r="BR24" s="1" t="s">
        <v>958</v>
      </c>
      <c r="BT24" s="1" t="s">
        <v>73</v>
      </c>
      <c r="BU24" s="1">
        <v>3</v>
      </c>
      <c r="BV24" s="1">
        <v>1</v>
      </c>
      <c r="BW24" s="1">
        <v>0</v>
      </c>
      <c r="BX24" s="1">
        <v>0</v>
      </c>
      <c r="BY24" s="1">
        <v>1</v>
      </c>
      <c r="BZ24" s="1">
        <v>0</v>
      </c>
      <c r="CA24" s="1">
        <v>0</v>
      </c>
      <c r="CB24" s="1">
        <v>1</v>
      </c>
      <c r="CC24" s="1">
        <v>1</v>
      </c>
      <c r="CD24" s="1">
        <v>1</v>
      </c>
      <c r="CE24" s="1">
        <v>0</v>
      </c>
      <c r="CF24" s="1">
        <v>0</v>
      </c>
      <c r="CG24" s="1">
        <v>0</v>
      </c>
      <c r="CH24" s="1">
        <v>1</v>
      </c>
      <c r="CI24" s="1">
        <v>0</v>
      </c>
      <c r="CJ24" s="1">
        <v>4</v>
      </c>
      <c r="CK24" s="1">
        <v>3</v>
      </c>
      <c r="CL24" s="1">
        <v>4</v>
      </c>
      <c r="CM24" s="1">
        <v>4</v>
      </c>
      <c r="CN24" s="1">
        <v>4</v>
      </c>
      <c r="CO24" s="1">
        <v>4</v>
      </c>
      <c r="CP24" s="1">
        <v>4</v>
      </c>
      <c r="CU24" s="1">
        <v>1</v>
      </c>
    </row>
    <row r="25" spans="1:99" x14ac:dyDescent="0.35">
      <c r="A25" s="1" t="s">
        <v>959</v>
      </c>
      <c r="B25" s="1">
        <v>181311056</v>
      </c>
      <c r="C25" s="1">
        <v>0</v>
      </c>
      <c r="D25" s="1">
        <v>1</v>
      </c>
      <c r="E25" s="1">
        <v>1</v>
      </c>
      <c r="F25" s="1">
        <v>0</v>
      </c>
      <c r="G25" s="1">
        <v>0</v>
      </c>
      <c r="H25" s="1">
        <v>1</v>
      </c>
      <c r="I25" s="1">
        <v>0</v>
      </c>
      <c r="J25" s="1">
        <v>0</v>
      </c>
      <c r="K25" s="1">
        <v>0</v>
      </c>
      <c r="L25" s="1">
        <v>0</v>
      </c>
      <c r="M25" s="1">
        <v>0</v>
      </c>
      <c r="N25" s="1">
        <v>0</v>
      </c>
      <c r="O25" s="1">
        <v>0</v>
      </c>
      <c r="P25" s="1">
        <v>28</v>
      </c>
      <c r="Q25" s="1">
        <v>6</v>
      </c>
      <c r="R25" s="1">
        <v>3</v>
      </c>
      <c r="S25" s="1">
        <v>1</v>
      </c>
      <c r="T25" s="1">
        <v>1</v>
      </c>
      <c r="U25" s="1">
        <v>2</v>
      </c>
      <c r="V25" s="1">
        <v>3</v>
      </c>
      <c r="W25" s="1">
        <v>3</v>
      </c>
      <c r="X25" s="1">
        <v>3</v>
      </c>
      <c r="Y25" s="1">
        <v>2</v>
      </c>
      <c r="Z25" s="1">
        <v>2</v>
      </c>
      <c r="AA25" s="1">
        <v>3</v>
      </c>
      <c r="AC25" s="1">
        <v>1</v>
      </c>
      <c r="AD25" s="1">
        <v>2</v>
      </c>
      <c r="AF25" s="3">
        <v>7500000</v>
      </c>
      <c r="AG25" s="1">
        <v>14</v>
      </c>
      <c r="AU25" s="1" t="s">
        <v>960</v>
      </c>
      <c r="BP25" s="1">
        <v>3</v>
      </c>
      <c r="BQ25" s="1" t="s">
        <v>961</v>
      </c>
      <c r="BR25" s="1" t="s">
        <v>962</v>
      </c>
      <c r="BS25" s="1" t="s">
        <v>963</v>
      </c>
      <c r="BT25" s="1" t="s">
        <v>73</v>
      </c>
      <c r="BU25" s="1">
        <v>3</v>
      </c>
      <c r="BV25" s="1">
        <v>1</v>
      </c>
      <c r="BW25" s="1">
        <v>0</v>
      </c>
      <c r="BX25" s="1">
        <v>0</v>
      </c>
      <c r="BY25" s="1">
        <v>1</v>
      </c>
      <c r="BZ25" s="1">
        <v>0</v>
      </c>
      <c r="CA25" s="1">
        <v>0</v>
      </c>
      <c r="CB25" s="1">
        <v>0</v>
      </c>
      <c r="CC25" s="1">
        <v>0</v>
      </c>
      <c r="CD25" s="1">
        <v>1</v>
      </c>
      <c r="CE25" s="1">
        <v>0</v>
      </c>
      <c r="CF25" s="1">
        <v>0</v>
      </c>
      <c r="CG25" s="1">
        <v>0</v>
      </c>
      <c r="CH25" s="1">
        <v>0</v>
      </c>
      <c r="CI25" s="1">
        <v>0</v>
      </c>
      <c r="CJ25" s="1">
        <v>2</v>
      </c>
      <c r="CK25" s="1">
        <v>4</v>
      </c>
      <c r="CL25" s="1">
        <v>4</v>
      </c>
      <c r="CM25" s="1">
        <v>4</v>
      </c>
      <c r="CN25" s="1">
        <v>4</v>
      </c>
      <c r="CO25" s="1">
        <v>4</v>
      </c>
      <c r="CP25" s="1">
        <v>4</v>
      </c>
      <c r="CU25" s="1">
        <v>1</v>
      </c>
    </row>
    <row r="26" spans="1:99" x14ac:dyDescent="0.35">
      <c r="A26" s="1" t="s">
        <v>964</v>
      </c>
      <c r="B26" s="1">
        <v>181311058</v>
      </c>
      <c r="C26" s="1">
        <v>0</v>
      </c>
      <c r="D26" s="1">
        <v>1</v>
      </c>
      <c r="E26" s="1">
        <v>0</v>
      </c>
      <c r="F26" s="1">
        <v>1</v>
      </c>
      <c r="G26" s="1">
        <v>0</v>
      </c>
      <c r="H26" s="1">
        <v>1</v>
      </c>
      <c r="I26" s="1">
        <v>0</v>
      </c>
      <c r="J26" s="1">
        <v>1</v>
      </c>
      <c r="K26" s="1">
        <v>1</v>
      </c>
      <c r="L26" s="1">
        <v>0</v>
      </c>
      <c r="M26" s="1">
        <v>0</v>
      </c>
      <c r="N26" s="1">
        <v>0</v>
      </c>
      <c r="O26" s="1">
        <v>0</v>
      </c>
      <c r="P26" s="1" t="s">
        <v>463</v>
      </c>
      <c r="Q26" s="1" t="s">
        <v>965</v>
      </c>
      <c r="R26" s="9">
        <v>0.3</v>
      </c>
      <c r="S26" s="1">
        <v>1</v>
      </c>
      <c r="T26" s="1">
        <v>1</v>
      </c>
      <c r="U26" s="1">
        <v>4</v>
      </c>
      <c r="V26" s="1">
        <v>4</v>
      </c>
      <c r="W26" s="1">
        <v>4</v>
      </c>
      <c r="X26" s="1">
        <v>4</v>
      </c>
      <c r="Y26" s="1">
        <v>4</v>
      </c>
      <c r="Z26" s="1">
        <v>4</v>
      </c>
      <c r="AA26" s="1">
        <v>4</v>
      </c>
      <c r="AC26" s="1">
        <v>1</v>
      </c>
      <c r="AD26" s="1">
        <v>4</v>
      </c>
      <c r="AF26" s="3">
        <v>4500000</v>
      </c>
      <c r="AG26" s="1">
        <v>13</v>
      </c>
      <c r="AT26" s="1" t="s">
        <v>392</v>
      </c>
      <c r="BP26" s="1">
        <v>3</v>
      </c>
      <c r="BQ26" s="1" t="s">
        <v>966</v>
      </c>
      <c r="BR26" s="1" t="s">
        <v>967</v>
      </c>
      <c r="BS26" s="1" t="s">
        <v>968</v>
      </c>
      <c r="BT26" s="1" t="s">
        <v>73</v>
      </c>
      <c r="BU26" s="1">
        <v>5</v>
      </c>
      <c r="BV26" s="1">
        <v>1</v>
      </c>
      <c r="BW26" s="1">
        <v>0</v>
      </c>
      <c r="BX26" s="1">
        <v>0</v>
      </c>
      <c r="BY26" s="1">
        <v>1</v>
      </c>
      <c r="BZ26" s="1">
        <v>0</v>
      </c>
      <c r="CA26" s="1">
        <v>0</v>
      </c>
      <c r="CB26" s="1">
        <v>0</v>
      </c>
      <c r="CC26" s="1">
        <v>1</v>
      </c>
      <c r="CD26" s="1">
        <v>1</v>
      </c>
      <c r="CE26" s="1">
        <v>0</v>
      </c>
      <c r="CF26" s="1">
        <v>0</v>
      </c>
      <c r="CG26" s="1">
        <v>0</v>
      </c>
      <c r="CH26" s="1">
        <v>1</v>
      </c>
      <c r="CI26" s="1">
        <v>0</v>
      </c>
      <c r="CJ26" s="1">
        <v>4</v>
      </c>
      <c r="CK26" s="1">
        <v>4</v>
      </c>
      <c r="CL26" s="1">
        <v>4</v>
      </c>
      <c r="CM26" s="1">
        <v>4</v>
      </c>
      <c r="CN26" s="1">
        <v>4</v>
      </c>
      <c r="CO26" s="1">
        <v>4</v>
      </c>
      <c r="CP26" s="1">
        <v>4</v>
      </c>
      <c r="CU26" s="1">
        <v>1</v>
      </c>
    </row>
    <row r="27" spans="1:99" x14ac:dyDescent="0.35">
      <c r="A27" s="1" t="s">
        <v>969</v>
      </c>
      <c r="B27" s="1">
        <v>181311059</v>
      </c>
      <c r="C27" s="1">
        <v>0</v>
      </c>
      <c r="D27" s="1">
        <v>1</v>
      </c>
      <c r="E27" s="1">
        <v>0</v>
      </c>
      <c r="F27" s="1">
        <v>0</v>
      </c>
      <c r="G27" s="1">
        <v>0</v>
      </c>
      <c r="H27" s="1">
        <v>0</v>
      </c>
      <c r="I27" s="1">
        <v>0</v>
      </c>
      <c r="J27" s="1">
        <v>0</v>
      </c>
      <c r="K27" s="1">
        <v>0</v>
      </c>
      <c r="L27" s="1">
        <v>0</v>
      </c>
      <c r="M27" s="1">
        <v>0</v>
      </c>
      <c r="N27" s="1">
        <v>0</v>
      </c>
      <c r="O27" s="1">
        <v>0</v>
      </c>
      <c r="P27" s="1">
        <v>10</v>
      </c>
      <c r="Q27" s="1">
        <v>4</v>
      </c>
      <c r="R27" s="1">
        <v>3</v>
      </c>
      <c r="S27" s="1">
        <v>1</v>
      </c>
      <c r="T27" s="1">
        <v>1</v>
      </c>
      <c r="U27" s="1">
        <v>4</v>
      </c>
      <c r="V27" s="1">
        <v>3</v>
      </c>
      <c r="W27" s="1">
        <v>3</v>
      </c>
      <c r="X27" s="1">
        <v>3</v>
      </c>
      <c r="Y27" s="1">
        <v>3</v>
      </c>
      <c r="Z27" s="1">
        <v>3</v>
      </c>
      <c r="AA27" s="1">
        <v>3</v>
      </c>
      <c r="AC27" s="1">
        <v>2</v>
      </c>
      <c r="AE27" s="1">
        <v>4</v>
      </c>
      <c r="AF27" s="3">
        <v>4500000</v>
      </c>
      <c r="AG27" s="1">
        <v>13</v>
      </c>
      <c r="AT27" s="1" t="s">
        <v>86</v>
      </c>
      <c r="BP27" s="1">
        <v>3</v>
      </c>
      <c r="BQ27" s="1" t="s">
        <v>970</v>
      </c>
      <c r="BR27" s="1" t="s">
        <v>971</v>
      </c>
      <c r="BS27" s="1" t="s">
        <v>972</v>
      </c>
      <c r="BT27" s="1" t="s">
        <v>107</v>
      </c>
      <c r="BU27" s="1">
        <v>1</v>
      </c>
      <c r="BV27" s="1">
        <v>1</v>
      </c>
      <c r="BW27" s="1">
        <v>1</v>
      </c>
      <c r="BX27" s="1">
        <v>0</v>
      </c>
      <c r="BY27" s="1">
        <v>0</v>
      </c>
      <c r="BZ27" s="1">
        <v>0</v>
      </c>
      <c r="CA27" s="1">
        <v>0</v>
      </c>
      <c r="CB27" s="1">
        <v>0</v>
      </c>
      <c r="CC27" s="1">
        <v>0</v>
      </c>
      <c r="CD27" s="1">
        <v>0</v>
      </c>
      <c r="CE27" s="1">
        <v>0</v>
      </c>
      <c r="CF27" s="1">
        <v>0</v>
      </c>
      <c r="CG27" s="1">
        <v>0</v>
      </c>
      <c r="CH27" s="1">
        <v>0</v>
      </c>
      <c r="CI27" s="1">
        <v>0</v>
      </c>
      <c r="CJ27" s="1">
        <v>4</v>
      </c>
      <c r="CK27" s="1">
        <v>4</v>
      </c>
      <c r="CL27" s="1">
        <v>3</v>
      </c>
      <c r="CM27" s="1">
        <v>4</v>
      </c>
      <c r="CN27" s="1">
        <v>4</v>
      </c>
      <c r="CO27" s="1">
        <v>4</v>
      </c>
      <c r="CP27" s="1">
        <v>4</v>
      </c>
      <c r="CU27" s="1">
        <v>4</v>
      </c>
    </row>
    <row r="28" spans="1:99" x14ac:dyDescent="0.35">
      <c r="A28" s="1" t="s">
        <v>973</v>
      </c>
      <c r="B28" s="1">
        <v>181311061</v>
      </c>
      <c r="S28" s="1">
        <v>5</v>
      </c>
      <c r="T28" s="1">
        <v>3</v>
      </c>
      <c r="U28" s="1">
        <v>4</v>
      </c>
      <c r="V28" s="1">
        <v>4</v>
      </c>
      <c r="W28" s="1">
        <v>4</v>
      </c>
      <c r="X28" s="1">
        <v>4</v>
      </c>
      <c r="Y28" s="1">
        <v>4</v>
      </c>
      <c r="Z28" s="1">
        <v>4</v>
      </c>
      <c r="AA28" s="1">
        <v>4</v>
      </c>
      <c r="CU28" s="1">
        <v>2</v>
      </c>
    </row>
    <row r="29" spans="1:99" x14ac:dyDescent="0.35">
      <c r="A29" s="1" t="s">
        <v>974</v>
      </c>
      <c r="B29" s="1">
        <v>181311062</v>
      </c>
      <c r="C29" s="1">
        <v>0</v>
      </c>
      <c r="D29" s="1">
        <v>1</v>
      </c>
      <c r="E29" s="1">
        <v>0</v>
      </c>
      <c r="F29" s="1">
        <v>0</v>
      </c>
      <c r="G29" s="1">
        <v>0</v>
      </c>
      <c r="H29" s="1">
        <v>0</v>
      </c>
      <c r="I29" s="1">
        <v>0</v>
      </c>
      <c r="J29" s="1">
        <v>0</v>
      </c>
      <c r="K29" s="1">
        <v>1</v>
      </c>
      <c r="L29" s="1">
        <v>0</v>
      </c>
      <c r="M29" s="1">
        <v>0</v>
      </c>
      <c r="N29" s="1">
        <v>0</v>
      </c>
      <c r="O29" s="1">
        <v>0</v>
      </c>
      <c r="P29" s="1">
        <v>2</v>
      </c>
      <c r="Q29" s="1">
        <v>2</v>
      </c>
      <c r="R29" s="1">
        <v>2</v>
      </c>
      <c r="S29" s="1">
        <v>1</v>
      </c>
      <c r="T29" s="1">
        <v>1</v>
      </c>
      <c r="U29" s="1">
        <v>4</v>
      </c>
      <c r="V29" s="1">
        <v>4</v>
      </c>
      <c r="W29" s="1">
        <v>3</v>
      </c>
      <c r="X29" s="1">
        <v>4</v>
      </c>
      <c r="Y29" s="1">
        <v>4</v>
      </c>
      <c r="Z29" s="1">
        <v>4</v>
      </c>
      <c r="AA29" s="1">
        <v>4</v>
      </c>
      <c r="AC29" s="1">
        <v>1</v>
      </c>
      <c r="AD29" s="1">
        <v>3</v>
      </c>
      <c r="AE29" s="1">
        <v>1</v>
      </c>
      <c r="AF29" s="3">
        <v>5000000</v>
      </c>
      <c r="AG29" s="1">
        <v>13</v>
      </c>
      <c r="AT29" s="1" t="s">
        <v>402</v>
      </c>
      <c r="BP29" s="1">
        <v>3</v>
      </c>
      <c r="BQ29" s="1" t="s">
        <v>975</v>
      </c>
      <c r="BR29" s="1" t="s">
        <v>976</v>
      </c>
      <c r="BS29" s="1" t="s">
        <v>977</v>
      </c>
      <c r="BT29" s="1" t="s">
        <v>73</v>
      </c>
      <c r="BU29" s="1">
        <v>1</v>
      </c>
      <c r="BV29" s="1">
        <v>1</v>
      </c>
      <c r="BW29" s="1">
        <v>1</v>
      </c>
      <c r="BX29" s="1">
        <v>0</v>
      </c>
      <c r="BY29" s="1">
        <v>0</v>
      </c>
      <c r="BZ29" s="1">
        <v>0</v>
      </c>
      <c r="CA29" s="1">
        <v>0</v>
      </c>
      <c r="CB29" s="1">
        <v>0</v>
      </c>
      <c r="CC29" s="1">
        <v>0</v>
      </c>
      <c r="CD29" s="1">
        <v>0</v>
      </c>
      <c r="CE29" s="1">
        <v>0</v>
      </c>
      <c r="CF29" s="1">
        <v>0</v>
      </c>
      <c r="CG29" s="1">
        <v>0</v>
      </c>
      <c r="CH29" s="1">
        <v>0</v>
      </c>
      <c r="CI29" s="1">
        <v>0</v>
      </c>
      <c r="CJ29" s="1">
        <v>4</v>
      </c>
      <c r="CK29" s="1">
        <v>4</v>
      </c>
      <c r="CL29" s="1">
        <v>4</v>
      </c>
      <c r="CM29" s="1">
        <v>4</v>
      </c>
      <c r="CN29" s="1">
        <v>4</v>
      </c>
      <c r="CO29" s="1">
        <v>4</v>
      </c>
      <c r="CP29" s="1">
        <v>4</v>
      </c>
      <c r="CU29" s="1">
        <v>1</v>
      </c>
    </row>
    <row r="30" spans="1:99" x14ac:dyDescent="0.35">
      <c r="A30" s="1" t="s">
        <v>3647</v>
      </c>
      <c r="B30" s="1">
        <v>181311002</v>
      </c>
    </row>
    <row r="31" spans="1:99" x14ac:dyDescent="0.35">
      <c r="A31" s="1" t="s">
        <v>3648</v>
      </c>
      <c r="B31" s="1">
        <v>181311003</v>
      </c>
    </row>
    <row r="32" spans="1:99" x14ac:dyDescent="0.35">
      <c r="A32" s="1" t="s">
        <v>3649</v>
      </c>
      <c r="B32" s="1">
        <v>181311008</v>
      </c>
    </row>
    <row r="33" spans="1:2" x14ac:dyDescent="0.35">
      <c r="A33" s="1" t="s">
        <v>3650</v>
      </c>
      <c r="B33" s="1">
        <v>181311011</v>
      </c>
    </row>
    <row r="34" spans="1:2" x14ac:dyDescent="0.35">
      <c r="A34" s="1" t="s">
        <v>3651</v>
      </c>
      <c r="B34" s="1">
        <v>181311012</v>
      </c>
    </row>
    <row r="35" spans="1:2" x14ac:dyDescent="0.35">
      <c r="A35" s="1" t="s">
        <v>3652</v>
      </c>
      <c r="B35" s="1">
        <v>181311021</v>
      </c>
    </row>
    <row r="36" spans="1:2" x14ac:dyDescent="0.35">
      <c r="A36" s="1" t="s">
        <v>3653</v>
      </c>
      <c r="B36" s="1">
        <v>181311023</v>
      </c>
    </row>
    <row r="37" spans="1:2" x14ac:dyDescent="0.35">
      <c r="A37" s="1" t="s">
        <v>3654</v>
      </c>
      <c r="B37" s="1">
        <v>181311026</v>
      </c>
    </row>
    <row r="38" spans="1:2" x14ac:dyDescent="0.35">
      <c r="A38" s="1" t="s">
        <v>3655</v>
      </c>
      <c r="B38" s="1">
        <v>181311030</v>
      </c>
    </row>
    <row r="39" spans="1:2" x14ac:dyDescent="0.35">
      <c r="A39" s="1" t="s">
        <v>3656</v>
      </c>
      <c r="B39" s="1">
        <v>181311037</v>
      </c>
    </row>
    <row r="40" spans="1:2" x14ac:dyDescent="0.35">
      <c r="A40" s="1" t="s">
        <v>3657</v>
      </c>
      <c r="B40" s="1">
        <v>181311039</v>
      </c>
    </row>
    <row r="41" spans="1:2" x14ac:dyDescent="0.35">
      <c r="A41" s="1" t="s">
        <v>3658</v>
      </c>
      <c r="B41" s="1">
        <v>181311040</v>
      </c>
    </row>
    <row r="42" spans="1:2" x14ac:dyDescent="0.35">
      <c r="A42" s="1" t="s">
        <v>3659</v>
      </c>
      <c r="B42" s="1">
        <v>181311044</v>
      </c>
    </row>
    <row r="43" spans="1:2" x14ac:dyDescent="0.35">
      <c r="A43" s="1" t="s">
        <v>3660</v>
      </c>
      <c r="B43" s="1">
        <v>181311046</v>
      </c>
    </row>
    <row r="44" spans="1:2" x14ac:dyDescent="0.35">
      <c r="A44" s="1" t="s">
        <v>3661</v>
      </c>
      <c r="B44" s="1">
        <v>181311054</v>
      </c>
    </row>
    <row r="45" spans="1:2" x14ac:dyDescent="0.35">
      <c r="A45" s="1" t="s">
        <v>3662</v>
      </c>
      <c r="B45" s="1">
        <v>181311057</v>
      </c>
    </row>
    <row r="46" spans="1:2" x14ac:dyDescent="0.35">
      <c r="A46" s="1" t="s">
        <v>3663</v>
      </c>
      <c r="B46" s="1">
        <v>181311064</v>
      </c>
    </row>
    <row r="47" spans="1:2" x14ac:dyDescent="0.35">
      <c r="A47" s="1" t="s">
        <v>4308</v>
      </c>
      <c r="B47" s="1">
        <v>181311022</v>
      </c>
    </row>
    <row r="48" spans="1:2" x14ac:dyDescent="0.35">
      <c r="A48" s="1" t="s">
        <v>4313</v>
      </c>
      <c r="B48" s="1">
        <v>181311063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D72159-1215-4260-AA80-AC68FFC94B90}">
  <dimension ref="A1:CU35"/>
  <sheetViews>
    <sheetView topLeftCell="T1" zoomScale="40" zoomScaleNormal="40" workbookViewId="0">
      <pane ySplit="1" topLeftCell="A11" activePane="bottomLeft" state="frozen"/>
      <selection pane="bottomLeft" activeCell="T1" sqref="T1"/>
    </sheetView>
  </sheetViews>
  <sheetFormatPr defaultColWidth="8.90625" defaultRowHeight="14.5" x14ac:dyDescent="0.35"/>
  <cols>
    <col min="1" max="1" width="40.81640625" style="1" bestFit="1" customWidth="1"/>
    <col min="2" max="2" width="11.7265625" style="1" bestFit="1" customWidth="1"/>
    <col min="3" max="9" width="76" style="1" bestFit="1" customWidth="1"/>
    <col min="10" max="10" width="76.7265625" style="1" bestFit="1" customWidth="1"/>
    <col min="11" max="11" width="76.26953125" style="1" bestFit="1" customWidth="1"/>
    <col min="12" max="14" width="76.7265625" style="1" bestFit="1" customWidth="1"/>
    <col min="15" max="15" width="80.08984375" style="1" bestFit="1" customWidth="1"/>
    <col min="16" max="16" width="129.453125" style="1" bestFit="1" customWidth="1"/>
    <col min="17" max="17" width="76" style="1" bestFit="1" customWidth="1"/>
    <col min="18" max="18" width="86.26953125" style="1" bestFit="1" customWidth="1"/>
    <col min="19" max="19" width="30.81640625" style="1" bestFit="1" customWidth="1"/>
    <col min="20" max="20" width="49" style="1" bestFit="1" customWidth="1"/>
    <col min="21" max="21" width="80.36328125" style="1" bestFit="1" customWidth="1"/>
    <col min="22" max="22" width="107.81640625" style="1" bestFit="1" customWidth="1"/>
    <col min="23" max="23" width="89.90625" style="1" bestFit="1" customWidth="1"/>
    <col min="24" max="24" width="108.08984375" style="1" bestFit="1" customWidth="1"/>
    <col min="25" max="25" width="87.1796875" style="1" bestFit="1" customWidth="1"/>
    <col min="26" max="26" width="89.90625" style="1" bestFit="1" customWidth="1"/>
    <col min="27" max="27" width="94.6328125" style="1" bestFit="1" customWidth="1"/>
    <col min="28" max="28" width="50.36328125" style="1" bestFit="1" customWidth="1"/>
    <col min="29" max="29" width="86.90625" style="1" bestFit="1" customWidth="1"/>
    <col min="30" max="30" width="51" style="1" bestFit="1" customWidth="1"/>
    <col min="31" max="31" width="59.1796875" style="1" bestFit="1" customWidth="1"/>
    <col min="32" max="32" width="142.81640625" style="1" bestFit="1" customWidth="1"/>
    <col min="33" max="33" width="47.1796875" style="1" bestFit="1" customWidth="1"/>
    <col min="34" max="35" width="54.90625" style="1" bestFit="1" customWidth="1"/>
    <col min="36" max="37" width="55.36328125" style="1" bestFit="1" customWidth="1"/>
    <col min="38" max="38" width="54.90625" style="1" bestFit="1" customWidth="1"/>
    <col min="39" max="52" width="55.36328125" style="1" bestFit="1" customWidth="1"/>
    <col min="53" max="55" width="54.90625" style="1" bestFit="1" customWidth="1"/>
    <col min="56" max="64" width="55.36328125" style="1" bestFit="1" customWidth="1"/>
    <col min="65" max="67" width="54.90625" style="1" bestFit="1" customWidth="1"/>
    <col min="68" max="68" width="69.6328125" style="1" bestFit="1" customWidth="1"/>
    <col min="69" max="69" width="53.54296875" style="1" bestFit="1" customWidth="1"/>
    <col min="70" max="71" width="54.6328125" style="1" bestFit="1" customWidth="1"/>
    <col min="72" max="72" width="67.1796875" style="1" bestFit="1" customWidth="1"/>
    <col min="73" max="73" width="255.6328125" style="1" bestFit="1" customWidth="1"/>
    <col min="74" max="74" width="76.90625" style="1" bestFit="1" customWidth="1"/>
    <col min="75" max="75" width="138.08984375" style="1" bestFit="1" customWidth="1"/>
    <col min="76" max="83" width="138.54296875" style="1" bestFit="1" customWidth="1"/>
    <col min="84" max="84" width="139.453125" style="1" bestFit="1" customWidth="1"/>
    <col min="85" max="85" width="138.7265625" style="1" bestFit="1" customWidth="1"/>
    <col min="86" max="86" width="139.453125" style="1" bestFit="1" customWidth="1"/>
    <col min="87" max="87" width="142.6328125" style="1" bestFit="1" customWidth="1"/>
    <col min="88" max="88" width="90.54296875" style="1" bestFit="1" customWidth="1"/>
    <col min="89" max="89" width="118.08984375" style="1" bestFit="1" customWidth="1"/>
    <col min="90" max="90" width="100.08984375" style="1" bestFit="1" customWidth="1"/>
    <col min="91" max="91" width="118.26953125" style="1" bestFit="1" customWidth="1"/>
    <col min="92" max="92" width="97.36328125" style="1" bestFit="1" customWidth="1"/>
    <col min="93" max="93" width="100.08984375" style="1" bestFit="1" customWidth="1"/>
    <col min="94" max="94" width="104.90625" style="1" bestFit="1" customWidth="1"/>
    <col min="95" max="95" width="47.6328125" style="1" bestFit="1" customWidth="1"/>
    <col min="96" max="96" width="64.453125" style="1" bestFit="1" customWidth="1"/>
    <col min="97" max="97" width="29.6328125" style="1" bestFit="1" customWidth="1"/>
    <col min="98" max="98" width="30.54296875" style="1" bestFit="1" customWidth="1"/>
    <col min="99" max="99" width="78.26953125" style="1" bestFit="1" customWidth="1"/>
    <col min="100" max="16384" width="8.90625" style="1"/>
  </cols>
  <sheetData>
    <row r="1" spans="1:99" s="6" customFormat="1" x14ac:dyDescent="0.35">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6" t="s">
        <v>15</v>
      </c>
      <c r="Q1" s="6" t="s">
        <v>16</v>
      </c>
      <c r="R1" s="6" t="s">
        <v>17</v>
      </c>
      <c r="S1" s="6" t="s">
        <v>18</v>
      </c>
      <c r="T1" s="6" t="s">
        <v>19</v>
      </c>
      <c r="U1" s="6" t="s">
        <v>20</v>
      </c>
      <c r="V1" s="6" t="s">
        <v>21</v>
      </c>
      <c r="W1" s="6" t="s">
        <v>22</v>
      </c>
      <c r="X1" s="6" t="s">
        <v>23</v>
      </c>
      <c r="Y1" s="6" t="s">
        <v>24</v>
      </c>
      <c r="Z1" s="6" t="s">
        <v>25</v>
      </c>
      <c r="AA1" s="6" t="s">
        <v>26</v>
      </c>
      <c r="AB1" s="6" t="s">
        <v>27</v>
      </c>
      <c r="AC1" s="6" t="s">
        <v>28</v>
      </c>
      <c r="AD1" s="6" t="s">
        <v>29</v>
      </c>
      <c r="AE1" s="6" t="s">
        <v>30</v>
      </c>
      <c r="AF1" s="6" t="s">
        <v>31</v>
      </c>
      <c r="AG1" s="6" t="s">
        <v>32</v>
      </c>
      <c r="AH1" s="6" t="s">
        <v>33</v>
      </c>
      <c r="AI1" s="6" t="s">
        <v>33</v>
      </c>
      <c r="AJ1" s="6" t="s">
        <v>34</v>
      </c>
      <c r="AK1" s="6" t="s">
        <v>34</v>
      </c>
      <c r="AL1" s="6" t="s">
        <v>33</v>
      </c>
      <c r="AM1" s="6" t="s">
        <v>34</v>
      </c>
      <c r="AN1" s="6" t="s">
        <v>34</v>
      </c>
      <c r="AO1" s="6" t="s">
        <v>34</v>
      </c>
      <c r="AP1" s="6" t="s">
        <v>34</v>
      </c>
      <c r="AQ1" s="6" t="s">
        <v>34</v>
      </c>
      <c r="AR1" s="6" t="s">
        <v>34</v>
      </c>
      <c r="AS1" s="6" t="s">
        <v>34</v>
      </c>
      <c r="AT1" s="6" t="s">
        <v>34</v>
      </c>
      <c r="AU1" s="6" t="s">
        <v>34</v>
      </c>
      <c r="AV1" s="6" t="s">
        <v>34</v>
      </c>
      <c r="AW1" s="6" t="s">
        <v>34</v>
      </c>
      <c r="AX1" s="6" t="s">
        <v>34</v>
      </c>
      <c r="AY1" s="6" t="s">
        <v>34</v>
      </c>
      <c r="AZ1" s="6" t="s">
        <v>34</v>
      </c>
      <c r="BA1" s="6" t="s">
        <v>33</v>
      </c>
      <c r="BB1" s="6" t="s">
        <v>33</v>
      </c>
      <c r="BC1" s="6" t="s">
        <v>33</v>
      </c>
      <c r="BD1" s="6" t="s">
        <v>34</v>
      </c>
      <c r="BE1" s="6" t="s">
        <v>34</v>
      </c>
      <c r="BF1" s="6" t="s">
        <v>34</v>
      </c>
      <c r="BG1" s="6" t="s">
        <v>34</v>
      </c>
      <c r="BH1" s="6" t="s">
        <v>34</v>
      </c>
      <c r="BI1" s="6" t="s">
        <v>34</v>
      </c>
      <c r="BJ1" s="6" t="s">
        <v>34</v>
      </c>
      <c r="BK1" s="6" t="s">
        <v>34</v>
      </c>
      <c r="BL1" s="6" t="s">
        <v>34</v>
      </c>
      <c r="BM1" s="6" t="s">
        <v>33</v>
      </c>
      <c r="BN1" s="6" t="s">
        <v>33</v>
      </c>
      <c r="BO1" s="6" t="s">
        <v>33</v>
      </c>
      <c r="BP1" s="6" t="s">
        <v>35</v>
      </c>
      <c r="BQ1" s="6" t="s">
        <v>36</v>
      </c>
      <c r="BR1" s="6" t="s">
        <v>37</v>
      </c>
      <c r="BS1" s="6" t="s">
        <v>38</v>
      </c>
      <c r="BT1" s="6" t="s">
        <v>39</v>
      </c>
      <c r="BU1" s="6" t="s">
        <v>40</v>
      </c>
      <c r="BV1" s="6" t="s">
        <v>41</v>
      </c>
      <c r="BW1" s="6" t="s">
        <v>42</v>
      </c>
      <c r="BX1" s="6" t="s">
        <v>43</v>
      </c>
      <c r="BY1" s="6" t="s">
        <v>44</v>
      </c>
      <c r="BZ1" s="6" t="s">
        <v>45</v>
      </c>
      <c r="CA1" s="6" t="s">
        <v>46</v>
      </c>
      <c r="CB1" s="6" t="s">
        <v>47</v>
      </c>
      <c r="CC1" s="6" t="s">
        <v>48</v>
      </c>
      <c r="CD1" s="6" t="s">
        <v>49</v>
      </c>
      <c r="CE1" s="6" t="s">
        <v>50</v>
      </c>
      <c r="CF1" s="6" t="s">
        <v>51</v>
      </c>
      <c r="CG1" s="6" t="s">
        <v>52</v>
      </c>
      <c r="CH1" s="6" t="s">
        <v>53</v>
      </c>
      <c r="CI1" s="6" t="s">
        <v>54</v>
      </c>
      <c r="CJ1" s="6" t="s">
        <v>55</v>
      </c>
      <c r="CK1" s="6" t="s">
        <v>56</v>
      </c>
      <c r="CL1" s="6" t="s">
        <v>57</v>
      </c>
      <c r="CM1" s="6" t="s">
        <v>58</v>
      </c>
      <c r="CN1" s="6" t="s">
        <v>59</v>
      </c>
      <c r="CO1" s="6" t="s">
        <v>60</v>
      </c>
      <c r="CP1" s="6" t="s">
        <v>61</v>
      </c>
      <c r="CQ1" s="6" t="s">
        <v>62</v>
      </c>
      <c r="CR1" s="6" t="s">
        <v>63</v>
      </c>
      <c r="CS1" s="6" t="s">
        <v>64</v>
      </c>
      <c r="CT1" s="6" t="s">
        <v>65</v>
      </c>
      <c r="CU1" s="6" t="s">
        <v>66</v>
      </c>
    </row>
    <row r="2" spans="1:99" x14ac:dyDescent="0.35">
      <c r="A2" s="1" t="s">
        <v>978</v>
      </c>
      <c r="B2" s="1">
        <v>161524007</v>
      </c>
      <c r="C2" s="1">
        <v>0</v>
      </c>
      <c r="D2" s="1">
        <v>1</v>
      </c>
      <c r="E2" s="1">
        <v>1</v>
      </c>
      <c r="F2" s="1">
        <v>0</v>
      </c>
      <c r="G2" s="1">
        <v>0</v>
      </c>
      <c r="H2" s="1">
        <v>0</v>
      </c>
      <c r="I2" s="1">
        <v>1</v>
      </c>
      <c r="J2" s="1">
        <v>0</v>
      </c>
      <c r="K2" s="1">
        <v>1</v>
      </c>
      <c r="L2" s="1">
        <v>0</v>
      </c>
      <c r="M2" s="1">
        <v>1</v>
      </c>
      <c r="N2" s="1">
        <v>1</v>
      </c>
      <c r="O2" s="1">
        <v>0</v>
      </c>
      <c r="P2" s="1">
        <v>8</v>
      </c>
      <c r="Q2" s="1">
        <v>5</v>
      </c>
      <c r="R2" s="1">
        <v>4</v>
      </c>
      <c r="S2" s="1">
        <v>1</v>
      </c>
      <c r="T2" s="1">
        <v>4</v>
      </c>
      <c r="U2" s="1">
        <v>4</v>
      </c>
      <c r="V2" s="1">
        <v>4</v>
      </c>
      <c r="W2" s="1">
        <v>3</v>
      </c>
      <c r="X2" s="1">
        <v>4</v>
      </c>
      <c r="Y2" s="1">
        <v>4</v>
      </c>
      <c r="Z2" s="1">
        <v>4</v>
      </c>
      <c r="AA2" s="1">
        <v>4</v>
      </c>
      <c r="AC2" s="1">
        <v>1</v>
      </c>
      <c r="AD2" s="1">
        <v>0</v>
      </c>
      <c r="AF2" s="3">
        <v>9500000</v>
      </c>
      <c r="AG2" s="1">
        <v>11</v>
      </c>
      <c r="AR2" s="1" t="s">
        <v>130</v>
      </c>
      <c r="BP2" s="1">
        <v>3</v>
      </c>
      <c r="BQ2" s="1" t="s">
        <v>979</v>
      </c>
      <c r="BR2" s="1" t="s">
        <v>980</v>
      </c>
      <c r="BS2" s="1" t="s">
        <v>981</v>
      </c>
      <c r="BT2" s="1" t="s">
        <v>73</v>
      </c>
      <c r="BU2" s="1">
        <v>1</v>
      </c>
      <c r="BV2" s="1">
        <v>2</v>
      </c>
      <c r="BW2" s="1">
        <v>1</v>
      </c>
      <c r="BX2" s="1">
        <v>0</v>
      </c>
      <c r="BY2" s="1">
        <v>0</v>
      </c>
      <c r="BZ2" s="1">
        <v>0</v>
      </c>
      <c r="CA2" s="1">
        <v>0</v>
      </c>
      <c r="CB2" s="1">
        <v>0</v>
      </c>
      <c r="CC2" s="1">
        <v>0</v>
      </c>
      <c r="CD2" s="1">
        <v>0</v>
      </c>
      <c r="CE2" s="1">
        <v>0</v>
      </c>
      <c r="CF2" s="1">
        <v>0</v>
      </c>
      <c r="CG2" s="1">
        <v>0</v>
      </c>
      <c r="CH2" s="1">
        <v>0</v>
      </c>
      <c r="CI2" s="1">
        <v>0</v>
      </c>
      <c r="CJ2" s="1">
        <v>4</v>
      </c>
      <c r="CK2" s="1">
        <v>4</v>
      </c>
      <c r="CL2" s="1">
        <v>4</v>
      </c>
      <c r="CM2" s="1">
        <v>4</v>
      </c>
      <c r="CN2" s="1">
        <v>4</v>
      </c>
      <c r="CO2" s="1">
        <v>4</v>
      </c>
      <c r="CP2" s="1">
        <v>4</v>
      </c>
      <c r="CU2" s="1">
        <v>1</v>
      </c>
    </row>
    <row r="3" spans="1:99" x14ac:dyDescent="0.35">
      <c r="A3" s="1" t="s">
        <v>982</v>
      </c>
      <c r="B3" s="1">
        <v>161524015</v>
      </c>
      <c r="C3" s="1">
        <v>0</v>
      </c>
      <c r="D3" s="1">
        <v>0</v>
      </c>
      <c r="E3" s="1">
        <v>0</v>
      </c>
      <c r="F3" s="1">
        <v>0</v>
      </c>
      <c r="G3" s="1">
        <v>0</v>
      </c>
      <c r="H3" s="1">
        <v>0</v>
      </c>
      <c r="I3" s="1">
        <v>0</v>
      </c>
      <c r="J3" s="1">
        <v>0</v>
      </c>
      <c r="K3" s="1">
        <v>1</v>
      </c>
      <c r="L3" s="1">
        <v>0</v>
      </c>
      <c r="M3" s="1">
        <v>0</v>
      </c>
      <c r="N3" s="1">
        <v>0</v>
      </c>
      <c r="O3" s="1">
        <v>0</v>
      </c>
      <c r="P3" s="1">
        <v>3</v>
      </c>
      <c r="Q3" s="1">
        <v>2</v>
      </c>
      <c r="R3" s="1">
        <v>2</v>
      </c>
      <c r="S3" s="1">
        <v>1</v>
      </c>
      <c r="T3" s="1">
        <v>1</v>
      </c>
      <c r="U3" s="1">
        <v>3</v>
      </c>
      <c r="V3" s="1">
        <v>4</v>
      </c>
      <c r="W3" s="1">
        <v>2</v>
      </c>
      <c r="X3" s="1">
        <v>4</v>
      </c>
      <c r="Y3" s="1">
        <v>2</v>
      </c>
      <c r="Z3" s="1">
        <v>3</v>
      </c>
      <c r="AA3" s="1">
        <v>4</v>
      </c>
      <c r="AC3" s="1">
        <v>1</v>
      </c>
      <c r="AD3" s="1">
        <v>1</v>
      </c>
      <c r="AF3" s="3">
        <v>6000000</v>
      </c>
      <c r="AG3" s="1">
        <v>11</v>
      </c>
      <c r="AR3" s="1" t="s">
        <v>118</v>
      </c>
      <c r="BP3" s="1">
        <v>3</v>
      </c>
      <c r="BQ3" s="1" t="s">
        <v>983</v>
      </c>
      <c r="BR3" s="1" t="s">
        <v>984</v>
      </c>
      <c r="BT3" s="1" t="s">
        <v>73</v>
      </c>
      <c r="BU3" s="1">
        <v>1</v>
      </c>
      <c r="BV3" s="1">
        <v>2</v>
      </c>
      <c r="BW3" s="1">
        <v>1</v>
      </c>
      <c r="BX3" s="1">
        <v>0</v>
      </c>
      <c r="BY3" s="1">
        <v>0</v>
      </c>
      <c r="BZ3" s="1">
        <v>0</v>
      </c>
      <c r="CA3" s="1">
        <v>0</v>
      </c>
      <c r="CB3" s="1">
        <v>0</v>
      </c>
      <c r="CC3" s="1">
        <v>0</v>
      </c>
      <c r="CD3" s="1">
        <v>0</v>
      </c>
      <c r="CE3" s="1">
        <v>0</v>
      </c>
      <c r="CF3" s="1">
        <v>0</v>
      </c>
      <c r="CG3" s="1">
        <v>0</v>
      </c>
      <c r="CH3" s="1">
        <v>0</v>
      </c>
      <c r="CI3" s="1">
        <v>0</v>
      </c>
      <c r="CJ3" s="1">
        <v>3</v>
      </c>
      <c r="CK3" s="1">
        <v>3</v>
      </c>
      <c r="CL3" s="1">
        <v>3</v>
      </c>
      <c r="CM3" s="1">
        <v>3</v>
      </c>
      <c r="CN3" s="1">
        <v>4</v>
      </c>
      <c r="CO3" s="1">
        <v>3</v>
      </c>
      <c r="CP3" s="1">
        <v>3</v>
      </c>
      <c r="CU3" s="1">
        <v>4</v>
      </c>
    </row>
    <row r="4" spans="1:99" x14ac:dyDescent="0.35">
      <c r="A4" s="1" t="s">
        <v>985</v>
      </c>
      <c r="B4" s="1">
        <v>161524019</v>
      </c>
      <c r="C4" s="1">
        <v>0</v>
      </c>
      <c r="D4" s="1">
        <v>0</v>
      </c>
      <c r="E4" s="1">
        <v>1</v>
      </c>
      <c r="F4" s="1">
        <v>0</v>
      </c>
      <c r="G4" s="1">
        <v>0</v>
      </c>
      <c r="H4" s="1">
        <v>0</v>
      </c>
      <c r="I4" s="1">
        <v>0</v>
      </c>
      <c r="J4" s="1">
        <v>0</v>
      </c>
      <c r="K4" s="1">
        <v>0</v>
      </c>
      <c r="L4" s="1">
        <v>0</v>
      </c>
      <c r="M4" s="1">
        <v>1</v>
      </c>
      <c r="N4" s="1">
        <v>1</v>
      </c>
      <c r="O4" s="1">
        <v>0</v>
      </c>
      <c r="P4" s="1">
        <v>0</v>
      </c>
      <c r="Q4" s="1">
        <v>1</v>
      </c>
      <c r="R4" s="1">
        <v>1</v>
      </c>
      <c r="S4" s="1">
        <v>1</v>
      </c>
      <c r="T4" s="1">
        <v>1</v>
      </c>
      <c r="U4" s="1">
        <v>3</v>
      </c>
      <c r="V4" s="1">
        <v>3</v>
      </c>
      <c r="W4" s="1">
        <v>2</v>
      </c>
      <c r="X4" s="1">
        <v>2</v>
      </c>
      <c r="Y4" s="1">
        <v>3</v>
      </c>
      <c r="Z4" s="1">
        <v>2</v>
      </c>
      <c r="AA4" s="1">
        <v>3</v>
      </c>
      <c r="AC4" s="1">
        <v>1</v>
      </c>
      <c r="AD4" s="1">
        <v>0</v>
      </c>
      <c r="AF4" s="3">
        <v>5000000</v>
      </c>
      <c r="AG4" s="1">
        <v>13</v>
      </c>
      <c r="AT4" s="1" t="s">
        <v>86</v>
      </c>
      <c r="BP4" s="1">
        <v>3</v>
      </c>
      <c r="BQ4" s="1" t="s">
        <v>986</v>
      </c>
      <c r="BR4" s="1" t="s">
        <v>987</v>
      </c>
      <c r="BS4" s="1" t="s">
        <v>988</v>
      </c>
      <c r="BT4" s="1" t="s">
        <v>79</v>
      </c>
      <c r="BU4" s="1">
        <v>1</v>
      </c>
      <c r="BV4" s="1">
        <v>4</v>
      </c>
      <c r="BW4" s="1">
        <v>1</v>
      </c>
      <c r="BX4" s="1">
        <v>0</v>
      </c>
      <c r="BY4" s="1">
        <v>0</v>
      </c>
      <c r="BZ4" s="1">
        <v>0</v>
      </c>
      <c r="CA4" s="1">
        <v>0</v>
      </c>
      <c r="CB4" s="1">
        <v>0</v>
      </c>
      <c r="CC4" s="1">
        <v>0</v>
      </c>
      <c r="CD4" s="1">
        <v>0</v>
      </c>
      <c r="CE4" s="1">
        <v>0</v>
      </c>
      <c r="CF4" s="1">
        <v>0</v>
      </c>
      <c r="CG4" s="1">
        <v>0</v>
      </c>
      <c r="CH4" s="1">
        <v>0</v>
      </c>
      <c r="CI4" s="1">
        <v>0</v>
      </c>
      <c r="CJ4" s="1">
        <v>4</v>
      </c>
      <c r="CK4" s="1">
        <v>3</v>
      </c>
      <c r="CL4" s="1">
        <v>3</v>
      </c>
      <c r="CM4" s="1">
        <v>3</v>
      </c>
      <c r="CN4" s="1">
        <v>3</v>
      </c>
      <c r="CO4" s="1">
        <v>3</v>
      </c>
      <c r="CP4" s="1">
        <v>3</v>
      </c>
      <c r="CU4" s="1">
        <v>1</v>
      </c>
    </row>
    <row r="5" spans="1:99" x14ac:dyDescent="0.35">
      <c r="A5" s="1" t="s">
        <v>989</v>
      </c>
      <c r="B5" s="1">
        <v>161524024</v>
      </c>
      <c r="C5" s="1">
        <v>0</v>
      </c>
      <c r="D5" s="1">
        <v>1</v>
      </c>
      <c r="E5" s="1">
        <v>0</v>
      </c>
      <c r="F5" s="1">
        <v>0</v>
      </c>
      <c r="G5" s="1">
        <v>0</v>
      </c>
      <c r="H5" s="1">
        <v>0</v>
      </c>
      <c r="I5" s="1">
        <v>0</v>
      </c>
      <c r="J5" s="1">
        <v>0</v>
      </c>
      <c r="K5" s="1">
        <v>1</v>
      </c>
      <c r="L5" s="1">
        <v>0</v>
      </c>
      <c r="M5" s="1">
        <v>0</v>
      </c>
      <c r="N5" s="1">
        <v>0</v>
      </c>
      <c r="O5" s="1">
        <v>0</v>
      </c>
      <c r="P5" s="1">
        <v>10</v>
      </c>
      <c r="Q5" s="1">
        <v>3</v>
      </c>
      <c r="R5" s="1">
        <v>0</v>
      </c>
      <c r="S5" s="1">
        <v>1</v>
      </c>
      <c r="T5" s="1">
        <v>1</v>
      </c>
      <c r="U5" s="1">
        <v>4</v>
      </c>
      <c r="V5" s="1">
        <v>3</v>
      </c>
      <c r="W5" s="1">
        <v>3</v>
      </c>
      <c r="X5" s="1">
        <v>4</v>
      </c>
      <c r="Y5" s="1">
        <v>3</v>
      </c>
      <c r="Z5" s="1">
        <v>3</v>
      </c>
      <c r="AA5" s="1">
        <v>3</v>
      </c>
      <c r="AC5" s="1">
        <v>1</v>
      </c>
      <c r="AD5" s="1">
        <v>2</v>
      </c>
      <c r="AF5" s="3">
        <v>6000000</v>
      </c>
      <c r="AG5" s="1">
        <v>11</v>
      </c>
      <c r="AR5" s="1" t="s">
        <v>130</v>
      </c>
      <c r="BP5" s="1">
        <v>3</v>
      </c>
      <c r="BQ5" s="1" t="s">
        <v>983</v>
      </c>
      <c r="BR5" s="1" t="s">
        <v>990</v>
      </c>
      <c r="BS5" s="1" t="s">
        <v>991</v>
      </c>
      <c r="BT5" s="1" t="s">
        <v>73</v>
      </c>
      <c r="BU5" s="1">
        <v>1</v>
      </c>
      <c r="BV5" s="1">
        <v>2</v>
      </c>
      <c r="BW5" s="1">
        <v>1</v>
      </c>
      <c r="BX5" s="1">
        <v>0</v>
      </c>
      <c r="BY5" s="1">
        <v>0</v>
      </c>
      <c r="BZ5" s="1">
        <v>0</v>
      </c>
      <c r="CA5" s="1">
        <v>0</v>
      </c>
      <c r="CB5" s="1">
        <v>0</v>
      </c>
      <c r="CC5" s="1">
        <v>0</v>
      </c>
      <c r="CD5" s="1">
        <v>0</v>
      </c>
      <c r="CE5" s="1">
        <v>1</v>
      </c>
      <c r="CF5" s="1">
        <v>0</v>
      </c>
      <c r="CG5" s="1">
        <v>1</v>
      </c>
      <c r="CH5" s="1">
        <v>0</v>
      </c>
      <c r="CI5" s="1">
        <v>0</v>
      </c>
      <c r="CJ5" s="1">
        <v>4</v>
      </c>
      <c r="CK5" s="1">
        <v>4</v>
      </c>
      <c r="CL5" s="1">
        <v>4</v>
      </c>
      <c r="CM5" s="1">
        <v>4</v>
      </c>
      <c r="CN5" s="1">
        <v>4</v>
      </c>
      <c r="CO5" s="1">
        <v>4</v>
      </c>
      <c r="CP5" s="1">
        <v>4</v>
      </c>
      <c r="CU5" s="1">
        <v>4</v>
      </c>
    </row>
    <row r="6" spans="1:99" x14ac:dyDescent="0.35">
      <c r="A6" s="1" t="s">
        <v>992</v>
      </c>
      <c r="B6" s="1">
        <v>161524032</v>
      </c>
      <c r="C6" s="1">
        <v>1</v>
      </c>
      <c r="D6" s="1">
        <v>1</v>
      </c>
      <c r="E6" s="1">
        <v>0</v>
      </c>
      <c r="F6" s="1">
        <v>0</v>
      </c>
      <c r="G6" s="1">
        <v>0</v>
      </c>
      <c r="H6" s="1">
        <v>0</v>
      </c>
      <c r="I6" s="1">
        <v>0</v>
      </c>
      <c r="J6" s="1">
        <v>1</v>
      </c>
      <c r="K6" s="1">
        <v>1</v>
      </c>
      <c r="L6" s="1">
        <v>0</v>
      </c>
      <c r="M6" s="1">
        <v>0</v>
      </c>
      <c r="N6" s="1">
        <v>0</v>
      </c>
      <c r="O6" s="1">
        <v>0</v>
      </c>
      <c r="P6" s="1">
        <v>28</v>
      </c>
      <c r="Q6" s="1">
        <v>2</v>
      </c>
      <c r="R6" s="1">
        <v>1</v>
      </c>
      <c r="S6" s="1">
        <v>5</v>
      </c>
      <c r="T6" s="1">
        <v>1</v>
      </c>
      <c r="U6" s="1">
        <v>3</v>
      </c>
      <c r="V6" s="1">
        <v>2</v>
      </c>
      <c r="W6" s="1">
        <v>2</v>
      </c>
      <c r="X6" s="1">
        <v>2</v>
      </c>
      <c r="Y6" s="1">
        <v>3</v>
      </c>
      <c r="Z6" s="1">
        <v>3</v>
      </c>
      <c r="AA6" s="1">
        <v>3</v>
      </c>
      <c r="CU6" s="1">
        <v>4</v>
      </c>
    </row>
    <row r="7" spans="1:99" x14ac:dyDescent="0.35">
      <c r="A7" s="1" t="s">
        <v>1000</v>
      </c>
      <c r="B7" s="1">
        <v>171524001</v>
      </c>
      <c r="C7" s="1">
        <v>0</v>
      </c>
      <c r="D7" s="1">
        <v>1</v>
      </c>
      <c r="E7" s="1">
        <v>0</v>
      </c>
      <c r="F7" s="1">
        <v>0</v>
      </c>
      <c r="G7" s="1">
        <v>0</v>
      </c>
      <c r="H7" s="1">
        <v>0</v>
      </c>
      <c r="I7" s="1">
        <v>0</v>
      </c>
      <c r="J7" s="1">
        <v>0</v>
      </c>
      <c r="K7" s="1">
        <v>1</v>
      </c>
      <c r="L7" s="1">
        <v>0</v>
      </c>
      <c r="M7" s="1">
        <v>0</v>
      </c>
      <c r="N7" s="1">
        <v>0</v>
      </c>
      <c r="O7" s="1">
        <v>0</v>
      </c>
      <c r="P7" s="1" t="s">
        <v>186</v>
      </c>
      <c r="Q7" s="1" t="s">
        <v>448</v>
      </c>
      <c r="R7" s="1" t="s">
        <v>448</v>
      </c>
      <c r="S7" s="1">
        <v>1</v>
      </c>
      <c r="T7" s="1">
        <v>1</v>
      </c>
      <c r="U7" s="1">
        <v>3</v>
      </c>
      <c r="V7" s="1">
        <v>2</v>
      </c>
      <c r="W7" s="1">
        <v>2</v>
      </c>
      <c r="X7" s="1">
        <v>3</v>
      </c>
      <c r="Y7" s="1">
        <v>3</v>
      </c>
      <c r="Z7" s="1">
        <v>3</v>
      </c>
      <c r="AA7" s="1">
        <v>3</v>
      </c>
      <c r="AC7" s="1">
        <v>1</v>
      </c>
      <c r="AD7" s="1">
        <v>1</v>
      </c>
      <c r="AF7" s="3">
        <v>4800000</v>
      </c>
      <c r="AG7" s="1">
        <v>11</v>
      </c>
      <c r="AR7" s="1" t="s">
        <v>130</v>
      </c>
      <c r="BP7" s="1">
        <v>3</v>
      </c>
      <c r="BQ7" s="1" t="s">
        <v>1001</v>
      </c>
      <c r="BR7" s="1" t="s">
        <v>1002</v>
      </c>
      <c r="BS7" s="1" t="s">
        <v>1003</v>
      </c>
      <c r="BT7" s="1" t="s">
        <v>79</v>
      </c>
      <c r="BU7" s="1">
        <v>1</v>
      </c>
      <c r="BV7" s="1">
        <v>2</v>
      </c>
      <c r="BW7" s="1">
        <v>0</v>
      </c>
      <c r="BX7" s="1">
        <v>0</v>
      </c>
      <c r="BY7" s="1">
        <v>0</v>
      </c>
      <c r="BZ7" s="1">
        <v>0</v>
      </c>
      <c r="CA7" s="1">
        <v>0</v>
      </c>
      <c r="CB7" s="1">
        <v>0</v>
      </c>
      <c r="CC7" s="1">
        <v>0</v>
      </c>
      <c r="CD7" s="1">
        <v>0</v>
      </c>
      <c r="CE7" s="1">
        <v>0</v>
      </c>
      <c r="CF7" s="1">
        <v>0</v>
      </c>
      <c r="CG7" s="1">
        <v>0</v>
      </c>
      <c r="CH7" s="1">
        <v>0</v>
      </c>
      <c r="CJ7" s="1">
        <v>4</v>
      </c>
      <c r="CK7" s="1">
        <v>4</v>
      </c>
      <c r="CL7" s="1">
        <v>4</v>
      </c>
      <c r="CM7" s="1">
        <v>4</v>
      </c>
      <c r="CN7" s="1">
        <v>4</v>
      </c>
      <c r="CO7" s="1">
        <v>4</v>
      </c>
      <c r="CP7" s="1">
        <v>4</v>
      </c>
      <c r="CU7" s="1">
        <v>1</v>
      </c>
    </row>
    <row r="8" spans="1:99" x14ac:dyDescent="0.35">
      <c r="A8" s="1" t="s">
        <v>1004</v>
      </c>
      <c r="B8" s="1">
        <v>171524002</v>
      </c>
      <c r="C8" s="1">
        <v>0</v>
      </c>
      <c r="D8" s="1">
        <v>1</v>
      </c>
      <c r="E8" s="1">
        <v>0</v>
      </c>
      <c r="F8" s="1">
        <v>0</v>
      </c>
      <c r="G8" s="1">
        <v>0</v>
      </c>
      <c r="H8" s="1">
        <v>0</v>
      </c>
      <c r="I8" s="1">
        <v>0</v>
      </c>
      <c r="J8" s="1">
        <v>0</v>
      </c>
      <c r="K8" s="1">
        <v>0</v>
      </c>
      <c r="L8" s="1">
        <v>0</v>
      </c>
      <c r="M8" s="1">
        <v>0</v>
      </c>
      <c r="N8" s="1">
        <v>0</v>
      </c>
      <c r="O8" s="1">
        <v>0</v>
      </c>
      <c r="P8" s="1">
        <v>4</v>
      </c>
      <c r="Q8" s="1">
        <v>3</v>
      </c>
      <c r="R8" s="1">
        <v>2</v>
      </c>
      <c r="S8" s="1">
        <v>1</v>
      </c>
      <c r="T8" s="1">
        <v>1</v>
      </c>
      <c r="U8" s="1">
        <v>4</v>
      </c>
      <c r="V8" s="1">
        <v>3</v>
      </c>
      <c r="W8" s="1">
        <v>2</v>
      </c>
      <c r="X8" s="1">
        <v>3</v>
      </c>
      <c r="Y8" s="1">
        <v>3</v>
      </c>
      <c r="Z8" s="1">
        <v>3</v>
      </c>
      <c r="AA8" s="1">
        <v>3</v>
      </c>
      <c r="AC8" s="1">
        <v>1</v>
      </c>
      <c r="AD8" s="1">
        <v>0</v>
      </c>
      <c r="AE8" s="1">
        <v>0</v>
      </c>
      <c r="AF8" s="3">
        <v>9000000</v>
      </c>
      <c r="AG8" s="1">
        <v>11</v>
      </c>
      <c r="AR8" s="1" t="s">
        <v>130</v>
      </c>
      <c r="BP8" s="1">
        <v>3</v>
      </c>
      <c r="BQ8" s="1" t="s">
        <v>1005</v>
      </c>
      <c r="BR8" s="1" t="s">
        <v>1006</v>
      </c>
      <c r="BS8" s="1" t="s">
        <v>1007</v>
      </c>
      <c r="BT8" s="1" t="s">
        <v>73</v>
      </c>
      <c r="BU8" s="1">
        <v>1</v>
      </c>
      <c r="BV8" s="1">
        <v>2</v>
      </c>
      <c r="BW8" s="1">
        <v>1</v>
      </c>
      <c r="BX8" s="1">
        <v>0</v>
      </c>
      <c r="BY8" s="1">
        <v>0</v>
      </c>
      <c r="BZ8" s="1">
        <v>0</v>
      </c>
      <c r="CA8" s="1">
        <v>0</v>
      </c>
      <c r="CB8" s="1">
        <v>0</v>
      </c>
      <c r="CC8" s="1">
        <v>0</v>
      </c>
      <c r="CD8" s="1">
        <v>0</v>
      </c>
      <c r="CE8" s="1">
        <v>0</v>
      </c>
      <c r="CF8" s="1">
        <v>0</v>
      </c>
      <c r="CG8" s="1">
        <v>0</v>
      </c>
      <c r="CH8" s="1">
        <v>0</v>
      </c>
      <c r="CI8" s="1">
        <v>0</v>
      </c>
      <c r="CJ8" s="1">
        <v>4</v>
      </c>
      <c r="CK8" s="1">
        <v>4</v>
      </c>
      <c r="CL8" s="1">
        <v>4</v>
      </c>
      <c r="CM8" s="1">
        <v>4</v>
      </c>
      <c r="CN8" s="1">
        <v>3</v>
      </c>
      <c r="CO8" s="1">
        <v>3</v>
      </c>
      <c r="CP8" s="1">
        <v>3</v>
      </c>
      <c r="CU8" s="1">
        <v>1</v>
      </c>
    </row>
    <row r="9" spans="1:99" x14ac:dyDescent="0.35">
      <c r="A9" s="1" t="s">
        <v>1008</v>
      </c>
      <c r="B9" s="1">
        <v>171524003</v>
      </c>
      <c r="C9" s="1">
        <v>0</v>
      </c>
      <c r="D9" s="1">
        <v>0</v>
      </c>
      <c r="E9" s="1">
        <v>0</v>
      </c>
      <c r="F9" s="1">
        <v>0</v>
      </c>
      <c r="G9" s="1">
        <v>0</v>
      </c>
      <c r="H9" s="1">
        <v>0</v>
      </c>
      <c r="I9" s="1">
        <v>0</v>
      </c>
      <c r="J9" s="1">
        <v>1</v>
      </c>
      <c r="K9" s="1">
        <v>1</v>
      </c>
      <c r="L9" s="1">
        <v>0</v>
      </c>
      <c r="M9" s="1">
        <v>0</v>
      </c>
      <c r="N9" s="1">
        <v>0</v>
      </c>
      <c r="O9" s="1">
        <v>0</v>
      </c>
      <c r="P9" s="1">
        <v>0</v>
      </c>
      <c r="Q9" s="1">
        <v>3</v>
      </c>
      <c r="R9" s="1">
        <v>2</v>
      </c>
      <c r="S9" s="1">
        <v>1</v>
      </c>
      <c r="T9" s="1">
        <v>3</v>
      </c>
      <c r="U9" s="1">
        <v>4</v>
      </c>
      <c r="V9" s="1">
        <v>3</v>
      </c>
      <c r="W9" s="1">
        <v>3</v>
      </c>
      <c r="X9" s="1">
        <v>4</v>
      </c>
      <c r="Y9" s="1">
        <v>3</v>
      </c>
      <c r="Z9" s="1">
        <v>4</v>
      </c>
      <c r="AA9" s="1">
        <v>3</v>
      </c>
      <c r="AC9" s="1">
        <v>1</v>
      </c>
      <c r="AD9" s="1">
        <v>0</v>
      </c>
      <c r="AF9" s="3">
        <v>6500000</v>
      </c>
      <c r="AG9" s="1">
        <v>11</v>
      </c>
      <c r="AR9" s="1" t="s">
        <v>239</v>
      </c>
      <c r="BP9" s="1">
        <v>4</v>
      </c>
      <c r="BQ9" s="1" t="s">
        <v>1009</v>
      </c>
      <c r="BR9" s="1" t="s">
        <v>1010</v>
      </c>
      <c r="BS9" s="1" t="s">
        <v>1011</v>
      </c>
      <c r="BT9" s="1" t="s">
        <v>79</v>
      </c>
      <c r="BU9" s="1">
        <v>1</v>
      </c>
      <c r="BV9" s="1">
        <v>2</v>
      </c>
      <c r="BW9" s="1">
        <v>1</v>
      </c>
      <c r="BX9" s="1">
        <v>0</v>
      </c>
      <c r="BY9" s="1">
        <v>0</v>
      </c>
      <c r="BZ9" s="1">
        <v>0</v>
      </c>
      <c r="CA9" s="1">
        <v>0</v>
      </c>
      <c r="CB9" s="1">
        <v>0</v>
      </c>
      <c r="CC9" s="1">
        <v>0</v>
      </c>
      <c r="CD9" s="1">
        <v>0</v>
      </c>
      <c r="CE9" s="1">
        <v>0</v>
      </c>
      <c r="CF9" s="1">
        <v>0</v>
      </c>
      <c r="CG9" s="1">
        <v>0</v>
      </c>
      <c r="CH9" s="1">
        <v>0</v>
      </c>
      <c r="CI9" s="1">
        <v>0</v>
      </c>
      <c r="CJ9" s="1">
        <v>4</v>
      </c>
      <c r="CK9" s="1">
        <v>4</v>
      </c>
      <c r="CL9" s="1">
        <v>4</v>
      </c>
      <c r="CM9" s="1">
        <v>4</v>
      </c>
      <c r="CN9" s="1">
        <v>4</v>
      </c>
      <c r="CO9" s="1">
        <v>4</v>
      </c>
      <c r="CP9" s="1">
        <v>4</v>
      </c>
      <c r="CU9" s="1">
        <v>1</v>
      </c>
    </row>
    <row r="10" spans="1:99" x14ac:dyDescent="0.35">
      <c r="A10" s="1" t="s">
        <v>1012</v>
      </c>
      <c r="B10" s="1">
        <v>171524004</v>
      </c>
      <c r="C10" s="1">
        <v>0</v>
      </c>
      <c r="D10" s="1">
        <v>0</v>
      </c>
      <c r="E10" s="1">
        <v>0</v>
      </c>
      <c r="F10" s="1">
        <v>0</v>
      </c>
      <c r="G10" s="1">
        <v>0</v>
      </c>
      <c r="H10" s="1">
        <v>0</v>
      </c>
      <c r="I10" s="1">
        <v>0</v>
      </c>
      <c r="J10" s="1">
        <v>0</v>
      </c>
      <c r="K10" s="1">
        <v>1</v>
      </c>
      <c r="L10" s="1">
        <v>0</v>
      </c>
      <c r="M10" s="1">
        <v>0</v>
      </c>
      <c r="N10" s="1">
        <v>0</v>
      </c>
      <c r="O10" s="1">
        <v>0</v>
      </c>
      <c r="P10" s="1">
        <v>0</v>
      </c>
      <c r="Q10" s="1">
        <v>0</v>
      </c>
      <c r="R10" s="1">
        <v>0</v>
      </c>
      <c r="S10" s="1">
        <v>1</v>
      </c>
      <c r="T10" s="1">
        <v>1</v>
      </c>
      <c r="U10" s="1">
        <v>4</v>
      </c>
      <c r="V10" s="1">
        <v>2</v>
      </c>
      <c r="W10" s="1">
        <v>3</v>
      </c>
      <c r="X10" s="1">
        <v>3</v>
      </c>
      <c r="Y10" s="1">
        <v>3</v>
      </c>
      <c r="Z10" s="1">
        <v>3</v>
      </c>
      <c r="AA10" s="1">
        <v>3</v>
      </c>
      <c r="AC10" s="1">
        <v>1</v>
      </c>
      <c r="AD10" s="1">
        <v>0</v>
      </c>
      <c r="AF10" s="3">
        <v>5300000</v>
      </c>
      <c r="AG10" s="1">
        <v>11</v>
      </c>
      <c r="AR10" s="1" t="s">
        <v>130</v>
      </c>
      <c r="BP10" s="1">
        <v>3</v>
      </c>
      <c r="BQ10" s="1" t="s">
        <v>1013</v>
      </c>
      <c r="BR10" s="1" t="s">
        <v>1014</v>
      </c>
      <c r="BS10" s="1" t="s">
        <v>1015</v>
      </c>
      <c r="BT10" s="1" t="s">
        <v>79</v>
      </c>
      <c r="BU10" s="1">
        <v>2</v>
      </c>
      <c r="BV10" s="1">
        <v>2</v>
      </c>
      <c r="BW10" s="1">
        <v>1</v>
      </c>
      <c r="BX10" s="1">
        <v>0</v>
      </c>
      <c r="BY10" s="1">
        <v>0</v>
      </c>
      <c r="BZ10" s="1">
        <v>0</v>
      </c>
      <c r="CA10" s="1">
        <v>0</v>
      </c>
      <c r="CB10" s="1">
        <v>0</v>
      </c>
      <c r="CC10" s="1">
        <v>0</v>
      </c>
      <c r="CD10" s="1">
        <v>0</v>
      </c>
      <c r="CE10" s="1">
        <v>0</v>
      </c>
      <c r="CF10" s="1">
        <v>0</v>
      </c>
      <c r="CG10" s="1">
        <v>0</v>
      </c>
      <c r="CH10" s="1">
        <v>0</v>
      </c>
      <c r="CI10" s="1">
        <v>0</v>
      </c>
      <c r="CJ10" s="1">
        <v>4</v>
      </c>
      <c r="CK10" s="1">
        <v>3</v>
      </c>
      <c r="CL10" s="1">
        <v>3</v>
      </c>
      <c r="CM10" s="1">
        <v>4</v>
      </c>
      <c r="CN10" s="1">
        <v>4</v>
      </c>
      <c r="CO10" s="1">
        <v>4</v>
      </c>
      <c r="CP10" s="1">
        <v>4</v>
      </c>
      <c r="CU10" s="1">
        <v>1</v>
      </c>
    </row>
    <row r="11" spans="1:99" x14ac:dyDescent="0.35">
      <c r="A11" s="1" t="s">
        <v>1016</v>
      </c>
      <c r="B11" s="1">
        <v>171524005</v>
      </c>
      <c r="S11" s="1">
        <v>1</v>
      </c>
      <c r="T11" s="1">
        <v>1</v>
      </c>
      <c r="U11" s="1">
        <v>2</v>
      </c>
      <c r="V11" s="1">
        <v>2</v>
      </c>
      <c r="W11" s="1">
        <v>2</v>
      </c>
      <c r="X11" s="1">
        <v>3</v>
      </c>
      <c r="Y11" s="1">
        <v>2</v>
      </c>
      <c r="Z11" s="1">
        <v>2</v>
      </c>
      <c r="AA11" s="1">
        <v>2</v>
      </c>
      <c r="AC11" s="1">
        <v>1</v>
      </c>
      <c r="AD11" s="1">
        <v>0</v>
      </c>
      <c r="AF11" s="3">
        <v>6000000</v>
      </c>
      <c r="AG11" s="1">
        <v>13</v>
      </c>
      <c r="AT11" s="1" t="s">
        <v>86</v>
      </c>
      <c r="BP11" s="1">
        <v>3</v>
      </c>
      <c r="BQ11" s="1" t="s">
        <v>1017</v>
      </c>
      <c r="BR11" s="1" t="s">
        <v>1018</v>
      </c>
      <c r="BS11" s="1" t="s">
        <v>1019</v>
      </c>
      <c r="BT11" s="1" t="s">
        <v>79</v>
      </c>
      <c r="BU11" s="1">
        <v>1</v>
      </c>
      <c r="BV11" s="1">
        <v>2</v>
      </c>
      <c r="BW11" s="1">
        <v>1</v>
      </c>
      <c r="BX11" s="1">
        <v>0</v>
      </c>
      <c r="BY11" s="1">
        <v>0</v>
      </c>
      <c r="BZ11" s="1">
        <v>0</v>
      </c>
      <c r="CA11" s="1">
        <v>0</v>
      </c>
      <c r="CB11" s="1">
        <v>0</v>
      </c>
      <c r="CC11" s="1">
        <v>0</v>
      </c>
      <c r="CD11" s="1">
        <v>0</v>
      </c>
      <c r="CE11" s="1">
        <v>0</v>
      </c>
      <c r="CF11" s="1">
        <v>0</v>
      </c>
      <c r="CG11" s="1">
        <v>0</v>
      </c>
      <c r="CH11" s="1">
        <v>0</v>
      </c>
      <c r="CI11" s="1">
        <v>0</v>
      </c>
      <c r="CJ11" s="1">
        <v>3</v>
      </c>
      <c r="CK11" s="1">
        <v>3</v>
      </c>
      <c r="CL11" s="1">
        <v>4</v>
      </c>
      <c r="CM11" s="1">
        <v>3</v>
      </c>
      <c r="CN11" s="1">
        <v>3</v>
      </c>
      <c r="CO11" s="1">
        <v>3</v>
      </c>
      <c r="CP11" s="1">
        <v>4</v>
      </c>
      <c r="CU11" s="1">
        <v>1</v>
      </c>
    </row>
    <row r="12" spans="1:99" x14ac:dyDescent="0.35">
      <c r="A12" s="1" t="s">
        <v>1020</v>
      </c>
      <c r="B12" s="1">
        <v>171524006</v>
      </c>
      <c r="C12" s="1">
        <v>0</v>
      </c>
      <c r="D12" s="1">
        <v>1</v>
      </c>
      <c r="E12" s="1">
        <v>0</v>
      </c>
      <c r="F12" s="1">
        <v>0</v>
      </c>
      <c r="G12" s="1">
        <v>0</v>
      </c>
      <c r="H12" s="1">
        <v>0</v>
      </c>
      <c r="I12" s="1">
        <v>0</v>
      </c>
      <c r="J12" s="1">
        <v>0</v>
      </c>
      <c r="K12" s="1">
        <v>1</v>
      </c>
      <c r="L12" s="1">
        <v>0</v>
      </c>
      <c r="M12" s="1">
        <v>0</v>
      </c>
      <c r="N12" s="1">
        <v>0</v>
      </c>
      <c r="O12" s="1">
        <v>0</v>
      </c>
      <c r="P12" s="1">
        <v>5</v>
      </c>
      <c r="Q12" s="1">
        <v>1</v>
      </c>
      <c r="R12" s="1">
        <v>1</v>
      </c>
      <c r="S12" s="1">
        <v>1</v>
      </c>
      <c r="T12" s="1">
        <v>1</v>
      </c>
      <c r="U12" s="1">
        <v>4</v>
      </c>
      <c r="V12" s="1">
        <v>3</v>
      </c>
      <c r="W12" s="1">
        <v>3</v>
      </c>
      <c r="X12" s="1">
        <v>3</v>
      </c>
      <c r="Y12" s="1">
        <v>3</v>
      </c>
      <c r="Z12" s="1">
        <v>4</v>
      </c>
      <c r="AA12" s="1">
        <v>3</v>
      </c>
      <c r="AC12" s="1">
        <v>1</v>
      </c>
      <c r="AD12" s="1">
        <v>0</v>
      </c>
      <c r="AF12" s="3">
        <v>6000000</v>
      </c>
      <c r="AG12" s="1">
        <v>12</v>
      </c>
      <c r="AS12" s="1" t="s">
        <v>1021</v>
      </c>
      <c r="BP12" s="1">
        <v>3</v>
      </c>
      <c r="BQ12" s="1" t="s">
        <v>1022</v>
      </c>
      <c r="BR12" s="1" t="s">
        <v>1023</v>
      </c>
      <c r="BS12" s="1" t="s">
        <v>1024</v>
      </c>
      <c r="BT12" s="1" t="s">
        <v>79</v>
      </c>
      <c r="BU12" s="1">
        <v>1</v>
      </c>
      <c r="BV12" s="1">
        <v>2</v>
      </c>
      <c r="BW12" s="1">
        <v>1</v>
      </c>
      <c r="BX12" s="1">
        <v>0</v>
      </c>
      <c r="BY12" s="1">
        <v>0</v>
      </c>
      <c r="BZ12" s="1">
        <v>0</v>
      </c>
      <c r="CA12" s="1">
        <v>0</v>
      </c>
      <c r="CB12" s="1">
        <v>0</v>
      </c>
      <c r="CC12" s="1">
        <v>0</v>
      </c>
      <c r="CD12" s="1">
        <v>0</v>
      </c>
      <c r="CE12" s="1">
        <v>0</v>
      </c>
      <c r="CF12" s="1">
        <v>0</v>
      </c>
      <c r="CG12" s="1">
        <v>0</v>
      </c>
      <c r="CH12" s="1">
        <v>0</v>
      </c>
      <c r="CI12" s="1">
        <v>0</v>
      </c>
      <c r="CJ12" s="1">
        <v>4</v>
      </c>
      <c r="CK12" s="1">
        <v>3</v>
      </c>
      <c r="CL12" s="1">
        <v>2</v>
      </c>
      <c r="CM12" s="1">
        <v>3</v>
      </c>
      <c r="CN12" s="1">
        <v>4</v>
      </c>
      <c r="CO12" s="1">
        <v>4</v>
      </c>
      <c r="CP12" s="1">
        <v>3</v>
      </c>
      <c r="CU12" s="1">
        <v>1</v>
      </c>
    </row>
    <row r="13" spans="1:99" x14ac:dyDescent="0.35">
      <c r="A13" s="1" t="s">
        <v>1025</v>
      </c>
      <c r="B13" s="1">
        <v>171524007</v>
      </c>
      <c r="C13" s="1">
        <v>0</v>
      </c>
      <c r="D13" s="1">
        <v>1</v>
      </c>
      <c r="E13" s="1">
        <v>0</v>
      </c>
      <c r="F13" s="1">
        <v>0</v>
      </c>
      <c r="G13" s="1">
        <v>0</v>
      </c>
      <c r="H13" s="1">
        <v>0</v>
      </c>
      <c r="I13" s="1">
        <v>0</v>
      </c>
      <c r="J13" s="1">
        <v>0</v>
      </c>
      <c r="K13" s="1">
        <v>1</v>
      </c>
      <c r="L13" s="1">
        <v>0</v>
      </c>
      <c r="M13" s="1">
        <v>0</v>
      </c>
      <c r="N13" s="1">
        <v>0</v>
      </c>
      <c r="O13" s="1">
        <v>0</v>
      </c>
      <c r="P13" s="1">
        <v>1</v>
      </c>
      <c r="Q13" s="1">
        <v>2</v>
      </c>
      <c r="R13" s="1">
        <v>2</v>
      </c>
      <c r="S13" s="1">
        <v>1</v>
      </c>
      <c r="T13" s="1">
        <v>1</v>
      </c>
      <c r="U13" s="1">
        <v>3</v>
      </c>
      <c r="V13" s="1">
        <v>4</v>
      </c>
      <c r="W13" s="1">
        <v>3</v>
      </c>
      <c r="X13" s="1">
        <v>4</v>
      </c>
      <c r="Y13" s="1">
        <v>2</v>
      </c>
      <c r="Z13" s="1">
        <v>3</v>
      </c>
      <c r="AA13" s="1">
        <v>3</v>
      </c>
      <c r="AC13" s="1">
        <v>1</v>
      </c>
      <c r="AD13" s="1">
        <v>0</v>
      </c>
      <c r="AF13" s="3">
        <v>7000000</v>
      </c>
      <c r="AG13" s="1">
        <v>13</v>
      </c>
      <c r="AT13" s="1" t="s">
        <v>86</v>
      </c>
      <c r="BP13" s="1">
        <v>3</v>
      </c>
      <c r="BQ13" s="1" t="s">
        <v>1017</v>
      </c>
      <c r="BR13" s="1" t="s">
        <v>1026</v>
      </c>
      <c r="BS13" s="1" t="s">
        <v>1027</v>
      </c>
      <c r="BT13" s="1" t="s">
        <v>79</v>
      </c>
      <c r="BU13" s="1">
        <v>1</v>
      </c>
      <c r="BV13" s="1">
        <v>2</v>
      </c>
      <c r="BW13" s="1">
        <v>1</v>
      </c>
      <c r="BX13" s="1">
        <v>0</v>
      </c>
      <c r="BY13" s="1">
        <v>0</v>
      </c>
      <c r="BZ13" s="1">
        <v>0</v>
      </c>
      <c r="CA13" s="1">
        <v>0</v>
      </c>
      <c r="CB13" s="1">
        <v>0</v>
      </c>
      <c r="CC13" s="1">
        <v>0</v>
      </c>
      <c r="CD13" s="1">
        <v>0</v>
      </c>
      <c r="CE13" s="1">
        <v>0</v>
      </c>
      <c r="CF13" s="1">
        <v>0</v>
      </c>
      <c r="CG13" s="1">
        <v>0</v>
      </c>
      <c r="CH13" s="1">
        <v>0</v>
      </c>
      <c r="CI13" s="1">
        <v>0</v>
      </c>
      <c r="CJ13" s="1">
        <v>3</v>
      </c>
      <c r="CK13" s="1">
        <v>4</v>
      </c>
      <c r="CL13" s="1">
        <v>3</v>
      </c>
      <c r="CM13" s="1">
        <v>4</v>
      </c>
      <c r="CN13" s="1">
        <v>3</v>
      </c>
      <c r="CO13" s="1">
        <v>3</v>
      </c>
      <c r="CP13" s="1">
        <v>3</v>
      </c>
      <c r="CU13" s="1">
        <v>1</v>
      </c>
    </row>
    <row r="14" spans="1:99" x14ac:dyDescent="0.35">
      <c r="A14" s="1" t="s">
        <v>1028</v>
      </c>
      <c r="B14" s="1">
        <v>171524008</v>
      </c>
      <c r="S14" s="1">
        <v>3</v>
      </c>
      <c r="T14" s="1">
        <v>1</v>
      </c>
      <c r="U14" s="1">
        <v>3</v>
      </c>
      <c r="V14" s="1">
        <v>3</v>
      </c>
      <c r="W14" s="1">
        <v>4</v>
      </c>
      <c r="X14" s="1">
        <v>4</v>
      </c>
      <c r="Y14" s="1">
        <v>3</v>
      </c>
      <c r="Z14" s="1">
        <v>3</v>
      </c>
      <c r="AA14" s="1">
        <v>3</v>
      </c>
      <c r="AB14" s="1">
        <v>4</v>
      </c>
      <c r="AC14" s="1">
        <v>1</v>
      </c>
      <c r="AD14" s="1">
        <v>0</v>
      </c>
      <c r="AF14" s="3">
        <v>500000</v>
      </c>
      <c r="AG14" s="1">
        <v>12</v>
      </c>
      <c r="AS14" s="1" t="s">
        <v>244</v>
      </c>
      <c r="BP14" s="1">
        <v>7</v>
      </c>
      <c r="BT14" s="1" t="s">
        <v>73</v>
      </c>
      <c r="BU14" s="1">
        <v>1</v>
      </c>
      <c r="BV14" s="1">
        <v>2</v>
      </c>
      <c r="BW14" s="1">
        <v>1</v>
      </c>
      <c r="BX14" s="1">
        <v>0</v>
      </c>
      <c r="BY14" s="1">
        <v>0</v>
      </c>
      <c r="BZ14" s="1">
        <v>0</v>
      </c>
      <c r="CA14" s="1">
        <v>0</v>
      </c>
      <c r="CB14" s="1">
        <v>0</v>
      </c>
      <c r="CC14" s="1">
        <v>0</v>
      </c>
      <c r="CD14" s="1">
        <v>0</v>
      </c>
      <c r="CE14" s="1">
        <v>0</v>
      </c>
      <c r="CF14" s="1">
        <v>0</v>
      </c>
      <c r="CG14" s="1">
        <v>0</v>
      </c>
      <c r="CH14" s="1">
        <v>0</v>
      </c>
      <c r="CI14" s="1">
        <v>0</v>
      </c>
      <c r="CJ14" s="1">
        <v>3</v>
      </c>
      <c r="CK14" s="1">
        <v>3</v>
      </c>
      <c r="CL14" s="1">
        <v>4</v>
      </c>
      <c r="CM14" s="1">
        <v>4</v>
      </c>
      <c r="CN14" s="1">
        <v>4</v>
      </c>
      <c r="CO14" s="1">
        <v>3</v>
      </c>
      <c r="CP14" s="1">
        <v>2</v>
      </c>
      <c r="CU14" s="1">
        <v>4</v>
      </c>
    </row>
    <row r="15" spans="1:99" x14ac:dyDescent="0.35">
      <c r="A15" s="1" t="s">
        <v>1029</v>
      </c>
      <c r="B15" s="1">
        <v>171524010</v>
      </c>
      <c r="C15" s="1">
        <v>0</v>
      </c>
      <c r="D15" s="1">
        <v>0</v>
      </c>
      <c r="E15" s="1">
        <v>1</v>
      </c>
      <c r="F15" s="1">
        <v>0</v>
      </c>
      <c r="G15" s="1">
        <v>0</v>
      </c>
      <c r="H15" s="1">
        <v>0</v>
      </c>
      <c r="I15" s="1">
        <v>0</v>
      </c>
      <c r="J15" s="1">
        <v>0</v>
      </c>
      <c r="K15" s="1">
        <v>1</v>
      </c>
      <c r="L15" s="1">
        <v>0</v>
      </c>
      <c r="M15" s="1">
        <v>0</v>
      </c>
      <c r="N15" s="1">
        <v>0</v>
      </c>
      <c r="O15" s="1">
        <v>0</v>
      </c>
      <c r="P15" s="1">
        <v>0</v>
      </c>
      <c r="Q15" s="1">
        <v>0</v>
      </c>
      <c r="R15" s="1">
        <v>1</v>
      </c>
      <c r="S15" s="1">
        <v>1</v>
      </c>
      <c r="U15" s="1">
        <v>3</v>
      </c>
      <c r="V15" s="1">
        <v>3</v>
      </c>
      <c r="W15" s="1">
        <v>4</v>
      </c>
      <c r="X15" s="1">
        <v>4</v>
      </c>
      <c r="Y15" s="1">
        <v>4</v>
      </c>
      <c r="Z15" s="1">
        <v>3</v>
      </c>
      <c r="AA15" s="1">
        <v>2</v>
      </c>
      <c r="AC15" s="1">
        <v>1</v>
      </c>
      <c r="AD15" s="1">
        <v>0</v>
      </c>
      <c r="AF15" s="3">
        <v>6000000</v>
      </c>
      <c r="AG15" s="1">
        <v>13</v>
      </c>
      <c r="AT15" s="1" t="s">
        <v>86</v>
      </c>
      <c r="BP15" s="1">
        <v>3</v>
      </c>
      <c r="BQ15" s="1" t="s">
        <v>1017</v>
      </c>
      <c r="BR15" s="1" t="s">
        <v>1018</v>
      </c>
      <c r="BS15" s="1" t="s">
        <v>1019</v>
      </c>
      <c r="BT15" s="1" t="s">
        <v>79</v>
      </c>
      <c r="BU15" s="1">
        <v>1</v>
      </c>
      <c r="BV15" s="1">
        <v>2</v>
      </c>
      <c r="BW15" s="1">
        <v>0</v>
      </c>
      <c r="BX15" s="1">
        <v>0</v>
      </c>
      <c r="BY15" s="1">
        <v>0</v>
      </c>
      <c r="BZ15" s="1">
        <v>0</v>
      </c>
      <c r="CA15" s="1">
        <v>0</v>
      </c>
      <c r="CB15" s="1">
        <v>0</v>
      </c>
      <c r="CC15" s="1">
        <v>0</v>
      </c>
      <c r="CD15" s="1">
        <v>0</v>
      </c>
      <c r="CE15" s="1">
        <v>0</v>
      </c>
      <c r="CF15" s="1">
        <v>0</v>
      </c>
      <c r="CG15" s="1">
        <v>0</v>
      </c>
      <c r="CH15" s="1">
        <v>0</v>
      </c>
      <c r="CI15" s="1" t="s">
        <v>1030</v>
      </c>
      <c r="CJ15" s="1">
        <v>3</v>
      </c>
      <c r="CK15" s="1">
        <v>4</v>
      </c>
      <c r="CL15" s="1">
        <v>4</v>
      </c>
      <c r="CM15" s="1">
        <v>4</v>
      </c>
      <c r="CN15" s="1">
        <v>4</v>
      </c>
      <c r="CO15" s="1">
        <v>4</v>
      </c>
      <c r="CP15" s="1">
        <v>3</v>
      </c>
      <c r="CU15" s="1">
        <v>1</v>
      </c>
    </row>
    <row r="16" spans="1:99" x14ac:dyDescent="0.35">
      <c r="A16" s="1" t="s">
        <v>1031</v>
      </c>
      <c r="B16" s="1">
        <v>171524011</v>
      </c>
      <c r="S16" s="1">
        <v>1</v>
      </c>
      <c r="T16" s="1">
        <v>1</v>
      </c>
      <c r="U16" s="1">
        <v>4</v>
      </c>
      <c r="V16" s="1">
        <v>4</v>
      </c>
      <c r="W16" s="1">
        <v>4</v>
      </c>
      <c r="X16" s="1">
        <v>4</v>
      </c>
      <c r="Y16" s="1">
        <v>4</v>
      </c>
      <c r="Z16" s="1">
        <v>4</v>
      </c>
      <c r="AA16" s="1">
        <v>4</v>
      </c>
      <c r="AC16" s="1">
        <v>1</v>
      </c>
      <c r="AD16" s="1">
        <v>0</v>
      </c>
      <c r="AF16" s="3">
        <v>6000000</v>
      </c>
      <c r="AG16" s="1">
        <v>13</v>
      </c>
      <c r="AT16" s="1" t="s">
        <v>86</v>
      </c>
      <c r="BP16" s="1">
        <v>3</v>
      </c>
      <c r="BQ16" s="1" t="s">
        <v>1032</v>
      </c>
      <c r="BR16" s="1" t="s">
        <v>1033</v>
      </c>
      <c r="BS16" s="1" t="s">
        <v>1034</v>
      </c>
      <c r="BT16" s="1" t="s">
        <v>79</v>
      </c>
      <c r="BU16" s="1">
        <v>1</v>
      </c>
      <c r="BV16" s="1">
        <v>2</v>
      </c>
      <c r="BW16" s="1">
        <v>1</v>
      </c>
      <c r="BX16" s="1">
        <v>0</v>
      </c>
      <c r="BY16" s="1">
        <v>0</v>
      </c>
      <c r="BZ16" s="1">
        <v>0</v>
      </c>
      <c r="CA16" s="1">
        <v>0</v>
      </c>
      <c r="CB16" s="1">
        <v>0</v>
      </c>
      <c r="CC16" s="1">
        <v>0</v>
      </c>
      <c r="CD16" s="1">
        <v>0</v>
      </c>
      <c r="CE16" s="1">
        <v>0</v>
      </c>
      <c r="CF16" s="1">
        <v>0</v>
      </c>
      <c r="CG16" s="1">
        <v>0</v>
      </c>
      <c r="CH16" s="1">
        <v>0</v>
      </c>
      <c r="CI16" s="1">
        <v>0</v>
      </c>
      <c r="CJ16" s="1">
        <v>4</v>
      </c>
      <c r="CK16" s="1">
        <v>4</v>
      </c>
      <c r="CL16" s="1">
        <v>2</v>
      </c>
      <c r="CM16" s="1">
        <v>4</v>
      </c>
      <c r="CN16" s="1">
        <v>4</v>
      </c>
      <c r="CO16" s="1">
        <v>3</v>
      </c>
      <c r="CP16" s="1">
        <v>4</v>
      </c>
      <c r="CU16" s="1">
        <v>1</v>
      </c>
    </row>
    <row r="17" spans="1:99" x14ac:dyDescent="0.35">
      <c r="A17" s="1" t="s">
        <v>1035</v>
      </c>
      <c r="B17" s="1">
        <v>171524012</v>
      </c>
      <c r="C17" s="1">
        <v>0</v>
      </c>
      <c r="D17" s="1">
        <v>0</v>
      </c>
      <c r="E17" s="1">
        <v>1</v>
      </c>
      <c r="F17" s="1">
        <v>0</v>
      </c>
      <c r="G17" s="1">
        <v>0</v>
      </c>
      <c r="H17" s="1">
        <v>0</v>
      </c>
      <c r="I17" s="1">
        <v>0</v>
      </c>
      <c r="J17" s="1">
        <v>0</v>
      </c>
      <c r="K17" s="1">
        <v>1</v>
      </c>
      <c r="L17" s="1">
        <v>0</v>
      </c>
      <c r="M17" s="1">
        <v>0</v>
      </c>
      <c r="N17" s="1">
        <v>0</v>
      </c>
      <c r="O17" s="1">
        <v>0</v>
      </c>
      <c r="P17" s="1">
        <v>1</v>
      </c>
      <c r="Q17" s="1">
        <v>1</v>
      </c>
      <c r="R17" s="1">
        <v>3</v>
      </c>
      <c r="S17" s="1">
        <v>1</v>
      </c>
      <c r="T17" s="1">
        <v>3</v>
      </c>
      <c r="U17" s="1">
        <v>3</v>
      </c>
      <c r="V17" s="1">
        <v>3</v>
      </c>
      <c r="W17" s="1">
        <v>2</v>
      </c>
      <c r="X17" s="1">
        <v>4</v>
      </c>
      <c r="Y17" s="1">
        <v>3</v>
      </c>
      <c r="Z17" s="1">
        <v>3</v>
      </c>
      <c r="AA17" s="1">
        <v>3</v>
      </c>
      <c r="AC17" s="1">
        <v>1</v>
      </c>
      <c r="AD17" s="1">
        <v>0</v>
      </c>
      <c r="AF17" s="3">
        <v>7875000</v>
      </c>
      <c r="AG17" s="1">
        <v>11</v>
      </c>
      <c r="AR17" s="1" t="s">
        <v>130</v>
      </c>
      <c r="BP17" s="1">
        <v>3</v>
      </c>
      <c r="BQ17" s="1" t="s">
        <v>1036</v>
      </c>
      <c r="BR17" s="1" t="s">
        <v>1037</v>
      </c>
      <c r="BS17" s="1" t="s">
        <v>1038</v>
      </c>
      <c r="BT17" s="1" t="s">
        <v>79</v>
      </c>
      <c r="BU17" s="1">
        <v>1</v>
      </c>
      <c r="BV17" s="1">
        <v>2</v>
      </c>
      <c r="BW17" s="1">
        <v>1</v>
      </c>
      <c r="BX17" s="1">
        <v>0</v>
      </c>
      <c r="BY17" s="1">
        <v>0</v>
      </c>
      <c r="BZ17" s="1">
        <v>0</v>
      </c>
      <c r="CA17" s="1">
        <v>0</v>
      </c>
      <c r="CB17" s="1">
        <v>0</v>
      </c>
      <c r="CC17" s="1">
        <v>0</v>
      </c>
      <c r="CD17" s="1">
        <v>0</v>
      </c>
      <c r="CE17" s="1">
        <v>0</v>
      </c>
      <c r="CF17" s="1">
        <v>0</v>
      </c>
      <c r="CG17" s="1">
        <v>0</v>
      </c>
      <c r="CH17" s="1">
        <v>0</v>
      </c>
      <c r="CI17" s="1">
        <v>0</v>
      </c>
      <c r="CJ17" s="1">
        <v>3</v>
      </c>
      <c r="CK17" s="1">
        <v>4</v>
      </c>
      <c r="CL17" s="1">
        <v>4</v>
      </c>
      <c r="CM17" s="1">
        <v>4</v>
      </c>
      <c r="CN17" s="1">
        <v>4</v>
      </c>
      <c r="CO17" s="1">
        <v>3</v>
      </c>
      <c r="CP17" s="1">
        <v>4</v>
      </c>
      <c r="CU17" s="1">
        <v>1</v>
      </c>
    </row>
    <row r="18" spans="1:99" x14ac:dyDescent="0.35">
      <c r="A18" s="1" t="s">
        <v>1039</v>
      </c>
      <c r="B18" s="1">
        <v>171524013</v>
      </c>
      <c r="S18" s="1">
        <v>1</v>
      </c>
      <c r="T18" s="1">
        <v>1</v>
      </c>
      <c r="U18" s="1">
        <v>3</v>
      </c>
      <c r="V18" s="1">
        <v>4</v>
      </c>
      <c r="W18" s="1">
        <v>3</v>
      </c>
      <c r="X18" s="1">
        <v>4</v>
      </c>
      <c r="Y18" s="1">
        <v>3</v>
      </c>
      <c r="Z18" s="1">
        <v>3</v>
      </c>
      <c r="AA18" s="1">
        <v>3</v>
      </c>
      <c r="AC18" s="1">
        <v>1</v>
      </c>
      <c r="AD18" s="1">
        <v>0</v>
      </c>
      <c r="AF18" s="3">
        <v>5000000</v>
      </c>
      <c r="AG18" s="1">
        <v>13</v>
      </c>
      <c r="AT18" s="1" t="s">
        <v>86</v>
      </c>
      <c r="BP18" s="1">
        <v>3</v>
      </c>
      <c r="BQ18" s="1" t="s">
        <v>1040</v>
      </c>
      <c r="BR18" s="1" t="s">
        <v>1041</v>
      </c>
      <c r="BS18" s="1" t="s">
        <v>1042</v>
      </c>
      <c r="BT18" s="1" t="s">
        <v>79</v>
      </c>
      <c r="BU18" s="1">
        <v>2</v>
      </c>
      <c r="BV18" s="1">
        <v>2</v>
      </c>
      <c r="BW18" s="1">
        <v>1</v>
      </c>
      <c r="BX18" s="1">
        <v>0</v>
      </c>
      <c r="BY18" s="1">
        <v>0</v>
      </c>
      <c r="BZ18" s="1">
        <v>0</v>
      </c>
      <c r="CA18" s="1">
        <v>0</v>
      </c>
      <c r="CB18" s="1">
        <v>0</v>
      </c>
      <c r="CC18" s="1">
        <v>0</v>
      </c>
      <c r="CD18" s="1">
        <v>0</v>
      </c>
      <c r="CE18" s="1">
        <v>0</v>
      </c>
      <c r="CF18" s="1">
        <v>0</v>
      </c>
      <c r="CG18" s="1">
        <v>0</v>
      </c>
      <c r="CH18" s="1">
        <v>0</v>
      </c>
      <c r="CI18" s="1">
        <v>0</v>
      </c>
      <c r="CJ18" s="1">
        <v>3</v>
      </c>
      <c r="CK18" s="1">
        <v>3</v>
      </c>
      <c r="CL18" s="1">
        <v>3</v>
      </c>
      <c r="CM18" s="1">
        <v>3</v>
      </c>
      <c r="CN18" s="1">
        <v>3</v>
      </c>
      <c r="CO18" s="1">
        <v>3</v>
      </c>
      <c r="CP18" s="1">
        <v>3</v>
      </c>
      <c r="CU18" s="1">
        <v>1</v>
      </c>
    </row>
    <row r="19" spans="1:99" x14ac:dyDescent="0.35">
      <c r="A19" s="1" t="s">
        <v>1043</v>
      </c>
      <c r="B19" s="1">
        <v>171524017</v>
      </c>
      <c r="C19" s="1">
        <v>0</v>
      </c>
      <c r="D19" s="1">
        <v>1</v>
      </c>
      <c r="E19" s="1">
        <v>0</v>
      </c>
      <c r="F19" s="1">
        <v>0</v>
      </c>
      <c r="G19" s="1">
        <v>0</v>
      </c>
      <c r="H19" s="1">
        <v>0</v>
      </c>
      <c r="I19" s="1">
        <v>0</v>
      </c>
      <c r="J19" s="1">
        <v>0</v>
      </c>
      <c r="K19" s="1">
        <v>1</v>
      </c>
      <c r="L19" s="1">
        <v>0</v>
      </c>
      <c r="M19" s="1">
        <v>0</v>
      </c>
      <c r="N19" s="1">
        <v>0</v>
      </c>
      <c r="O19" s="1">
        <v>0</v>
      </c>
      <c r="P19" s="1">
        <v>20</v>
      </c>
      <c r="Q19" s="1">
        <v>5</v>
      </c>
      <c r="R19" s="1">
        <v>2</v>
      </c>
      <c r="S19" s="1">
        <v>1</v>
      </c>
      <c r="T19" s="1">
        <v>1</v>
      </c>
      <c r="U19" s="1">
        <v>3</v>
      </c>
      <c r="V19" s="1">
        <v>3</v>
      </c>
      <c r="W19" s="1">
        <v>2</v>
      </c>
      <c r="X19" s="1">
        <v>3</v>
      </c>
      <c r="Y19" s="1">
        <v>3</v>
      </c>
      <c r="Z19" s="1">
        <v>3</v>
      </c>
      <c r="AA19" s="1">
        <v>2</v>
      </c>
      <c r="AC19" s="1">
        <v>1</v>
      </c>
      <c r="AD19" s="1">
        <v>2</v>
      </c>
      <c r="AF19" s="3">
        <v>4800000</v>
      </c>
      <c r="AG19" s="1">
        <v>11</v>
      </c>
      <c r="AR19" s="1" t="s">
        <v>130</v>
      </c>
      <c r="BP19" s="1">
        <v>3</v>
      </c>
      <c r="BQ19" s="1" t="s">
        <v>1044</v>
      </c>
      <c r="BR19" s="1" t="s">
        <v>1045</v>
      </c>
      <c r="BS19" s="1" t="s">
        <v>1046</v>
      </c>
      <c r="BT19" s="1" t="s">
        <v>79</v>
      </c>
      <c r="BU19" s="1">
        <v>3</v>
      </c>
      <c r="BV19" s="1">
        <v>2</v>
      </c>
      <c r="BW19" s="1">
        <v>1</v>
      </c>
      <c r="BX19" s="1">
        <v>0</v>
      </c>
      <c r="BY19" s="1">
        <v>0</v>
      </c>
      <c r="BZ19" s="1">
        <v>0</v>
      </c>
      <c r="CA19" s="1">
        <v>0</v>
      </c>
      <c r="CB19" s="1">
        <v>0</v>
      </c>
      <c r="CC19" s="1">
        <v>0</v>
      </c>
      <c r="CD19" s="1">
        <v>1</v>
      </c>
      <c r="CE19" s="1">
        <v>0</v>
      </c>
      <c r="CF19" s="1">
        <v>0</v>
      </c>
      <c r="CG19" s="1">
        <v>0</v>
      </c>
      <c r="CH19" s="1">
        <v>0</v>
      </c>
      <c r="CI19" s="1">
        <v>0</v>
      </c>
      <c r="CJ19" s="1">
        <v>3</v>
      </c>
      <c r="CK19" s="1">
        <v>3</v>
      </c>
      <c r="CL19" s="1">
        <v>3</v>
      </c>
      <c r="CM19" s="1">
        <v>3</v>
      </c>
      <c r="CN19" s="1">
        <v>3</v>
      </c>
      <c r="CO19" s="1">
        <v>3</v>
      </c>
      <c r="CP19" s="1">
        <v>3</v>
      </c>
      <c r="CU19" s="1">
        <v>1</v>
      </c>
    </row>
    <row r="20" spans="1:99" x14ac:dyDescent="0.35">
      <c r="A20" s="1" t="s">
        <v>1047</v>
      </c>
      <c r="B20" s="1">
        <v>171524019</v>
      </c>
      <c r="C20" s="1">
        <v>0</v>
      </c>
      <c r="D20" s="1">
        <v>0</v>
      </c>
      <c r="E20" s="1">
        <v>1</v>
      </c>
      <c r="F20" s="1">
        <v>0</v>
      </c>
      <c r="G20" s="1">
        <v>0</v>
      </c>
      <c r="H20" s="1">
        <v>0</v>
      </c>
      <c r="I20" s="1">
        <v>0</v>
      </c>
      <c r="J20" s="1">
        <v>0</v>
      </c>
      <c r="K20" s="1">
        <v>1</v>
      </c>
      <c r="L20" s="1">
        <v>0</v>
      </c>
      <c r="M20" s="1">
        <v>0</v>
      </c>
      <c r="N20" s="1">
        <v>0</v>
      </c>
      <c r="O20" s="1">
        <v>0</v>
      </c>
      <c r="P20" s="1">
        <v>65</v>
      </c>
      <c r="Q20" s="1">
        <v>20</v>
      </c>
      <c r="R20" s="1">
        <v>10</v>
      </c>
      <c r="S20" s="1">
        <v>1</v>
      </c>
      <c r="T20" s="1">
        <v>1</v>
      </c>
      <c r="U20" s="1">
        <v>4</v>
      </c>
      <c r="V20" s="1">
        <v>3</v>
      </c>
      <c r="W20" s="1">
        <v>3</v>
      </c>
      <c r="X20" s="1">
        <v>4</v>
      </c>
      <c r="Y20" s="1">
        <v>3</v>
      </c>
      <c r="Z20" s="1">
        <v>3</v>
      </c>
      <c r="AA20" s="1">
        <v>3</v>
      </c>
      <c r="AC20" s="1">
        <v>1</v>
      </c>
      <c r="AD20" s="1">
        <v>3</v>
      </c>
      <c r="AF20" s="3">
        <v>4500000</v>
      </c>
      <c r="AG20" s="1">
        <v>13</v>
      </c>
      <c r="AT20" s="1" t="s">
        <v>86</v>
      </c>
      <c r="BP20" s="1">
        <v>3</v>
      </c>
      <c r="BQ20" s="1" t="s">
        <v>1048</v>
      </c>
      <c r="BR20" s="1" t="s">
        <v>1049</v>
      </c>
      <c r="BT20" s="1" t="s">
        <v>79</v>
      </c>
      <c r="BU20" s="1">
        <v>1</v>
      </c>
      <c r="BV20" s="1">
        <v>2</v>
      </c>
      <c r="BW20" s="1">
        <v>1</v>
      </c>
      <c r="BX20" s="1">
        <v>0</v>
      </c>
      <c r="BY20" s="1">
        <v>0</v>
      </c>
      <c r="BZ20" s="1">
        <v>0</v>
      </c>
      <c r="CA20" s="1">
        <v>0</v>
      </c>
      <c r="CB20" s="1">
        <v>0</v>
      </c>
      <c r="CC20" s="1">
        <v>0</v>
      </c>
      <c r="CD20" s="1">
        <v>0</v>
      </c>
      <c r="CE20" s="1">
        <v>0</v>
      </c>
      <c r="CF20" s="1">
        <v>0</v>
      </c>
      <c r="CG20" s="1">
        <v>0</v>
      </c>
      <c r="CH20" s="1">
        <v>0</v>
      </c>
      <c r="CI20" s="1">
        <v>0</v>
      </c>
      <c r="CJ20" s="1">
        <v>4</v>
      </c>
      <c r="CK20" s="1">
        <v>4</v>
      </c>
      <c r="CL20" s="1">
        <v>4</v>
      </c>
      <c r="CM20" s="1">
        <v>4</v>
      </c>
      <c r="CN20" s="1">
        <v>4</v>
      </c>
      <c r="CO20" s="1">
        <v>4</v>
      </c>
      <c r="CP20" s="1">
        <v>4</v>
      </c>
      <c r="CU20" s="1">
        <v>1</v>
      </c>
    </row>
    <row r="21" spans="1:99" x14ac:dyDescent="0.35">
      <c r="A21" s="1" t="s">
        <v>1050</v>
      </c>
      <c r="B21" s="1">
        <v>171524020</v>
      </c>
      <c r="D21" s="1">
        <v>1</v>
      </c>
      <c r="E21" s="1">
        <v>1</v>
      </c>
      <c r="F21" s="1">
        <v>0</v>
      </c>
      <c r="G21" s="1">
        <v>0</v>
      </c>
      <c r="H21" s="1">
        <v>0</v>
      </c>
      <c r="I21" s="1">
        <v>0</v>
      </c>
      <c r="J21" s="1">
        <v>1</v>
      </c>
      <c r="K21" s="1">
        <v>0</v>
      </c>
      <c r="L21" s="1">
        <v>0</v>
      </c>
      <c r="M21" s="1">
        <v>0</v>
      </c>
      <c r="N21" s="1">
        <v>0</v>
      </c>
      <c r="O21" s="1">
        <v>0</v>
      </c>
      <c r="P21" s="1" t="s">
        <v>1051</v>
      </c>
      <c r="Q21" s="1" t="s">
        <v>1052</v>
      </c>
      <c r="R21" s="1">
        <v>6</v>
      </c>
      <c r="S21" s="1">
        <v>1</v>
      </c>
      <c r="T21" s="1">
        <v>1</v>
      </c>
      <c r="U21" s="1">
        <v>4</v>
      </c>
      <c r="V21" s="1">
        <v>3</v>
      </c>
      <c r="W21" s="1">
        <v>3</v>
      </c>
      <c r="X21" s="1">
        <v>4</v>
      </c>
      <c r="Y21" s="1">
        <v>3</v>
      </c>
      <c r="Z21" s="1">
        <v>4</v>
      </c>
      <c r="AA21" s="1">
        <v>4</v>
      </c>
      <c r="AC21" s="1">
        <v>1</v>
      </c>
      <c r="AD21" s="1">
        <v>1</v>
      </c>
      <c r="AF21" s="3">
        <v>8000000</v>
      </c>
      <c r="AG21" s="1">
        <v>13</v>
      </c>
      <c r="AT21" s="1" t="s">
        <v>86</v>
      </c>
      <c r="BP21" s="1">
        <v>3</v>
      </c>
      <c r="BQ21" s="1" t="s">
        <v>1053</v>
      </c>
      <c r="BR21" s="1" t="s">
        <v>1054</v>
      </c>
      <c r="BS21" s="1" t="s">
        <v>1055</v>
      </c>
      <c r="BT21" s="1" t="s">
        <v>73</v>
      </c>
      <c r="BU21" s="1">
        <v>1</v>
      </c>
      <c r="BV21" s="1">
        <v>2</v>
      </c>
      <c r="BW21" s="1">
        <v>1</v>
      </c>
      <c r="BX21" s="1">
        <v>0</v>
      </c>
      <c r="BY21" s="1">
        <v>0</v>
      </c>
      <c r="BZ21" s="1">
        <v>0</v>
      </c>
      <c r="CA21" s="1">
        <v>0</v>
      </c>
      <c r="CB21" s="1">
        <v>0</v>
      </c>
      <c r="CC21" s="1">
        <v>0</v>
      </c>
      <c r="CD21" s="1">
        <v>0</v>
      </c>
      <c r="CE21" s="1">
        <v>0</v>
      </c>
      <c r="CF21" s="1">
        <v>0</v>
      </c>
      <c r="CG21" s="1">
        <v>0</v>
      </c>
      <c r="CH21" s="1">
        <v>0</v>
      </c>
      <c r="CI21" s="1">
        <v>0</v>
      </c>
      <c r="CJ21" s="1">
        <v>4</v>
      </c>
      <c r="CK21" s="1">
        <v>4</v>
      </c>
      <c r="CL21" s="1">
        <v>3</v>
      </c>
      <c r="CM21" s="1">
        <v>4</v>
      </c>
      <c r="CN21" s="1">
        <v>3</v>
      </c>
      <c r="CO21" s="1">
        <v>4</v>
      </c>
      <c r="CP21" s="1">
        <v>3</v>
      </c>
      <c r="CU21" s="1">
        <v>1</v>
      </c>
    </row>
    <row r="22" spans="1:99" x14ac:dyDescent="0.35">
      <c r="A22" s="1" t="s">
        <v>1056</v>
      </c>
      <c r="B22" s="1">
        <v>171524022</v>
      </c>
      <c r="C22" s="1">
        <v>0</v>
      </c>
      <c r="D22" s="1">
        <v>0</v>
      </c>
      <c r="E22" s="1">
        <v>0</v>
      </c>
      <c r="F22" s="1">
        <v>0</v>
      </c>
      <c r="G22" s="1">
        <v>0</v>
      </c>
      <c r="H22" s="1">
        <v>0</v>
      </c>
      <c r="I22" s="1">
        <v>1</v>
      </c>
      <c r="J22" s="1">
        <v>0</v>
      </c>
      <c r="K22" s="1">
        <v>1</v>
      </c>
      <c r="L22" s="1">
        <v>0</v>
      </c>
      <c r="M22" s="1">
        <v>1</v>
      </c>
      <c r="N22" s="1">
        <v>0</v>
      </c>
      <c r="O22" s="1">
        <v>0</v>
      </c>
      <c r="P22" s="1">
        <v>2</v>
      </c>
      <c r="Q22" s="1">
        <v>2</v>
      </c>
      <c r="R22" s="1">
        <v>1</v>
      </c>
      <c r="S22" s="1">
        <v>1</v>
      </c>
      <c r="T22" s="1">
        <v>1</v>
      </c>
      <c r="U22" s="1">
        <v>4</v>
      </c>
      <c r="V22" s="1">
        <v>3</v>
      </c>
      <c r="W22" s="1">
        <v>3</v>
      </c>
      <c r="X22" s="1">
        <v>4</v>
      </c>
      <c r="Y22" s="1">
        <v>3</v>
      </c>
      <c r="Z22" s="1">
        <v>4</v>
      </c>
      <c r="AA22" s="1">
        <v>4</v>
      </c>
      <c r="AC22" s="1">
        <v>1</v>
      </c>
      <c r="AD22" s="1">
        <v>0</v>
      </c>
      <c r="AE22" s="1">
        <v>0</v>
      </c>
      <c r="AF22" s="3">
        <v>4305915</v>
      </c>
      <c r="AG22" s="1">
        <v>13</v>
      </c>
      <c r="AT22" s="1" t="s">
        <v>86</v>
      </c>
      <c r="BP22" s="1">
        <v>6</v>
      </c>
      <c r="BQ22" s="1" t="s">
        <v>1057</v>
      </c>
      <c r="BR22" s="1" t="s">
        <v>1058</v>
      </c>
      <c r="BS22" s="1" t="s">
        <v>1059</v>
      </c>
      <c r="BT22" s="1" t="s">
        <v>79</v>
      </c>
      <c r="BU22" s="1">
        <v>2</v>
      </c>
      <c r="BV22" s="1">
        <v>2</v>
      </c>
      <c r="BW22" s="1">
        <v>1</v>
      </c>
      <c r="BX22" s="1">
        <v>0</v>
      </c>
      <c r="BY22" s="1">
        <v>0</v>
      </c>
      <c r="BZ22" s="1">
        <v>0</v>
      </c>
      <c r="CA22" s="1">
        <v>0</v>
      </c>
      <c r="CB22" s="1">
        <v>0</v>
      </c>
      <c r="CC22" s="1">
        <v>0</v>
      </c>
      <c r="CD22" s="1">
        <v>0</v>
      </c>
      <c r="CE22" s="1">
        <v>0</v>
      </c>
      <c r="CF22" s="1">
        <v>0</v>
      </c>
      <c r="CG22" s="1">
        <v>0</v>
      </c>
      <c r="CH22" s="1">
        <v>0</v>
      </c>
      <c r="CI22" s="1">
        <v>0</v>
      </c>
      <c r="CJ22" s="1">
        <v>4</v>
      </c>
      <c r="CK22" s="1">
        <v>4</v>
      </c>
      <c r="CL22" s="1">
        <v>3</v>
      </c>
      <c r="CM22" s="1">
        <v>4</v>
      </c>
      <c r="CN22" s="1">
        <v>4</v>
      </c>
      <c r="CO22" s="1">
        <v>4</v>
      </c>
      <c r="CP22" s="1">
        <v>4</v>
      </c>
      <c r="CU22" s="1">
        <v>4</v>
      </c>
    </row>
    <row r="23" spans="1:99" x14ac:dyDescent="0.35">
      <c r="A23" s="1" t="s">
        <v>1060</v>
      </c>
      <c r="B23" s="1">
        <v>171524023</v>
      </c>
      <c r="S23" s="1">
        <v>1</v>
      </c>
      <c r="T23" s="1">
        <v>1</v>
      </c>
      <c r="U23" s="1">
        <v>4</v>
      </c>
      <c r="V23" s="1">
        <v>4</v>
      </c>
      <c r="W23" s="1">
        <v>4</v>
      </c>
      <c r="X23" s="1">
        <v>4</v>
      </c>
      <c r="Y23" s="1">
        <v>3</v>
      </c>
      <c r="Z23" s="1">
        <v>4</v>
      </c>
      <c r="AA23" s="1">
        <v>4</v>
      </c>
      <c r="AC23" s="1">
        <v>1</v>
      </c>
      <c r="AD23" s="1">
        <v>1</v>
      </c>
      <c r="AF23" s="3">
        <v>8000000</v>
      </c>
      <c r="AG23" s="1">
        <v>13</v>
      </c>
      <c r="AT23" s="1" t="s">
        <v>86</v>
      </c>
      <c r="BP23" s="1">
        <v>3</v>
      </c>
      <c r="BQ23" s="1" t="s">
        <v>1061</v>
      </c>
      <c r="BR23" s="1" t="s">
        <v>78</v>
      </c>
      <c r="BT23" s="1" t="s">
        <v>73</v>
      </c>
      <c r="BU23" s="1">
        <v>1</v>
      </c>
      <c r="BV23" s="1">
        <v>2</v>
      </c>
      <c r="BW23" s="1">
        <v>1</v>
      </c>
      <c r="BX23" s="1">
        <v>0</v>
      </c>
      <c r="BY23" s="1">
        <v>0</v>
      </c>
      <c r="BZ23" s="1">
        <v>0</v>
      </c>
      <c r="CA23" s="1">
        <v>0</v>
      </c>
      <c r="CB23" s="1">
        <v>0</v>
      </c>
      <c r="CC23" s="1">
        <v>0</v>
      </c>
      <c r="CD23" s="1">
        <v>0</v>
      </c>
      <c r="CE23" s="1">
        <v>0</v>
      </c>
      <c r="CF23" s="1">
        <v>0</v>
      </c>
      <c r="CG23" s="1">
        <v>0</v>
      </c>
      <c r="CH23" s="1">
        <v>0</v>
      </c>
      <c r="CI23" s="1">
        <v>0</v>
      </c>
      <c r="CJ23" s="1">
        <v>4</v>
      </c>
      <c r="CK23" s="1">
        <v>4</v>
      </c>
      <c r="CL23" s="1">
        <v>4</v>
      </c>
      <c r="CM23" s="1">
        <v>4</v>
      </c>
      <c r="CN23" s="1">
        <v>4</v>
      </c>
      <c r="CO23" s="1">
        <v>4</v>
      </c>
      <c r="CP23" s="1">
        <v>4</v>
      </c>
      <c r="CU23" s="1">
        <v>1</v>
      </c>
    </row>
    <row r="24" spans="1:99" x14ac:dyDescent="0.35">
      <c r="A24" s="1" t="s">
        <v>1062</v>
      </c>
      <c r="B24" s="1">
        <v>171524024</v>
      </c>
      <c r="C24" s="1">
        <v>0</v>
      </c>
      <c r="D24" s="1">
        <v>1</v>
      </c>
      <c r="E24" s="1">
        <v>1</v>
      </c>
      <c r="F24" s="1">
        <v>0</v>
      </c>
      <c r="G24" s="1">
        <v>1</v>
      </c>
      <c r="H24" s="1">
        <v>0</v>
      </c>
      <c r="I24" s="1">
        <v>0</v>
      </c>
      <c r="J24" s="1">
        <v>1</v>
      </c>
      <c r="K24" s="1">
        <v>1</v>
      </c>
      <c r="L24" s="1">
        <v>0</v>
      </c>
      <c r="M24" s="1">
        <v>1</v>
      </c>
      <c r="N24" s="1">
        <v>0</v>
      </c>
      <c r="O24" s="1">
        <v>0</v>
      </c>
      <c r="P24" s="1" t="s">
        <v>1063</v>
      </c>
      <c r="Q24" s="1" t="s">
        <v>1064</v>
      </c>
      <c r="R24" s="1" t="s">
        <v>1064</v>
      </c>
      <c r="S24" s="1">
        <v>1</v>
      </c>
      <c r="T24" s="1">
        <v>1</v>
      </c>
      <c r="U24" s="1">
        <v>4</v>
      </c>
      <c r="V24" s="1">
        <v>3</v>
      </c>
      <c r="W24" s="1">
        <v>3</v>
      </c>
      <c r="X24" s="1">
        <v>4</v>
      </c>
      <c r="Y24" s="1">
        <v>4</v>
      </c>
      <c r="Z24" s="1">
        <v>4</v>
      </c>
      <c r="AA24" s="1">
        <v>4</v>
      </c>
      <c r="AC24" s="1">
        <v>1</v>
      </c>
      <c r="AD24" s="1">
        <v>1</v>
      </c>
      <c r="AE24" s="1">
        <v>1</v>
      </c>
      <c r="AF24" s="3">
        <v>8000000</v>
      </c>
      <c r="AG24" s="1">
        <v>12</v>
      </c>
      <c r="AS24" s="1" t="s">
        <v>1021</v>
      </c>
      <c r="BP24" s="1">
        <v>3</v>
      </c>
      <c r="BQ24" s="1" t="s">
        <v>1065</v>
      </c>
      <c r="BR24" s="1" t="s">
        <v>1066</v>
      </c>
      <c r="BS24" s="1" t="s">
        <v>1067</v>
      </c>
      <c r="BT24" s="1" t="s">
        <v>79</v>
      </c>
      <c r="BU24" s="1">
        <v>1</v>
      </c>
      <c r="BV24" s="1">
        <v>1</v>
      </c>
      <c r="BW24" s="1">
        <v>0</v>
      </c>
      <c r="BX24" s="1">
        <v>0</v>
      </c>
      <c r="BY24" s="1">
        <v>0</v>
      </c>
      <c r="BZ24" s="1">
        <v>0</v>
      </c>
      <c r="CA24" s="1">
        <v>0</v>
      </c>
      <c r="CB24" s="1">
        <v>0</v>
      </c>
      <c r="CC24" s="1">
        <v>0</v>
      </c>
      <c r="CD24" s="1">
        <v>0</v>
      </c>
      <c r="CE24" s="1">
        <v>0</v>
      </c>
      <c r="CF24" s="1">
        <v>0</v>
      </c>
      <c r="CG24" s="1">
        <v>0</v>
      </c>
      <c r="CH24" s="1">
        <v>0</v>
      </c>
      <c r="CI24" s="1" t="s">
        <v>78</v>
      </c>
      <c r="CJ24" s="1">
        <v>4</v>
      </c>
      <c r="CK24" s="1">
        <v>3</v>
      </c>
      <c r="CL24" s="1">
        <v>3</v>
      </c>
      <c r="CM24" s="1">
        <v>3</v>
      </c>
      <c r="CN24" s="1">
        <v>4</v>
      </c>
      <c r="CO24" s="1">
        <v>4</v>
      </c>
      <c r="CP24" s="1">
        <v>3</v>
      </c>
      <c r="CU24" s="1">
        <v>1</v>
      </c>
    </row>
    <row r="25" spans="1:99" x14ac:dyDescent="0.35">
      <c r="A25" s="1" t="s">
        <v>1068</v>
      </c>
      <c r="B25" s="1">
        <v>171524025</v>
      </c>
      <c r="C25" s="1">
        <v>0</v>
      </c>
      <c r="D25" s="1">
        <v>1</v>
      </c>
      <c r="E25" s="1">
        <v>1</v>
      </c>
      <c r="F25" s="1">
        <v>0</v>
      </c>
      <c r="G25" s="1">
        <v>0</v>
      </c>
      <c r="H25" s="1">
        <v>0</v>
      </c>
      <c r="I25" s="1">
        <v>0</v>
      </c>
      <c r="J25" s="1">
        <v>0</v>
      </c>
      <c r="K25" s="1">
        <v>0</v>
      </c>
      <c r="L25" s="1">
        <v>0</v>
      </c>
      <c r="M25" s="1">
        <v>0</v>
      </c>
      <c r="N25" s="1">
        <v>0</v>
      </c>
      <c r="O25" s="1">
        <v>0</v>
      </c>
      <c r="P25" s="1">
        <v>3</v>
      </c>
      <c r="Q25" s="1">
        <v>2</v>
      </c>
      <c r="R25" s="1">
        <v>2</v>
      </c>
      <c r="S25" s="1">
        <v>1</v>
      </c>
      <c r="T25" s="1">
        <v>1</v>
      </c>
      <c r="U25" s="1">
        <v>3</v>
      </c>
      <c r="V25" s="1">
        <v>3</v>
      </c>
      <c r="W25" s="1">
        <v>2</v>
      </c>
      <c r="X25" s="1">
        <v>3</v>
      </c>
      <c r="Y25" s="1">
        <v>2</v>
      </c>
      <c r="Z25" s="1">
        <v>3</v>
      </c>
      <c r="AA25" s="1">
        <v>3</v>
      </c>
      <c r="AC25" s="1">
        <v>1</v>
      </c>
      <c r="AD25" s="1">
        <v>1</v>
      </c>
      <c r="AE25" s="1">
        <v>1</v>
      </c>
      <c r="AF25" s="3">
        <v>6000000</v>
      </c>
      <c r="AG25" s="1">
        <v>11</v>
      </c>
      <c r="AR25" s="1" t="s">
        <v>130</v>
      </c>
      <c r="BP25" s="1">
        <v>3</v>
      </c>
      <c r="BQ25" s="1" t="s">
        <v>1069</v>
      </c>
      <c r="BR25" s="1" t="s">
        <v>1070</v>
      </c>
      <c r="BS25" s="1" t="s">
        <v>1071</v>
      </c>
      <c r="BT25" s="1" t="s">
        <v>79</v>
      </c>
      <c r="BU25" s="1">
        <v>1</v>
      </c>
      <c r="BV25" s="1">
        <v>2</v>
      </c>
      <c r="BW25" s="1">
        <v>1</v>
      </c>
      <c r="BX25" s="1">
        <v>0</v>
      </c>
      <c r="BY25" s="1">
        <v>0</v>
      </c>
      <c r="BZ25" s="1">
        <v>0</v>
      </c>
      <c r="CA25" s="1">
        <v>0</v>
      </c>
      <c r="CB25" s="1">
        <v>0</v>
      </c>
      <c r="CC25" s="1">
        <v>0</v>
      </c>
      <c r="CD25" s="1">
        <v>0</v>
      </c>
      <c r="CE25" s="1">
        <v>0</v>
      </c>
      <c r="CF25" s="1">
        <v>0</v>
      </c>
      <c r="CG25" s="1">
        <v>0</v>
      </c>
      <c r="CH25" s="1">
        <v>0</v>
      </c>
      <c r="CI25" s="1">
        <v>0</v>
      </c>
      <c r="CJ25" s="1">
        <v>4</v>
      </c>
      <c r="CK25" s="1">
        <v>3</v>
      </c>
      <c r="CL25" s="1">
        <v>3</v>
      </c>
      <c r="CM25" s="1">
        <v>3</v>
      </c>
      <c r="CN25" s="1">
        <v>4</v>
      </c>
      <c r="CO25" s="1">
        <v>4</v>
      </c>
      <c r="CP25" s="1">
        <v>3</v>
      </c>
      <c r="CU25" s="1">
        <v>1</v>
      </c>
    </row>
    <row r="26" spans="1:99" x14ac:dyDescent="0.35">
      <c r="A26" s="1" t="s">
        <v>1072</v>
      </c>
      <c r="B26" s="1">
        <v>171524026</v>
      </c>
      <c r="S26" s="1">
        <v>1</v>
      </c>
      <c r="T26" s="1">
        <v>1</v>
      </c>
      <c r="U26" s="1">
        <v>4</v>
      </c>
      <c r="V26" s="1">
        <v>4</v>
      </c>
      <c r="W26" s="1">
        <v>4</v>
      </c>
      <c r="X26" s="1">
        <v>4</v>
      </c>
      <c r="Y26" s="1">
        <v>4</v>
      </c>
      <c r="Z26" s="1">
        <v>4</v>
      </c>
      <c r="AA26" s="1">
        <v>4</v>
      </c>
      <c r="AC26" s="1">
        <v>1</v>
      </c>
      <c r="AD26" s="1">
        <v>0</v>
      </c>
      <c r="AE26" s="1">
        <v>0</v>
      </c>
      <c r="AF26" s="3">
        <v>6000000</v>
      </c>
      <c r="AG26" s="1">
        <v>13</v>
      </c>
      <c r="AT26" s="1" t="s">
        <v>86</v>
      </c>
      <c r="BP26" s="1">
        <v>3</v>
      </c>
      <c r="BQ26" s="1" t="s">
        <v>1032</v>
      </c>
      <c r="BR26" s="1" t="s">
        <v>1018</v>
      </c>
      <c r="BS26" s="1" t="s">
        <v>1027</v>
      </c>
      <c r="BT26" s="1" t="s">
        <v>79</v>
      </c>
      <c r="BU26" s="1">
        <v>1</v>
      </c>
      <c r="BV26" s="1">
        <v>2</v>
      </c>
      <c r="BW26" s="1">
        <v>1</v>
      </c>
      <c r="BX26" s="1">
        <v>0</v>
      </c>
      <c r="BY26" s="1">
        <v>0</v>
      </c>
      <c r="BZ26" s="1">
        <v>0</v>
      </c>
      <c r="CA26" s="1">
        <v>0</v>
      </c>
      <c r="CB26" s="1">
        <v>0</v>
      </c>
      <c r="CC26" s="1">
        <v>0</v>
      </c>
      <c r="CD26" s="1">
        <v>0</v>
      </c>
      <c r="CE26" s="1">
        <v>0</v>
      </c>
      <c r="CF26" s="1">
        <v>0</v>
      </c>
      <c r="CG26" s="1">
        <v>0</v>
      </c>
      <c r="CH26" s="1">
        <v>0</v>
      </c>
      <c r="CI26" s="1">
        <v>0</v>
      </c>
      <c r="CJ26" s="1">
        <v>4</v>
      </c>
      <c r="CK26" s="1">
        <v>4</v>
      </c>
      <c r="CL26" s="1">
        <v>4</v>
      </c>
      <c r="CM26" s="1">
        <v>4</v>
      </c>
      <c r="CN26" s="1">
        <v>4</v>
      </c>
      <c r="CO26" s="1">
        <v>4</v>
      </c>
      <c r="CP26" s="1">
        <v>4</v>
      </c>
      <c r="CU26" s="1">
        <v>1</v>
      </c>
    </row>
    <row r="27" spans="1:99" x14ac:dyDescent="0.35">
      <c r="A27" s="1" t="s">
        <v>1073</v>
      </c>
      <c r="B27" s="1">
        <v>171524027</v>
      </c>
      <c r="C27" s="1">
        <v>0</v>
      </c>
      <c r="D27" s="1">
        <v>0</v>
      </c>
      <c r="E27" s="1">
        <v>0</v>
      </c>
      <c r="F27" s="1">
        <v>0</v>
      </c>
      <c r="G27" s="1">
        <v>0</v>
      </c>
      <c r="H27" s="1">
        <v>0</v>
      </c>
      <c r="I27" s="1">
        <v>0</v>
      </c>
      <c r="J27" s="1">
        <v>0</v>
      </c>
      <c r="K27" s="1">
        <v>1</v>
      </c>
      <c r="L27" s="1">
        <v>0</v>
      </c>
      <c r="M27" s="1">
        <v>0</v>
      </c>
      <c r="N27" s="1">
        <v>0</v>
      </c>
      <c r="O27" s="1">
        <v>0</v>
      </c>
      <c r="P27" s="1">
        <v>1</v>
      </c>
      <c r="Q27" s="1">
        <v>1</v>
      </c>
      <c r="R27" s="1">
        <v>1</v>
      </c>
      <c r="S27" s="1">
        <v>1</v>
      </c>
      <c r="T27" s="1">
        <v>1</v>
      </c>
      <c r="U27" s="1">
        <v>3</v>
      </c>
      <c r="V27" s="1">
        <v>4</v>
      </c>
      <c r="W27" s="1">
        <v>3</v>
      </c>
      <c r="X27" s="1">
        <v>4</v>
      </c>
      <c r="Y27" s="1">
        <v>3</v>
      </c>
      <c r="Z27" s="1">
        <v>3</v>
      </c>
      <c r="AA27" s="1">
        <v>3</v>
      </c>
      <c r="AC27" s="1">
        <v>1</v>
      </c>
      <c r="AD27" s="1">
        <v>0</v>
      </c>
      <c r="AF27" s="3">
        <v>6000000</v>
      </c>
      <c r="AG27" s="1">
        <v>13</v>
      </c>
      <c r="AT27" s="1" t="s">
        <v>86</v>
      </c>
      <c r="BP27" s="1">
        <v>3</v>
      </c>
      <c r="BQ27" s="1" t="s">
        <v>1032</v>
      </c>
      <c r="BR27" s="1" t="s">
        <v>1018</v>
      </c>
      <c r="BS27" s="1" t="s">
        <v>1074</v>
      </c>
      <c r="BT27" s="1" t="s">
        <v>79</v>
      </c>
      <c r="BU27" s="1">
        <v>1</v>
      </c>
      <c r="BV27" s="1">
        <v>2</v>
      </c>
      <c r="BW27" s="1">
        <v>1</v>
      </c>
      <c r="BX27" s="1">
        <v>0</v>
      </c>
      <c r="BY27" s="1">
        <v>0</v>
      </c>
      <c r="BZ27" s="1">
        <v>0</v>
      </c>
      <c r="CA27" s="1">
        <v>0</v>
      </c>
      <c r="CB27" s="1">
        <v>0</v>
      </c>
      <c r="CC27" s="1">
        <v>0</v>
      </c>
      <c r="CD27" s="1">
        <v>0</v>
      </c>
      <c r="CE27" s="1">
        <v>0</v>
      </c>
      <c r="CF27" s="1">
        <v>0</v>
      </c>
      <c r="CG27" s="1">
        <v>0</v>
      </c>
      <c r="CH27" s="1">
        <v>0</v>
      </c>
      <c r="CI27" s="1">
        <v>0</v>
      </c>
      <c r="CJ27" s="1">
        <v>3</v>
      </c>
      <c r="CK27" s="1">
        <v>3</v>
      </c>
      <c r="CL27" s="1">
        <v>3</v>
      </c>
      <c r="CM27" s="1">
        <v>3</v>
      </c>
      <c r="CN27" s="1">
        <v>3</v>
      </c>
      <c r="CO27" s="1">
        <v>3</v>
      </c>
      <c r="CP27" s="1">
        <v>3</v>
      </c>
      <c r="CU27" s="1">
        <v>1</v>
      </c>
    </row>
    <row r="28" spans="1:99" x14ac:dyDescent="0.35">
      <c r="A28" s="1" t="s">
        <v>1075</v>
      </c>
      <c r="B28" s="1">
        <v>171524029</v>
      </c>
      <c r="C28" s="1">
        <v>0</v>
      </c>
      <c r="D28" s="1">
        <v>1</v>
      </c>
      <c r="E28" s="1">
        <v>1</v>
      </c>
      <c r="F28" s="1">
        <v>0</v>
      </c>
      <c r="G28" s="1">
        <v>0</v>
      </c>
      <c r="H28" s="1">
        <v>0</v>
      </c>
      <c r="I28" s="1">
        <v>0</v>
      </c>
      <c r="J28" s="1">
        <v>1</v>
      </c>
      <c r="K28" s="1">
        <v>1</v>
      </c>
      <c r="L28" s="1">
        <v>0</v>
      </c>
      <c r="M28" s="1">
        <v>0</v>
      </c>
      <c r="N28" s="1">
        <v>0</v>
      </c>
      <c r="O28" s="1">
        <v>0</v>
      </c>
      <c r="P28" s="1">
        <v>0</v>
      </c>
      <c r="Q28" s="1">
        <v>0</v>
      </c>
      <c r="R28" s="1">
        <v>1</v>
      </c>
      <c r="S28" s="1">
        <v>1</v>
      </c>
      <c r="T28" s="1">
        <v>1</v>
      </c>
      <c r="U28" s="1">
        <v>3</v>
      </c>
      <c r="V28" s="1">
        <v>2</v>
      </c>
      <c r="W28" s="1">
        <v>4</v>
      </c>
      <c r="X28" s="1">
        <v>4</v>
      </c>
      <c r="Y28" s="1">
        <v>3</v>
      </c>
      <c r="Z28" s="1">
        <v>3</v>
      </c>
      <c r="AA28" s="1">
        <v>3</v>
      </c>
      <c r="AC28" s="1">
        <v>1</v>
      </c>
      <c r="AD28" s="1">
        <v>0</v>
      </c>
      <c r="AE28" s="1">
        <v>0</v>
      </c>
      <c r="AF28" s="3">
        <v>6000000</v>
      </c>
      <c r="AG28" s="1">
        <v>13</v>
      </c>
      <c r="AT28" s="1" t="s">
        <v>93</v>
      </c>
      <c r="BP28" s="1">
        <v>3</v>
      </c>
      <c r="BQ28" s="1" t="s">
        <v>1076</v>
      </c>
      <c r="BR28" s="1" t="s">
        <v>1077</v>
      </c>
      <c r="BS28" s="1" t="s">
        <v>1078</v>
      </c>
      <c r="BT28" s="1" t="s">
        <v>79</v>
      </c>
      <c r="BU28" s="1">
        <v>1</v>
      </c>
      <c r="BV28" s="1">
        <v>2</v>
      </c>
      <c r="BW28" s="1">
        <v>0</v>
      </c>
      <c r="BX28" s="1">
        <v>0</v>
      </c>
      <c r="BY28" s="1">
        <v>0</v>
      </c>
      <c r="BZ28" s="1">
        <v>0</v>
      </c>
      <c r="CA28" s="1">
        <v>0</v>
      </c>
      <c r="CB28" s="1">
        <v>0</v>
      </c>
      <c r="CC28" s="1">
        <v>0</v>
      </c>
      <c r="CD28" s="1">
        <v>0</v>
      </c>
      <c r="CE28" s="1">
        <v>0</v>
      </c>
      <c r="CF28" s="1">
        <v>0</v>
      </c>
      <c r="CG28" s="1">
        <v>0</v>
      </c>
      <c r="CH28" s="1">
        <v>0</v>
      </c>
      <c r="CJ28" s="1">
        <v>4</v>
      </c>
      <c r="CK28" s="1">
        <v>3</v>
      </c>
      <c r="CL28" s="1">
        <v>3</v>
      </c>
      <c r="CM28" s="1">
        <v>4</v>
      </c>
      <c r="CN28" s="1">
        <v>4</v>
      </c>
      <c r="CO28" s="1">
        <v>4</v>
      </c>
      <c r="CP28" s="1">
        <v>4</v>
      </c>
      <c r="CU28" s="1">
        <v>4</v>
      </c>
    </row>
    <row r="29" spans="1:99" x14ac:dyDescent="0.35">
      <c r="A29" s="1" t="s">
        <v>1079</v>
      </c>
      <c r="B29" s="1">
        <v>171524030</v>
      </c>
      <c r="C29" s="1">
        <v>0</v>
      </c>
      <c r="D29" s="1">
        <v>1</v>
      </c>
      <c r="E29" s="1">
        <v>1</v>
      </c>
      <c r="F29" s="1">
        <v>0</v>
      </c>
      <c r="G29" s="1">
        <v>0</v>
      </c>
      <c r="H29" s="1">
        <v>0</v>
      </c>
      <c r="I29" s="1">
        <v>0</v>
      </c>
      <c r="J29" s="1">
        <v>0</v>
      </c>
      <c r="K29" s="1">
        <v>1</v>
      </c>
      <c r="L29" s="1">
        <v>0</v>
      </c>
      <c r="M29" s="1">
        <v>0</v>
      </c>
      <c r="N29" s="1">
        <v>0</v>
      </c>
      <c r="O29" s="1">
        <v>0</v>
      </c>
      <c r="P29" s="1">
        <v>0</v>
      </c>
      <c r="Q29" s="1">
        <v>0</v>
      </c>
      <c r="R29" s="1">
        <v>0</v>
      </c>
      <c r="S29" s="1">
        <v>1</v>
      </c>
      <c r="T29" s="1">
        <v>1</v>
      </c>
      <c r="U29" s="1">
        <v>4</v>
      </c>
      <c r="V29" s="1">
        <v>3</v>
      </c>
      <c r="W29" s="1">
        <v>4</v>
      </c>
      <c r="X29" s="1">
        <v>4</v>
      </c>
      <c r="Y29" s="1">
        <v>3</v>
      </c>
      <c r="Z29" s="1">
        <v>3</v>
      </c>
      <c r="AA29" s="1">
        <v>3</v>
      </c>
      <c r="AC29" s="1">
        <v>2</v>
      </c>
      <c r="AE29" s="1">
        <v>0</v>
      </c>
      <c r="AF29" s="3">
        <v>6000000</v>
      </c>
      <c r="AG29" s="1">
        <v>13</v>
      </c>
      <c r="AT29" s="1" t="s">
        <v>86</v>
      </c>
      <c r="BP29" s="1">
        <v>3</v>
      </c>
      <c r="BQ29" s="1" t="s">
        <v>1080</v>
      </c>
      <c r="BR29" s="1" t="s">
        <v>1033</v>
      </c>
      <c r="BS29" s="1" t="s">
        <v>1081</v>
      </c>
      <c r="BT29" s="1" t="s">
        <v>79</v>
      </c>
      <c r="BU29" s="1">
        <v>1</v>
      </c>
      <c r="BV29" s="1">
        <v>2</v>
      </c>
      <c r="BW29" s="1">
        <v>1</v>
      </c>
      <c r="BX29" s="1">
        <v>0</v>
      </c>
      <c r="BY29" s="1">
        <v>0</v>
      </c>
      <c r="BZ29" s="1">
        <v>0</v>
      </c>
      <c r="CA29" s="1">
        <v>0</v>
      </c>
      <c r="CB29" s="1">
        <v>0</v>
      </c>
      <c r="CC29" s="1">
        <v>0</v>
      </c>
      <c r="CD29" s="1">
        <v>0</v>
      </c>
      <c r="CE29" s="1">
        <v>0</v>
      </c>
      <c r="CF29" s="1">
        <v>0</v>
      </c>
      <c r="CG29" s="1">
        <v>0</v>
      </c>
      <c r="CH29" s="1">
        <v>0</v>
      </c>
      <c r="CI29" s="1">
        <v>0</v>
      </c>
      <c r="CJ29" s="1">
        <v>4</v>
      </c>
      <c r="CK29" s="1">
        <v>3</v>
      </c>
      <c r="CL29" s="1">
        <v>3</v>
      </c>
      <c r="CM29" s="1">
        <v>3</v>
      </c>
      <c r="CN29" s="1">
        <v>4</v>
      </c>
      <c r="CO29" s="1">
        <v>3</v>
      </c>
      <c r="CP29" s="1">
        <v>4</v>
      </c>
      <c r="CU29" s="1">
        <v>4</v>
      </c>
    </row>
    <row r="30" spans="1:99" x14ac:dyDescent="0.35">
      <c r="A30" s="1" t="s">
        <v>1082</v>
      </c>
      <c r="B30" s="1">
        <v>171524032</v>
      </c>
      <c r="C30" s="1">
        <v>0</v>
      </c>
      <c r="D30" s="1">
        <v>1</v>
      </c>
      <c r="E30" s="1">
        <v>0</v>
      </c>
      <c r="F30" s="1">
        <v>0</v>
      </c>
      <c r="G30" s="1">
        <v>0</v>
      </c>
      <c r="H30" s="1">
        <v>0</v>
      </c>
      <c r="I30" s="1">
        <v>0</v>
      </c>
      <c r="J30" s="1">
        <v>0</v>
      </c>
      <c r="K30" s="1">
        <v>1</v>
      </c>
      <c r="L30" s="1">
        <v>0</v>
      </c>
      <c r="M30" s="1">
        <v>0</v>
      </c>
      <c r="N30" s="1">
        <v>0</v>
      </c>
      <c r="O30" s="1">
        <v>0</v>
      </c>
      <c r="P30" s="1">
        <v>1</v>
      </c>
      <c r="Q30" s="1">
        <v>1</v>
      </c>
      <c r="R30" s="1">
        <v>1</v>
      </c>
      <c r="S30" s="1">
        <v>1</v>
      </c>
      <c r="T30" s="1">
        <v>1</v>
      </c>
      <c r="U30" s="1">
        <v>4</v>
      </c>
      <c r="V30" s="1">
        <v>2</v>
      </c>
      <c r="W30" s="1">
        <v>4</v>
      </c>
      <c r="X30" s="1">
        <v>4</v>
      </c>
      <c r="Y30" s="1">
        <v>4</v>
      </c>
      <c r="Z30" s="1">
        <v>4</v>
      </c>
      <c r="AA30" s="1">
        <v>4</v>
      </c>
      <c r="AC30" s="1">
        <v>1</v>
      </c>
      <c r="AD30" s="1">
        <v>1</v>
      </c>
      <c r="AF30" s="3">
        <v>6000000</v>
      </c>
      <c r="AG30" s="1">
        <v>11</v>
      </c>
      <c r="AR30" s="1" t="s">
        <v>118</v>
      </c>
      <c r="BP30" s="1">
        <v>3</v>
      </c>
      <c r="BQ30" s="1" t="s">
        <v>1083</v>
      </c>
      <c r="BR30" s="1" t="s">
        <v>1084</v>
      </c>
      <c r="BS30" s="1" t="s">
        <v>1085</v>
      </c>
      <c r="BT30" s="1" t="s">
        <v>79</v>
      </c>
      <c r="BU30" s="1">
        <v>1</v>
      </c>
      <c r="BV30" s="1">
        <v>2</v>
      </c>
      <c r="BW30" s="1">
        <v>1</v>
      </c>
      <c r="BX30" s="1">
        <v>0</v>
      </c>
      <c r="BY30" s="1">
        <v>0</v>
      </c>
      <c r="BZ30" s="1">
        <v>0</v>
      </c>
      <c r="CA30" s="1">
        <v>0</v>
      </c>
      <c r="CB30" s="1">
        <v>0</v>
      </c>
      <c r="CC30" s="1">
        <v>0</v>
      </c>
      <c r="CD30" s="1">
        <v>0</v>
      </c>
      <c r="CE30" s="1">
        <v>0</v>
      </c>
      <c r="CF30" s="1">
        <v>0</v>
      </c>
      <c r="CG30" s="1">
        <v>0</v>
      </c>
      <c r="CH30" s="1">
        <v>0</v>
      </c>
      <c r="CI30" s="1">
        <v>0</v>
      </c>
      <c r="CJ30" s="1">
        <v>4</v>
      </c>
      <c r="CK30" s="1">
        <v>3</v>
      </c>
      <c r="CL30" s="1">
        <v>4</v>
      </c>
      <c r="CM30" s="1">
        <v>4</v>
      </c>
      <c r="CN30" s="1">
        <v>4</v>
      </c>
      <c r="CO30" s="1">
        <v>4</v>
      </c>
      <c r="CP30" s="1">
        <v>4</v>
      </c>
      <c r="CU30" s="1">
        <v>1</v>
      </c>
    </row>
    <row r="31" spans="1:99" x14ac:dyDescent="0.35">
      <c r="A31" s="1" t="s">
        <v>4154</v>
      </c>
      <c r="B31" s="1">
        <v>161524004</v>
      </c>
      <c r="C31" s="1">
        <v>0</v>
      </c>
      <c r="D31" s="1">
        <v>1</v>
      </c>
      <c r="E31" s="1">
        <v>0</v>
      </c>
      <c r="F31" s="1">
        <v>0</v>
      </c>
      <c r="G31" s="1">
        <v>0</v>
      </c>
      <c r="H31" s="1">
        <v>0</v>
      </c>
      <c r="I31" s="1">
        <v>0</v>
      </c>
      <c r="J31" s="1">
        <v>0</v>
      </c>
      <c r="K31" s="1">
        <v>0</v>
      </c>
      <c r="L31" s="1">
        <v>0</v>
      </c>
      <c r="M31" s="1">
        <v>0</v>
      </c>
      <c r="N31" s="1">
        <v>0</v>
      </c>
      <c r="O31" s="1">
        <v>0</v>
      </c>
      <c r="P31" s="1">
        <v>2</v>
      </c>
      <c r="Q31" s="1">
        <v>2</v>
      </c>
      <c r="R31" s="1">
        <v>2</v>
      </c>
      <c r="S31" s="1">
        <v>5</v>
      </c>
      <c r="T31" s="1">
        <v>1</v>
      </c>
      <c r="U31" s="1">
        <v>4</v>
      </c>
      <c r="V31" s="1">
        <v>3</v>
      </c>
      <c r="W31" s="1">
        <v>4</v>
      </c>
      <c r="X31" s="1">
        <v>4</v>
      </c>
      <c r="Y31" s="1">
        <v>4</v>
      </c>
      <c r="Z31" s="1">
        <v>3</v>
      </c>
      <c r="AA31" s="1">
        <v>3</v>
      </c>
      <c r="AS31" s="1" t="s">
        <v>472</v>
      </c>
      <c r="CU31" s="1">
        <v>1</v>
      </c>
    </row>
    <row r="32" spans="1:99" x14ac:dyDescent="0.35">
      <c r="A32" s="1" t="s">
        <v>4155</v>
      </c>
      <c r="B32" s="1">
        <v>161524006</v>
      </c>
      <c r="C32" s="1">
        <v>0</v>
      </c>
      <c r="D32" s="1">
        <v>1</v>
      </c>
      <c r="E32" s="1">
        <v>0</v>
      </c>
      <c r="F32" s="1">
        <v>0</v>
      </c>
      <c r="G32" s="1">
        <v>0</v>
      </c>
      <c r="H32" s="1">
        <v>0</v>
      </c>
      <c r="I32" s="1">
        <v>0</v>
      </c>
      <c r="J32" s="1">
        <v>0</v>
      </c>
      <c r="K32" s="1">
        <v>0</v>
      </c>
      <c r="L32" s="1">
        <v>0</v>
      </c>
      <c r="M32" s="1">
        <v>0</v>
      </c>
      <c r="N32" s="1">
        <v>0</v>
      </c>
      <c r="O32" s="1">
        <v>0</v>
      </c>
      <c r="P32" s="1" t="s">
        <v>448</v>
      </c>
      <c r="Q32" s="1">
        <v>2</v>
      </c>
      <c r="R32" s="1">
        <v>2</v>
      </c>
      <c r="S32" s="1">
        <v>1</v>
      </c>
      <c r="T32" s="1">
        <v>1</v>
      </c>
      <c r="U32" s="1">
        <v>4</v>
      </c>
      <c r="V32" s="1">
        <v>3</v>
      </c>
      <c r="W32" s="1">
        <v>4</v>
      </c>
      <c r="X32" s="1">
        <v>4</v>
      </c>
      <c r="Y32" s="1">
        <v>4</v>
      </c>
      <c r="Z32" s="1">
        <v>4</v>
      </c>
      <c r="AA32" s="1">
        <v>4</v>
      </c>
      <c r="AC32" s="1">
        <v>1</v>
      </c>
      <c r="AD32" s="1">
        <v>2</v>
      </c>
      <c r="AF32" s="3">
        <v>13000000</v>
      </c>
      <c r="AG32" s="1">
        <v>11</v>
      </c>
      <c r="AR32" s="1" t="s">
        <v>130</v>
      </c>
      <c r="BP32" s="1">
        <v>3</v>
      </c>
      <c r="BQ32" s="1" t="s">
        <v>4156</v>
      </c>
      <c r="BR32" s="1" t="s">
        <v>4157</v>
      </c>
      <c r="BS32" s="1" t="s">
        <v>4158</v>
      </c>
      <c r="BT32" s="1" t="s">
        <v>79</v>
      </c>
      <c r="BU32" s="1">
        <v>1</v>
      </c>
      <c r="BV32" s="1">
        <v>2</v>
      </c>
      <c r="BW32" s="1">
        <v>1</v>
      </c>
      <c r="BX32" s="1">
        <v>0</v>
      </c>
      <c r="BY32" s="1">
        <v>0</v>
      </c>
      <c r="BZ32" s="1">
        <v>0</v>
      </c>
      <c r="CA32" s="1">
        <v>0</v>
      </c>
      <c r="CB32" s="1">
        <v>0</v>
      </c>
      <c r="CC32" s="1">
        <v>0</v>
      </c>
      <c r="CD32" s="1">
        <v>0</v>
      </c>
      <c r="CE32" s="1">
        <v>0</v>
      </c>
      <c r="CF32" s="1">
        <v>0</v>
      </c>
      <c r="CG32" s="1">
        <v>0</v>
      </c>
      <c r="CH32" s="1">
        <v>0</v>
      </c>
      <c r="CI32" s="1">
        <v>0</v>
      </c>
      <c r="CJ32" s="1">
        <v>4</v>
      </c>
      <c r="CK32" s="1">
        <v>4</v>
      </c>
      <c r="CL32" s="1">
        <v>4</v>
      </c>
      <c r="CM32" s="1">
        <v>4</v>
      </c>
      <c r="CN32" s="1">
        <v>4</v>
      </c>
      <c r="CO32" s="1">
        <v>4</v>
      </c>
      <c r="CP32" s="1">
        <v>4</v>
      </c>
      <c r="CU32" s="1">
        <v>1</v>
      </c>
    </row>
    <row r="33" spans="1:99" x14ac:dyDescent="0.35">
      <c r="A33" s="1" t="s">
        <v>4159</v>
      </c>
      <c r="B33" s="1">
        <v>161524026</v>
      </c>
      <c r="C33" s="1">
        <v>0</v>
      </c>
      <c r="D33" s="1">
        <v>1</v>
      </c>
      <c r="E33" s="1">
        <v>0</v>
      </c>
      <c r="F33" s="1">
        <v>0</v>
      </c>
      <c r="G33" s="1">
        <v>0</v>
      </c>
      <c r="H33" s="1">
        <v>0</v>
      </c>
      <c r="I33" s="1">
        <v>0</v>
      </c>
      <c r="J33" s="1">
        <v>0</v>
      </c>
      <c r="K33" s="1">
        <v>0</v>
      </c>
      <c r="L33" s="1">
        <v>0</v>
      </c>
      <c r="M33" s="1">
        <v>0</v>
      </c>
      <c r="N33" s="1">
        <v>0</v>
      </c>
      <c r="O33" s="1">
        <v>0</v>
      </c>
      <c r="P33" s="1">
        <v>4</v>
      </c>
      <c r="Q33" s="1">
        <v>4</v>
      </c>
      <c r="R33" s="1">
        <v>2</v>
      </c>
      <c r="S33" s="1">
        <v>1</v>
      </c>
      <c r="T33" s="1">
        <v>1</v>
      </c>
      <c r="U33" s="1">
        <v>3</v>
      </c>
      <c r="V33" s="1">
        <v>3</v>
      </c>
      <c r="W33" s="1">
        <v>3</v>
      </c>
      <c r="X33" s="1">
        <v>3</v>
      </c>
      <c r="Y33" s="1">
        <v>3</v>
      </c>
      <c r="Z33" s="1">
        <v>3</v>
      </c>
      <c r="AA33" s="1">
        <v>3</v>
      </c>
      <c r="AC33" s="1">
        <v>2</v>
      </c>
      <c r="AE33" s="1">
        <v>1</v>
      </c>
      <c r="AF33" s="3">
        <v>5500000</v>
      </c>
      <c r="AG33" s="1">
        <v>12</v>
      </c>
      <c r="AS33" s="1" t="s">
        <v>472</v>
      </c>
      <c r="BP33" s="1">
        <v>4</v>
      </c>
      <c r="BQ33" s="1" t="s">
        <v>4160</v>
      </c>
      <c r="BR33" s="1" t="s">
        <v>4161</v>
      </c>
      <c r="BS33" s="1" t="s">
        <v>4162</v>
      </c>
      <c r="BT33" s="1" t="s">
        <v>79</v>
      </c>
      <c r="BU33" s="1">
        <v>1</v>
      </c>
      <c r="BV33" s="1">
        <v>2</v>
      </c>
      <c r="BW33" s="1">
        <v>1</v>
      </c>
      <c r="BX33" s="1">
        <v>0</v>
      </c>
      <c r="BY33" s="1">
        <v>0</v>
      </c>
      <c r="BZ33" s="1">
        <v>0</v>
      </c>
      <c r="CA33" s="1">
        <v>0</v>
      </c>
      <c r="CB33" s="1">
        <v>0</v>
      </c>
      <c r="CC33" s="1">
        <v>0</v>
      </c>
      <c r="CD33" s="1">
        <v>0</v>
      </c>
      <c r="CE33" s="1">
        <v>0</v>
      </c>
      <c r="CF33" s="1">
        <v>0</v>
      </c>
      <c r="CG33" s="1">
        <v>0</v>
      </c>
      <c r="CH33" s="1">
        <v>0</v>
      </c>
      <c r="CI33" s="1">
        <v>0</v>
      </c>
      <c r="CJ33" s="1">
        <v>4</v>
      </c>
      <c r="CK33" s="1">
        <v>4</v>
      </c>
      <c r="CL33" s="1">
        <v>4</v>
      </c>
      <c r="CM33" s="1">
        <v>4</v>
      </c>
      <c r="CN33" s="1">
        <v>4</v>
      </c>
      <c r="CO33" s="1">
        <v>4</v>
      </c>
      <c r="CP33" s="1">
        <v>4</v>
      </c>
      <c r="CU33" s="1">
        <v>1</v>
      </c>
    </row>
    <row r="34" spans="1:99" x14ac:dyDescent="0.35">
      <c r="A34" s="1" t="s">
        <v>4163</v>
      </c>
      <c r="B34" s="1">
        <v>161524027</v>
      </c>
      <c r="C34" s="1">
        <v>0</v>
      </c>
      <c r="D34" s="1">
        <v>0</v>
      </c>
      <c r="E34" s="1">
        <v>1</v>
      </c>
      <c r="F34" s="1">
        <v>0</v>
      </c>
      <c r="G34" s="1">
        <v>0</v>
      </c>
      <c r="H34" s="1">
        <v>0</v>
      </c>
      <c r="I34" s="1">
        <v>0</v>
      </c>
      <c r="J34" s="1">
        <v>0</v>
      </c>
      <c r="K34" s="1">
        <v>0</v>
      </c>
      <c r="L34" s="1">
        <v>0</v>
      </c>
      <c r="M34" s="1">
        <v>1</v>
      </c>
      <c r="N34" s="1">
        <v>0</v>
      </c>
      <c r="O34" s="1">
        <v>0</v>
      </c>
      <c r="P34" s="1">
        <v>0</v>
      </c>
      <c r="Q34" s="1">
        <v>0</v>
      </c>
      <c r="R34" s="1">
        <v>1</v>
      </c>
      <c r="S34" s="1">
        <v>1</v>
      </c>
      <c r="T34" s="1">
        <v>1</v>
      </c>
      <c r="U34" s="1">
        <v>4</v>
      </c>
      <c r="V34" s="1">
        <v>4</v>
      </c>
      <c r="W34" s="1">
        <v>3</v>
      </c>
      <c r="X34" s="1">
        <v>4</v>
      </c>
      <c r="Y34" s="1">
        <v>3</v>
      </c>
      <c r="Z34" s="1">
        <v>4</v>
      </c>
      <c r="AA34" s="1">
        <v>4</v>
      </c>
      <c r="AC34" s="1">
        <v>2</v>
      </c>
      <c r="AE34" s="1">
        <v>4</v>
      </c>
      <c r="AF34" s="3">
        <v>5500000</v>
      </c>
      <c r="AG34" s="1">
        <v>11</v>
      </c>
      <c r="AR34" s="1" t="s">
        <v>130</v>
      </c>
      <c r="BP34" s="1">
        <v>3</v>
      </c>
      <c r="BQ34" s="1" t="s">
        <v>4164</v>
      </c>
      <c r="BR34" s="1" t="s">
        <v>4165</v>
      </c>
      <c r="BS34" s="1" t="s">
        <v>4166</v>
      </c>
      <c r="BT34" s="1" t="s">
        <v>79</v>
      </c>
      <c r="BU34" s="1">
        <v>1</v>
      </c>
      <c r="BV34" s="1">
        <v>2</v>
      </c>
      <c r="BW34" s="1">
        <v>1</v>
      </c>
      <c r="BX34" s="1">
        <v>0</v>
      </c>
      <c r="BY34" s="1">
        <v>0</v>
      </c>
      <c r="BZ34" s="1">
        <v>0</v>
      </c>
      <c r="CA34" s="1">
        <v>0</v>
      </c>
      <c r="CB34" s="1">
        <v>0</v>
      </c>
      <c r="CC34" s="1">
        <v>0</v>
      </c>
      <c r="CD34" s="1">
        <v>0</v>
      </c>
      <c r="CE34" s="1">
        <v>0</v>
      </c>
      <c r="CF34" s="1">
        <v>0</v>
      </c>
      <c r="CG34" s="1">
        <v>0</v>
      </c>
      <c r="CH34" s="1">
        <v>0</v>
      </c>
      <c r="CI34" s="1">
        <v>0</v>
      </c>
      <c r="CJ34" s="1">
        <v>4</v>
      </c>
      <c r="CK34" s="1">
        <v>3</v>
      </c>
      <c r="CL34" s="1">
        <v>4</v>
      </c>
      <c r="CM34" s="1">
        <v>4</v>
      </c>
      <c r="CN34" s="1">
        <v>4</v>
      </c>
      <c r="CO34" s="1">
        <v>4</v>
      </c>
      <c r="CP34" s="1">
        <v>4</v>
      </c>
      <c r="CU34" s="1">
        <v>1</v>
      </c>
    </row>
    <row r="35" spans="1:99" x14ac:dyDescent="0.35">
      <c r="A35" s="1" t="s">
        <v>4204</v>
      </c>
      <c r="B35" s="1">
        <v>171524031</v>
      </c>
      <c r="C35" s="1">
        <v>1</v>
      </c>
      <c r="D35" s="1">
        <v>1</v>
      </c>
      <c r="E35" s="1">
        <v>0</v>
      </c>
      <c r="F35" s="1">
        <v>0</v>
      </c>
      <c r="G35" s="1">
        <v>0</v>
      </c>
      <c r="H35" s="1">
        <v>0</v>
      </c>
      <c r="I35" s="1">
        <v>0</v>
      </c>
      <c r="J35" s="1">
        <v>0</v>
      </c>
      <c r="K35" s="1">
        <v>1</v>
      </c>
      <c r="L35" s="1">
        <v>0</v>
      </c>
      <c r="M35" s="1">
        <v>0</v>
      </c>
      <c r="N35" s="1">
        <v>0</v>
      </c>
      <c r="O35" s="1">
        <v>0</v>
      </c>
      <c r="P35" s="1">
        <v>5</v>
      </c>
      <c r="Q35" s="1">
        <v>4</v>
      </c>
      <c r="R35" s="1">
        <v>2</v>
      </c>
      <c r="S35" s="1">
        <v>5</v>
      </c>
      <c r="T35" s="1">
        <v>1</v>
      </c>
      <c r="U35" s="1">
        <v>2</v>
      </c>
      <c r="V35" s="1">
        <v>3</v>
      </c>
      <c r="W35" s="1">
        <v>3</v>
      </c>
      <c r="X35" s="1">
        <v>4</v>
      </c>
      <c r="Y35" s="1">
        <v>3</v>
      </c>
      <c r="Z35" s="1">
        <v>2</v>
      </c>
      <c r="AA35" s="1">
        <v>3</v>
      </c>
      <c r="CU35" s="1">
        <v>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BC7D3E-E823-4054-83E1-D0E4E1E2E2AB}">
  <dimension ref="A1:CU59"/>
  <sheetViews>
    <sheetView topLeftCell="P1" zoomScale="40" zoomScaleNormal="40" workbookViewId="0">
      <pane ySplit="1" topLeftCell="A41" activePane="bottomLeft" state="frozen"/>
      <selection pane="bottomLeft" activeCell="T13" sqref="T13"/>
    </sheetView>
  </sheetViews>
  <sheetFormatPr defaultColWidth="8.90625" defaultRowHeight="14.5" x14ac:dyDescent="0.35"/>
  <cols>
    <col min="1" max="1" width="44.6328125" style="1" bestFit="1" customWidth="1"/>
    <col min="2" max="2" width="11.7265625" style="1" bestFit="1" customWidth="1"/>
    <col min="3" max="9" width="76" style="1" bestFit="1" customWidth="1"/>
    <col min="10" max="10" width="76.7265625" style="1" bestFit="1" customWidth="1"/>
    <col min="11" max="11" width="76.26953125" style="1" bestFit="1" customWidth="1"/>
    <col min="12" max="14" width="76.7265625" style="1" bestFit="1" customWidth="1"/>
    <col min="15" max="15" width="80.08984375" style="1" bestFit="1" customWidth="1"/>
    <col min="16" max="16" width="129.453125" style="1" bestFit="1" customWidth="1"/>
    <col min="17" max="17" width="76" style="1" bestFit="1" customWidth="1"/>
    <col min="18" max="18" width="86.26953125" style="1" bestFit="1" customWidth="1"/>
    <col min="19" max="19" width="30.81640625" style="1" bestFit="1" customWidth="1"/>
    <col min="20" max="20" width="49" style="1" bestFit="1" customWidth="1"/>
    <col min="21" max="21" width="80.36328125" style="1" bestFit="1" customWidth="1"/>
    <col min="22" max="22" width="107.81640625" style="1" bestFit="1" customWidth="1"/>
    <col min="23" max="23" width="89.90625" style="1" bestFit="1" customWidth="1"/>
    <col min="24" max="24" width="108.08984375" style="1" bestFit="1" customWidth="1"/>
    <col min="25" max="25" width="87.1796875" style="1" bestFit="1" customWidth="1"/>
    <col min="26" max="26" width="89.90625" style="1" bestFit="1" customWidth="1"/>
    <col min="27" max="27" width="94.6328125" style="1" bestFit="1" customWidth="1"/>
    <col min="28" max="28" width="50.36328125" style="1" bestFit="1" customWidth="1"/>
    <col min="29" max="29" width="86.90625" style="1" bestFit="1" customWidth="1"/>
    <col min="30" max="30" width="51" style="1" bestFit="1" customWidth="1"/>
    <col min="31" max="31" width="59.1796875" style="1" bestFit="1" customWidth="1"/>
    <col min="32" max="32" width="142.81640625" style="1" bestFit="1" customWidth="1"/>
    <col min="33" max="33" width="47.1796875" style="1" bestFit="1" customWidth="1"/>
    <col min="34" max="35" width="54.90625" style="1" bestFit="1" customWidth="1"/>
    <col min="36" max="37" width="55.36328125" style="1" bestFit="1" customWidth="1"/>
    <col min="38" max="38" width="54.90625" style="1" bestFit="1" customWidth="1"/>
    <col min="39" max="52" width="55.36328125" style="1" bestFit="1" customWidth="1"/>
    <col min="53" max="55" width="54.90625" style="1" bestFit="1" customWidth="1"/>
    <col min="56" max="64" width="55.36328125" style="1" bestFit="1" customWidth="1"/>
    <col min="65" max="67" width="54.90625" style="1" bestFit="1" customWidth="1"/>
    <col min="68" max="68" width="69.6328125" style="1" bestFit="1" customWidth="1"/>
    <col min="69" max="69" width="51.90625" style="1" bestFit="1" customWidth="1"/>
    <col min="70" max="71" width="54.6328125" style="1" bestFit="1" customWidth="1"/>
    <col min="72" max="72" width="67.1796875" style="1" bestFit="1" customWidth="1"/>
    <col min="73" max="73" width="255.6328125" style="1" bestFit="1" customWidth="1"/>
    <col min="74" max="74" width="76.90625" style="1" bestFit="1" customWidth="1"/>
    <col min="75" max="75" width="138.08984375" style="1" bestFit="1" customWidth="1"/>
    <col min="76" max="83" width="138.54296875" style="1" bestFit="1" customWidth="1"/>
    <col min="84" max="84" width="139.453125" style="1" bestFit="1" customWidth="1"/>
    <col min="85" max="85" width="138.7265625" style="1" bestFit="1" customWidth="1"/>
    <col min="86" max="86" width="139.453125" style="1" bestFit="1" customWidth="1"/>
    <col min="87" max="87" width="142.6328125" style="1" bestFit="1" customWidth="1"/>
    <col min="88" max="88" width="90.54296875" style="1" bestFit="1" customWidth="1"/>
    <col min="89" max="89" width="118.08984375" style="1" bestFit="1" customWidth="1"/>
    <col min="90" max="90" width="100.08984375" style="1" bestFit="1" customWidth="1"/>
    <col min="91" max="91" width="118.26953125" style="1" bestFit="1" customWidth="1"/>
    <col min="92" max="92" width="97.36328125" style="1" bestFit="1" customWidth="1"/>
    <col min="93" max="93" width="100.08984375" style="1" bestFit="1" customWidth="1"/>
    <col min="94" max="94" width="104.90625" style="1" bestFit="1" customWidth="1"/>
    <col min="95" max="95" width="47.6328125" style="1" bestFit="1" customWidth="1"/>
    <col min="96" max="96" width="64.453125" style="1" bestFit="1" customWidth="1"/>
    <col min="97" max="97" width="29.6328125" style="1" bestFit="1" customWidth="1"/>
    <col min="98" max="98" width="30.54296875" style="1" bestFit="1" customWidth="1"/>
    <col min="99" max="99" width="62.1796875" style="1" bestFit="1" customWidth="1"/>
    <col min="100" max="16384" width="8.90625" style="1"/>
  </cols>
  <sheetData>
    <row r="1" spans="1:99" s="6" customFormat="1" x14ac:dyDescent="0.35">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6" t="s">
        <v>15</v>
      </c>
      <c r="Q1" s="6" t="s">
        <v>16</v>
      </c>
      <c r="R1" s="6" t="s">
        <v>17</v>
      </c>
      <c r="S1" s="6" t="s">
        <v>18</v>
      </c>
      <c r="T1" s="6" t="s">
        <v>19</v>
      </c>
      <c r="U1" s="6" t="s">
        <v>20</v>
      </c>
      <c r="V1" s="6" t="s">
        <v>21</v>
      </c>
      <c r="W1" s="6" t="s">
        <v>22</v>
      </c>
      <c r="X1" s="6" t="s">
        <v>23</v>
      </c>
      <c r="Y1" s="6" t="s">
        <v>24</v>
      </c>
      <c r="Z1" s="6" t="s">
        <v>25</v>
      </c>
      <c r="AA1" s="6" t="s">
        <v>26</v>
      </c>
      <c r="AB1" s="6" t="s">
        <v>27</v>
      </c>
      <c r="AC1" s="6" t="s">
        <v>28</v>
      </c>
      <c r="AD1" s="6" t="s">
        <v>29</v>
      </c>
      <c r="AE1" s="6" t="s">
        <v>30</v>
      </c>
      <c r="AF1" s="6" t="s">
        <v>31</v>
      </c>
      <c r="AG1" s="6" t="s">
        <v>32</v>
      </c>
      <c r="AH1" s="6" t="s">
        <v>33</v>
      </c>
      <c r="AI1" s="6" t="s">
        <v>33</v>
      </c>
      <c r="AJ1" s="6" t="s">
        <v>34</v>
      </c>
      <c r="AK1" s="6" t="s">
        <v>34</v>
      </c>
      <c r="AL1" s="6" t="s">
        <v>33</v>
      </c>
      <c r="AM1" s="6" t="s">
        <v>34</v>
      </c>
      <c r="AN1" s="6" t="s">
        <v>34</v>
      </c>
      <c r="AO1" s="6" t="s">
        <v>34</v>
      </c>
      <c r="AP1" s="6" t="s">
        <v>34</v>
      </c>
      <c r="AQ1" s="6" t="s">
        <v>34</v>
      </c>
      <c r="AR1" s="6" t="s">
        <v>34</v>
      </c>
      <c r="AS1" s="6" t="s">
        <v>34</v>
      </c>
      <c r="AT1" s="6" t="s">
        <v>34</v>
      </c>
      <c r="AU1" s="6" t="s">
        <v>34</v>
      </c>
      <c r="AV1" s="6" t="s">
        <v>34</v>
      </c>
      <c r="AW1" s="6" t="s">
        <v>34</v>
      </c>
      <c r="AX1" s="6" t="s">
        <v>34</v>
      </c>
      <c r="AY1" s="6" t="s">
        <v>34</v>
      </c>
      <c r="AZ1" s="6" t="s">
        <v>34</v>
      </c>
      <c r="BA1" s="6" t="s">
        <v>33</v>
      </c>
      <c r="BB1" s="6" t="s">
        <v>33</v>
      </c>
      <c r="BC1" s="6" t="s">
        <v>33</v>
      </c>
      <c r="BD1" s="6" t="s">
        <v>34</v>
      </c>
      <c r="BE1" s="6" t="s">
        <v>34</v>
      </c>
      <c r="BF1" s="6" t="s">
        <v>34</v>
      </c>
      <c r="BG1" s="6" t="s">
        <v>34</v>
      </c>
      <c r="BH1" s="6" t="s">
        <v>34</v>
      </c>
      <c r="BI1" s="6" t="s">
        <v>34</v>
      </c>
      <c r="BJ1" s="6" t="s">
        <v>34</v>
      </c>
      <c r="BK1" s="6" t="s">
        <v>34</v>
      </c>
      <c r="BL1" s="6" t="s">
        <v>34</v>
      </c>
      <c r="BM1" s="6" t="s">
        <v>33</v>
      </c>
      <c r="BN1" s="6" t="s">
        <v>33</v>
      </c>
      <c r="BO1" s="6" t="s">
        <v>33</v>
      </c>
      <c r="BP1" s="6" t="s">
        <v>35</v>
      </c>
      <c r="BQ1" s="6" t="s">
        <v>36</v>
      </c>
      <c r="BR1" s="6" t="s">
        <v>37</v>
      </c>
      <c r="BS1" s="6" t="s">
        <v>38</v>
      </c>
      <c r="BT1" s="6" t="s">
        <v>39</v>
      </c>
      <c r="BU1" s="6" t="s">
        <v>40</v>
      </c>
      <c r="BV1" s="6" t="s">
        <v>41</v>
      </c>
      <c r="BW1" s="6" t="s">
        <v>42</v>
      </c>
      <c r="BX1" s="6" t="s">
        <v>43</v>
      </c>
      <c r="BY1" s="6" t="s">
        <v>44</v>
      </c>
      <c r="BZ1" s="6" t="s">
        <v>45</v>
      </c>
      <c r="CA1" s="6" t="s">
        <v>46</v>
      </c>
      <c r="CB1" s="6" t="s">
        <v>47</v>
      </c>
      <c r="CC1" s="6" t="s">
        <v>48</v>
      </c>
      <c r="CD1" s="6" t="s">
        <v>49</v>
      </c>
      <c r="CE1" s="6" t="s">
        <v>50</v>
      </c>
      <c r="CF1" s="6" t="s">
        <v>51</v>
      </c>
      <c r="CG1" s="6" t="s">
        <v>52</v>
      </c>
      <c r="CH1" s="6" t="s">
        <v>53</v>
      </c>
      <c r="CI1" s="6" t="s">
        <v>54</v>
      </c>
      <c r="CJ1" s="6" t="s">
        <v>55</v>
      </c>
      <c r="CK1" s="6" t="s">
        <v>56</v>
      </c>
      <c r="CL1" s="6" t="s">
        <v>57</v>
      </c>
      <c r="CM1" s="6" t="s">
        <v>58</v>
      </c>
      <c r="CN1" s="6" t="s">
        <v>59</v>
      </c>
      <c r="CO1" s="6" t="s">
        <v>60</v>
      </c>
      <c r="CP1" s="6" t="s">
        <v>61</v>
      </c>
      <c r="CQ1" s="6" t="s">
        <v>62</v>
      </c>
      <c r="CR1" s="6" t="s">
        <v>63</v>
      </c>
      <c r="CS1" s="6" t="s">
        <v>64</v>
      </c>
      <c r="CT1" s="6" t="s">
        <v>65</v>
      </c>
      <c r="CU1" s="6" t="s">
        <v>66</v>
      </c>
    </row>
    <row r="2" spans="1:99" x14ac:dyDescent="0.35">
      <c r="A2" s="1" t="s">
        <v>993</v>
      </c>
      <c r="B2" s="1">
        <v>171511013</v>
      </c>
      <c r="C2" s="1">
        <v>0</v>
      </c>
      <c r="D2" s="1">
        <v>1</v>
      </c>
      <c r="E2" s="1">
        <v>0</v>
      </c>
      <c r="F2" s="1">
        <v>0</v>
      </c>
      <c r="G2" s="1">
        <v>0</v>
      </c>
      <c r="H2" s="1">
        <v>0</v>
      </c>
      <c r="I2" s="1">
        <v>0</v>
      </c>
      <c r="J2" s="1">
        <v>0</v>
      </c>
      <c r="K2" s="1">
        <v>0</v>
      </c>
      <c r="L2" s="1">
        <v>0</v>
      </c>
      <c r="M2" s="1">
        <v>0</v>
      </c>
      <c r="N2" s="1">
        <v>0</v>
      </c>
      <c r="O2" s="1">
        <v>0</v>
      </c>
      <c r="P2" s="1">
        <v>2</v>
      </c>
      <c r="Q2" s="1">
        <v>2</v>
      </c>
      <c r="R2" s="1">
        <v>2</v>
      </c>
      <c r="S2" s="1">
        <v>5</v>
      </c>
      <c r="T2" s="1">
        <v>3</v>
      </c>
      <c r="U2" s="1">
        <v>4</v>
      </c>
      <c r="V2" s="1">
        <v>3</v>
      </c>
      <c r="W2" s="1">
        <v>3</v>
      </c>
      <c r="X2" s="1">
        <v>3</v>
      </c>
      <c r="Y2" s="1">
        <v>4</v>
      </c>
      <c r="Z2" s="1">
        <v>4</v>
      </c>
      <c r="AA2" s="1">
        <v>4</v>
      </c>
      <c r="CU2" s="1">
        <v>4</v>
      </c>
    </row>
    <row r="3" spans="1:99" x14ac:dyDescent="0.35">
      <c r="A3" s="1" t="s">
        <v>994</v>
      </c>
      <c r="B3" s="1">
        <v>171511017</v>
      </c>
      <c r="C3" s="1">
        <v>0</v>
      </c>
      <c r="D3" s="1">
        <v>1</v>
      </c>
      <c r="E3" s="1">
        <v>0</v>
      </c>
      <c r="F3" s="1">
        <v>0</v>
      </c>
      <c r="G3" s="1">
        <v>0</v>
      </c>
      <c r="H3" s="1">
        <v>0</v>
      </c>
      <c r="I3" s="1">
        <v>0</v>
      </c>
      <c r="J3" s="1">
        <v>0</v>
      </c>
      <c r="K3" s="1">
        <v>1</v>
      </c>
      <c r="L3" s="1">
        <v>0</v>
      </c>
      <c r="M3" s="1">
        <v>0</v>
      </c>
      <c r="N3" s="1">
        <v>0</v>
      </c>
      <c r="O3" s="1">
        <v>0</v>
      </c>
      <c r="P3" s="1">
        <v>20</v>
      </c>
      <c r="Q3" s="1">
        <v>10</v>
      </c>
      <c r="R3" s="1">
        <v>4</v>
      </c>
      <c r="S3" s="1">
        <v>5</v>
      </c>
      <c r="T3" s="1">
        <v>1</v>
      </c>
      <c r="U3" s="1">
        <v>4</v>
      </c>
      <c r="V3" s="1">
        <v>4</v>
      </c>
      <c r="W3" s="1">
        <v>3</v>
      </c>
      <c r="X3" s="1">
        <v>4</v>
      </c>
      <c r="Y3" s="1">
        <v>4</v>
      </c>
      <c r="Z3" s="1">
        <v>4</v>
      </c>
      <c r="AA3" s="1">
        <v>4</v>
      </c>
      <c r="CU3" s="1">
        <v>4</v>
      </c>
    </row>
    <row r="4" spans="1:99" x14ac:dyDescent="0.35">
      <c r="A4" s="1" t="s">
        <v>995</v>
      </c>
      <c r="B4" s="1">
        <v>171511060</v>
      </c>
      <c r="S4" s="1">
        <v>1</v>
      </c>
      <c r="T4" s="1">
        <v>1</v>
      </c>
      <c r="U4" s="1">
        <v>4</v>
      </c>
      <c r="V4" s="1">
        <v>4</v>
      </c>
      <c r="W4" s="1">
        <v>3</v>
      </c>
      <c r="X4" s="1">
        <v>4</v>
      </c>
      <c r="Y4" s="1">
        <v>4</v>
      </c>
      <c r="Z4" s="1">
        <v>4</v>
      </c>
      <c r="AA4" s="1">
        <v>3</v>
      </c>
      <c r="AC4" s="1">
        <v>2</v>
      </c>
      <c r="AE4" s="1">
        <v>0</v>
      </c>
      <c r="AF4" s="3">
        <v>5000000</v>
      </c>
      <c r="AG4" s="1">
        <v>11</v>
      </c>
      <c r="AR4" s="1" t="s">
        <v>222</v>
      </c>
      <c r="BP4" s="1">
        <v>3</v>
      </c>
      <c r="BT4" s="1" t="s">
        <v>73</v>
      </c>
      <c r="BU4" s="1">
        <v>3</v>
      </c>
      <c r="BV4" s="1">
        <v>1</v>
      </c>
      <c r="BW4" s="1">
        <v>0</v>
      </c>
      <c r="BX4" s="1">
        <v>0</v>
      </c>
      <c r="BY4" s="1">
        <v>0</v>
      </c>
      <c r="BZ4" s="1">
        <v>0</v>
      </c>
      <c r="CA4" s="1">
        <v>0</v>
      </c>
      <c r="CB4" s="1">
        <v>0</v>
      </c>
      <c r="CC4" s="1">
        <v>0</v>
      </c>
      <c r="CD4" s="1">
        <v>0</v>
      </c>
      <c r="CE4" s="1">
        <v>0</v>
      </c>
      <c r="CF4" s="1">
        <v>0</v>
      </c>
      <c r="CG4" s="1">
        <v>0</v>
      </c>
      <c r="CH4" s="1">
        <v>1</v>
      </c>
      <c r="CI4" s="1">
        <v>0</v>
      </c>
      <c r="CJ4" s="1">
        <v>4</v>
      </c>
      <c r="CK4" s="1">
        <v>3</v>
      </c>
      <c r="CL4" s="1">
        <v>4</v>
      </c>
      <c r="CM4" s="1">
        <v>3</v>
      </c>
      <c r="CN4" s="1">
        <v>4</v>
      </c>
      <c r="CO4" s="1">
        <v>3</v>
      </c>
      <c r="CP4" s="1">
        <v>4</v>
      </c>
      <c r="CU4" s="1">
        <v>1</v>
      </c>
    </row>
    <row r="5" spans="1:99" x14ac:dyDescent="0.35">
      <c r="A5" s="1" t="s">
        <v>996</v>
      </c>
      <c r="B5" s="1">
        <v>171511066</v>
      </c>
      <c r="C5" s="1">
        <v>0</v>
      </c>
      <c r="D5" s="1">
        <v>1</v>
      </c>
      <c r="E5" s="1">
        <v>0</v>
      </c>
      <c r="F5" s="1">
        <v>0</v>
      </c>
      <c r="G5" s="1">
        <v>0</v>
      </c>
      <c r="H5" s="1">
        <v>0</v>
      </c>
      <c r="I5" s="1">
        <v>0</v>
      </c>
      <c r="J5" s="1">
        <v>1</v>
      </c>
      <c r="K5" s="1">
        <v>1</v>
      </c>
      <c r="L5" s="1">
        <v>0</v>
      </c>
      <c r="M5" s="1">
        <v>0</v>
      </c>
      <c r="N5" s="1">
        <v>0</v>
      </c>
      <c r="O5" s="1">
        <v>0</v>
      </c>
      <c r="P5" s="1">
        <v>5</v>
      </c>
      <c r="Q5" s="1">
        <v>5</v>
      </c>
      <c r="R5" s="1">
        <v>5</v>
      </c>
      <c r="S5" s="1">
        <v>1</v>
      </c>
      <c r="T5" s="1">
        <v>3</v>
      </c>
      <c r="U5" s="1">
        <v>4</v>
      </c>
      <c r="V5" s="1">
        <v>4</v>
      </c>
      <c r="W5" s="1">
        <v>3</v>
      </c>
      <c r="X5" s="1">
        <v>4</v>
      </c>
      <c r="Y5" s="1">
        <v>4</v>
      </c>
      <c r="Z5" s="1">
        <v>4</v>
      </c>
      <c r="AA5" s="1">
        <v>4</v>
      </c>
      <c r="AC5" s="1">
        <v>2</v>
      </c>
      <c r="AE5" s="1">
        <v>6</v>
      </c>
      <c r="AF5" s="3">
        <v>5000000</v>
      </c>
      <c r="AG5" s="1">
        <v>13</v>
      </c>
      <c r="AT5" s="1" t="s">
        <v>86</v>
      </c>
      <c r="BP5" s="1">
        <v>3</v>
      </c>
      <c r="BQ5" s="1" t="s">
        <v>997</v>
      </c>
      <c r="BR5" s="1" t="s">
        <v>998</v>
      </c>
      <c r="BS5" s="1" t="s">
        <v>999</v>
      </c>
      <c r="BT5" s="1" t="s">
        <v>79</v>
      </c>
      <c r="BU5" s="1">
        <v>1</v>
      </c>
      <c r="BV5" s="1">
        <v>1</v>
      </c>
      <c r="BW5" s="1">
        <v>1</v>
      </c>
      <c r="BX5" s="1">
        <v>0</v>
      </c>
      <c r="BY5" s="1">
        <v>1</v>
      </c>
      <c r="BZ5" s="1">
        <v>0</v>
      </c>
      <c r="CA5" s="1">
        <v>0</v>
      </c>
      <c r="CB5" s="1">
        <v>0</v>
      </c>
      <c r="CC5" s="1">
        <v>0</v>
      </c>
      <c r="CD5" s="1">
        <v>1</v>
      </c>
      <c r="CE5" s="1">
        <v>0</v>
      </c>
      <c r="CF5" s="1">
        <v>0</v>
      </c>
      <c r="CG5" s="1">
        <v>0</v>
      </c>
      <c r="CH5" s="1">
        <v>0</v>
      </c>
      <c r="CI5" s="1">
        <v>0</v>
      </c>
      <c r="CJ5" s="1">
        <v>4</v>
      </c>
      <c r="CK5" s="1">
        <v>4</v>
      </c>
      <c r="CL5" s="1">
        <v>4</v>
      </c>
      <c r="CM5" s="1">
        <v>4</v>
      </c>
      <c r="CN5" s="1">
        <v>4</v>
      </c>
      <c r="CO5" s="1">
        <v>4</v>
      </c>
      <c r="CP5" s="1">
        <v>4</v>
      </c>
      <c r="CU5" s="1">
        <v>1</v>
      </c>
    </row>
    <row r="6" spans="1:99" x14ac:dyDescent="0.35">
      <c r="A6" s="1" t="s">
        <v>1087</v>
      </c>
      <c r="B6" s="1">
        <v>181511001</v>
      </c>
      <c r="C6" s="1">
        <v>0</v>
      </c>
      <c r="D6" s="1">
        <v>1</v>
      </c>
      <c r="E6" s="1">
        <v>0</v>
      </c>
      <c r="F6" s="1">
        <v>0</v>
      </c>
      <c r="G6" s="1">
        <v>0</v>
      </c>
      <c r="H6" s="1">
        <v>0</v>
      </c>
      <c r="I6" s="1">
        <v>0</v>
      </c>
      <c r="J6" s="1">
        <v>0</v>
      </c>
      <c r="K6" s="1">
        <v>1</v>
      </c>
      <c r="L6" s="1">
        <v>0</v>
      </c>
      <c r="M6" s="1">
        <v>0</v>
      </c>
      <c r="N6" s="1">
        <v>0</v>
      </c>
      <c r="O6" s="1">
        <v>0</v>
      </c>
      <c r="P6" s="1" t="s">
        <v>1088</v>
      </c>
      <c r="Q6" s="1" t="s">
        <v>1089</v>
      </c>
      <c r="R6" s="1" t="s">
        <v>1089</v>
      </c>
      <c r="S6" s="1">
        <v>1</v>
      </c>
      <c r="T6" s="1">
        <v>1</v>
      </c>
      <c r="U6" s="1">
        <v>4</v>
      </c>
      <c r="V6" s="1">
        <v>3</v>
      </c>
      <c r="W6" s="1">
        <v>3</v>
      </c>
      <c r="X6" s="1">
        <v>3</v>
      </c>
      <c r="Y6" s="1">
        <v>2</v>
      </c>
      <c r="Z6" s="1">
        <v>3</v>
      </c>
      <c r="AA6" s="1">
        <v>3</v>
      </c>
      <c r="AC6" s="1">
        <v>2</v>
      </c>
      <c r="AE6" s="1">
        <v>1</v>
      </c>
      <c r="AF6" s="3">
        <v>3700000</v>
      </c>
      <c r="AG6" s="1">
        <v>13</v>
      </c>
      <c r="AT6" s="1" t="s">
        <v>86</v>
      </c>
      <c r="BP6" s="1">
        <v>3</v>
      </c>
      <c r="BQ6" s="1" t="s">
        <v>1090</v>
      </c>
      <c r="BR6" s="1" t="s">
        <v>1091</v>
      </c>
      <c r="BS6" s="1" t="s">
        <v>1092</v>
      </c>
      <c r="BT6" s="1" t="s">
        <v>79</v>
      </c>
      <c r="BU6" s="1">
        <v>1</v>
      </c>
      <c r="BV6" s="1">
        <v>4</v>
      </c>
      <c r="BW6" s="1">
        <v>1</v>
      </c>
      <c r="BX6" s="1">
        <v>0</v>
      </c>
      <c r="BY6" s="1">
        <v>0</v>
      </c>
      <c r="BZ6" s="1">
        <v>0</v>
      </c>
      <c r="CA6" s="1">
        <v>0</v>
      </c>
      <c r="CB6" s="1">
        <v>0</v>
      </c>
      <c r="CC6" s="1">
        <v>0</v>
      </c>
      <c r="CD6" s="1">
        <v>0</v>
      </c>
      <c r="CE6" s="1">
        <v>0</v>
      </c>
      <c r="CF6" s="1">
        <v>0</v>
      </c>
      <c r="CG6" s="1">
        <v>0</v>
      </c>
      <c r="CH6" s="1">
        <v>0</v>
      </c>
      <c r="CI6" s="1">
        <v>0</v>
      </c>
      <c r="CJ6" s="1">
        <v>4</v>
      </c>
      <c r="CK6" s="1">
        <v>4</v>
      </c>
      <c r="CL6" s="1">
        <v>4</v>
      </c>
      <c r="CM6" s="1">
        <v>4</v>
      </c>
      <c r="CN6" s="1">
        <v>4</v>
      </c>
      <c r="CO6" s="1">
        <v>4</v>
      </c>
      <c r="CP6" s="1">
        <v>4</v>
      </c>
      <c r="CU6" s="1">
        <v>1</v>
      </c>
    </row>
    <row r="7" spans="1:99" x14ac:dyDescent="0.35">
      <c r="A7" s="1" t="s">
        <v>1093</v>
      </c>
      <c r="B7" s="1">
        <v>181511002</v>
      </c>
      <c r="C7" s="1">
        <v>0</v>
      </c>
      <c r="D7" s="1">
        <v>1</v>
      </c>
      <c r="E7" s="1">
        <v>1</v>
      </c>
      <c r="F7" s="1">
        <v>0</v>
      </c>
      <c r="G7" s="1">
        <v>0</v>
      </c>
      <c r="H7" s="1">
        <v>0</v>
      </c>
      <c r="I7" s="1">
        <v>0</v>
      </c>
      <c r="J7" s="1">
        <v>0</v>
      </c>
      <c r="K7" s="1">
        <v>1</v>
      </c>
      <c r="L7" s="1">
        <v>0</v>
      </c>
      <c r="M7" s="1">
        <v>0</v>
      </c>
      <c r="N7" s="1">
        <v>0</v>
      </c>
      <c r="O7" s="1">
        <v>0</v>
      </c>
      <c r="P7" s="1">
        <v>100</v>
      </c>
      <c r="Q7" s="1">
        <v>40</v>
      </c>
      <c r="R7" s="1">
        <v>25</v>
      </c>
      <c r="S7" s="1">
        <v>1</v>
      </c>
      <c r="T7" s="1">
        <v>1</v>
      </c>
      <c r="U7" s="1">
        <v>4</v>
      </c>
      <c r="V7" s="1">
        <v>3</v>
      </c>
      <c r="W7" s="1">
        <v>3</v>
      </c>
      <c r="X7" s="1">
        <v>4</v>
      </c>
      <c r="Y7" s="1">
        <v>4</v>
      </c>
      <c r="Z7" s="1">
        <v>4</v>
      </c>
      <c r="AA7" s="1">
        <v>4</v>
      </c>
      <c r="AC7" s="1">
        <v>2</v>
      </c>
      <c r="AE7" s="1">
        <v>7</v>
      </c>
      <c r="AF7" s="3">
        <v>6000000</v>
      </c>
      <c r="AG7" s="1">
        <v>11</v>
      </c>
      <c r="AR7" s="1" t="s">
        <v>130</v>
      </c>
      <c r="BP7" s="1">
        <v>3</v>
      </c>
      <c r="BQ7" s="1" t="s">
        <v>1094</v>
      </c>
      <c r="BR7" s="1" t="s">
        <v>1095</v>
      </c>
      <c r="BS7" s="1" t="s">
        <v>1096</v>
      </c>
      <c r="BT7" s="1" t="s">
        <v>73</v>
      </c>
      <c r="BU7" s="1">
        <v>1</v>
      </c>
      <c r="BV7" s="1">
        <v>1</v>
      </c>
      <c r="BW7" s="1">
        <v>1</v>
      </c>
      <c r="BX7" s="1">
        <v>0</v>
      </c>
      <c r="BY7" s="1">
        <v>0</v>
      </c>
      <c r="BZ7" s="1">
        <v>0</v>
      </c>
      <c r="CA7" s="1">
        <v>0</v>
      </c>
      <c r="CB7" s="1">
        <v>0</v>
      </c>
      <c r="CC7" s="1">
        <v>0</v>
      </c>
      <c r="CD7" s="1">
        <v>0</v>
      </c>
      <c r="CE7" s="1">
        <v>0</v>
      </c>
      <c r="CF7" s="1">
        <v>0</v>
      </c>
      <c r="CG7" s="1">
        <v>0</v>
      </c>
      <c r="CH7" s="1">
        <v>0</v>
      </c>
      <c r="CI7" s="1">
        <v>0</v>
      </c>
      <c r="CJ7" s="1">
        <v>4</v>
      </c>
      <c r="CK7" s="1">
        <v>4</v>
      </c>
      <c r="CL7" s="1">
        <v>4</v>
      </c>
      <c r="CM7" s="1">
        <v>4</v>
      </c>
      <c r="CN7" s="1">
        <v>4</v>
      </c>
      <c r="CO7" s="1">
        <v>4</v>
      </c>
      <c r="CP7" s="1">
        <v>4</v>
      </c>
      <c r="CU7" s="1">
        <v>1</v>
      </c>
    </row>
    <row r="8" spans="1:99" x14ac:dyDescent="0.35">
      <c r="A8" s="1" t="s">
        <v>1097</v>
      </c>
      <c r="B8" s="1">
        <v>181511005</v>
      </c>
      <c r="C8" s="1">
        <v>0</v>
      </c>
      <c r="D8" s="1">
        <v>0</v>
      </c>
      <c r="E8" s="1">
        <v>1</v>
      </c>
      <c r="F8" s="1">
        <v>0</v>
      </c>
      <c r="G8" s="1">
        <v>0</v>
      </c>
      <c r="H8" s="1">
        <v>0</v>
      </c>
      <c r="I8" s="1">
        <v>0</v>
      </c>
      <c r="J8" s="1">
        <v>1</v>
      </c>
      <c r="K8" s="1">
        <v>1</v>
      </c>
      <c r="L8" s="1">
        <v>0</v>
      </c>
      <c r="M8" s="1">
        <v>0</v>
      </c>
      <c r="N8" s="1">
        <v>0</v>
      </c>
      <c r="O8" s="1">
        <v>0</v>
      </c>
      <c r="P8" s="1" t="s">
        <v>1098</v>
      </c>
      <c r="Q8" s="1" t="s">
        <v>1099</v>
      </c>
      <c r="R8" s="1" t="s">
        <v>1099</v>
      </c>
      <c r="S8" s="1">
        <v>1</v>
      </c>
      <c r="T8" s="1">
        <v>1</v>
      </c>
      <c r="U8" s="1">
        <v>4</v>
      </c>
      <c r="V8" s="1">
        <v>4</v>
      </c>
      <c r="W8" s="1">
        <v>3</v>
      </c>
      <c r="X8" s="1">
        <v>4</v>
      </c>
      <c r="Y8" s="1">
        <v>4</v>
      </c>
      <c r="Z8" s="1">
        <v>4</v>
      </c>
      <c r="AA8" s="1">
        <v>4</v>
      </c>
      <c r="AC8" s="1">
        <v>1</v>
      </c>
      <c r="AD8" s="1">
        <v>0</v>
      </c>
      <c r="AF8" s="3">
        <v>6000000</v>
      </c>
      <c r="AG8" s="1">
        <v>11</v>
      </c>
      <c r="AR8" s="1" t="s">
        <v>130</v>
      </c>
      <c r="BP8" s="1">
        <v>3</v>
      </c>
      <c r="BQ8" s="1" t="s">
        <v>1100</v>
      </c>
      <c r="BR8" s="1" t="s">
        <v>1101</v>
      </c>
      <c r="BS8" s="1" t="s">
        <v>1102</v>
      </c>
      <c r="BT8" s="1" t="s">
        <v>79</v>
      </c>
      <c r="BU8" s="1">
        <v>1</v>
      </c>
      <c r="BV8" s="1">
        <v>1</v>
      </c>
      <c r="BW8" s="1">
        <v>1</v>
      </c>
      <c r="BX8" s="1">
        <v>0</v>
      </c>
      <c r="BY8" s="1">
        <v>0</v>
      </c>
      <c r="BZ8" s="1">
        <v>0</v>
      </c>
      <c r="CA8" s="1">
        <v>0</v>
      </c>
      <c r="CB8" s="1">
        <v>0</v>
      </c>
      <c r="CC8" s="1">
        <v>0</v>
      </c>
      <c r="CD8" s="1">
        <v>0</v>
      </c>
      <c r="CE8" s="1">
        <v>0</v>
      </c>
      <c r="CF8" s="1">
        <v>0</v>
      </c>
      <c r="CG8" s="1">
        <v>0</v>
      </c>
      <c r="CH8" s="1">
        <v>0</v>
      </c>
      <c r="CI8" s="1">
        <v>0</v>
      </c>
      <c r="CJ8" s="1">
        <v>4</v>
      </c>
      <c r="CK8" s="1">
        <v>4</v>
      </c>
      <c r="CL8" s="1">
        <v>4</v>
      </c>
      <c r="CM8" s="1">
        <v>4</v>
      </c>
      <c r="CN8" s="1">
        <v>4</v>
      </c>
      <c r="CO8" s="1">
        <v>4</v>
      </c>
      <c r="CP8" s="1">
        <v>4</v>
      </c>
      <c r="CU8" s="1">
        <v>4</v>
      </c>
    </row>
    <row r="9" spans="1:99" x14ac:dyDescent="0.35">
      <c r="A9" s="1" t="s">
        <v>1103</v>
      </c>
      <c r="B9" s="1">
        <v>181511007</v>
      </c>
      <c r="C9" s="1">
        <v>0</v>
      </c>
      <c r="D9" s="1">
        <v>1</v>
      </c>
      <c r="E9" s="1">
        <v>0</v>
      </c>
      <c r="F9" s="1">
        <v>0</v>
      </c>
      <c r="G9" s="1">
        <v>0</v>
      </c>
      <c r="H9" s="1">
        <v>0</v>
      </c>
      <c r="I9" s="1">
        <v>0</v>
      </c>
      <c r="J9" s="1">
        <v>0</v>
      </c>
      <c r="K9" s="1">
        <v>0</v>
      </c>
      <c r="L9" s="1">
        <v>0</v>
      </c>
      <c r="M9" s="1">
        <v>0</v>
      </c>
      <c r="N9" s="1">
        <v>0</v>
      </c>
      <c r="O9" s="1">
        <v>0</v>
      </c>
      <c r="P9" s="1">
        <v>3</v>
      </c>
      <c r="Q9" s="1">
        <v>2</v>
      </c>
      <c r="R9" s="1">
        <v>2</v>
      </c>
      <c r="S9" s="1">
        <v>1</v>
      </c>
      <c r="T9" s="1">
        <v>1</v>
      </c>
      <c r="U9" s="1">
        <v>4</v>
      </c>
      <c r="V9" s="1">
        <v>4</v>
      </c>
      <c r="W9" s="1">
        <v>3</v>
      </c>
      <c r="X9" s="1">
        <v>4</v>
      </c>
      <c r="Y9" s="1">
        <v>4</v>
      </c>
      <c r="Z9" s="1">
        <v>4</v>
      </c>
      <c r="AA9" s="1">
        <v>4</v>
      </c>
      <c r="AC9" s="1">
        <v>1</v>
      </c>
      <c r="AD9" s="1">
        <v>1</v>
      </c>
      <c r="AF9" s="3">
        <v>8750000</v>
      </c>
      <c r="AG9" s="1">
        <v>13</v>
      </c>
      <c r="AT9" s="1" t="s">
        <v>93</v>
      </c>
      <c r="BP9" s="1">
        <v>3</v>
      </c>
      <c r="BQ9" s="1" t="s">
        <v>1104</v>
      </c>
      <c r="BR9" s="1" t="s">
        <v>1105</v>
      </c>
      <c r="BS9" s="1" t="s">
        <v>1106</v>
      </c>
      <c r="BT9" s="1" t="s">
        <v>79</v>
      </c>
      <c r="BU9" s="1">
        <v>1</v>
      </c>
      <c r="BV9" s="1">
        <v>1</v>
      </c>
      <c r="BW9" s="1">
        <v>1</v>
      </c>
      <c r="BX9" s="1">
        <v>0</v>
      </c>
      <c r="BY9" s="1">
        <v>0</v>
      </c>
      <c r="BZ9" s="1">
        <v>0</v>
      </c>
      <c r="CA9" s="1">
        <v>0</v>
      </c>
      <c r="CB9" s="1">
        <v>0</v>
      </c>
      <c r="CC9" s="1">
        <v>0</v>
      </c>
      <c r="CD9" s="1">
        <v>0</v>
      </c>
      <c r="CE9" s="1">
        <v>0</v>
      </c>
      <c r="CF9" s="1">
        <v>0</v>
      </c>
      <c r="CG9" s="1">
        <v>0</v>
      </c>
      <c r="CH9" s="1">
        <v>0</v>
      </c>
      <c r="CI9" s="1">
        <v>0</v>
      </c>
      <c r="CJ9" s="1">
        <v>4</v>
      </c>
      <c r="CK9" s="1">
        <v>4</v>
      </c>
      <c r="CL9" s="1">
        <v>3</v>
      </c>
      <c r="CM9" s="1">
        <v>4</v>
      </c>
      <c r="CN9" s="1">
        <v>4</v>
      </c>
      <c r="CO9" s="1">
        <v>4</v>
      </c>
      <c r="CP9" s="1">
        <v>4</v>
      </c>
      <c r="CU9" s="1">
        <v>1</v>
      </c>
    </row>
    <row r="10" spans="1:99" x14ac:dyDescent="0.35">
      <c r="A10" s="1" t="s">
        <v>1107</v>
      </c>
      <c r="B10" s="1">
        <v>181511008</v>
      </c>
      <c r="C10" s="1">
        <v>0</v>
      </c>
      <c r="D10" s="1">
        <v>1</v>
      </c>
      <c r="E10" s="1">
        <v>0</v>
      </c>
      <c r="F10" s="1">
        <v>0</v>
      </c>
      <c r="G10" s="1">
        <v>0</v>
      </c>
      <c r="H10" s="1">
        <v>0</v>
      </c>
      <c r="I10" s="1">
        <v>0</v>
      </c>
      <c r="J10" s="1">
        <v>0</v>
      </c>
      <c r="K10" s="1">
        <v>0</v>
      </c>
      <c r="L10" s="1">
        <v>0</v>
      </c>
      <c r="M10" s="1">
        <v>0</v>
      </c>
      <c r="N10" s="1">
        <v>0</v>
      </c>
      <c r="O10" s="1">
        <v>0</v>
      </c>
      <c r="P10" s="1">
        <v>3</v>
      </c>
      <c r="Q10" s="1">
        <v>3</v>
      </c>
      <c r="R10" s="1">
        <v>3</v>
      </c>
      <c r="S10" s="1">
        <v>1</v>
      </c>
      <c r="T10" s="1">
        <v>1</v>
      </c>
      <c r="U10" s="1">
        <v>3</v>
      </c>
      <c r="V10" s="1">
        <v>4</v>
      </c>
      <c r="W10" s="1">
        <v>2</v>
      </c>
      <c r="X10" s="1">
        <v>4</v>
      </c>
      <c r="Y10" s="1">
        <v>3</v>
      </c>
      <c r="Z10" s="1">
        <v>3</v>
      </c>
      <c r="AA10" s="1">
        <v>3</v>
      </c>
      <c r="AC10" s="1">
        <v>1</v>
      </c>
      <c r="AD10" s="1">
        <v>0</v>
      </c>
      <c r="AE10" s="1">
        <v>0</v>
      </c>
      <c r="AF10" s="3">
        <v>7000000</v>
      </c>
      <c r="AG10" s="1">
        <v>13</v>
      </c>
      <c r="AT10" s="1" t="s">
        <v>86</v>
      </c>
      <c r="BP10" s="1">
        <v>3</v>
      </c>
      <c r="BQ10" s="1" t="s">
        <v>1108</v>
      </c>
      <c r="BR10" s="1" t="s">
        <v>1109</v>
      </c>
      <c r="BS10" s="1" t="s">
        <v>1110</v>
      </c>
      <c r="BT10" s="1" t="s">
        <v>73</v>
      </c>
      <c r="BU10" s="1">
        <v>1</v>
      </c>
      <c r="BV10" s="1">
        <v>2</v>
      </c>
      <c r="BW10" s="1">
        <v>1</v>
      </c>
      <c r="BX10" s="1">
        <v>0</v>
      </c>
      <c r="BY10" s="1">
        <v>0</v>
      </c>
      <c r="BZ10" s="1">
        <v>0</v>
      </c>
      <c r="CA10" s="1">
        <v>0</v>
      </c>
      <c r="CB10" s="1">
        <v>0</v>
      </c>
      <c r="CC10" s="1">
        <v>0</v>
      </c>
      <c r="CD10" s="1">
        <v>0</v>
      </c>
      <c r="CE10" s="1">
        <v>0</v>
      </c>
      <c r="CF10" s="1">
        <v>0</v>
      </c>
      <c r="CG10" s="1">
        <v>0</v>
      </c>
      <c r="CH10" s="1">
        <v>0</v>
      </c>
      <c r="CI10" s="1">
        <v>0</v>
      </c>
      <c r="CJ10" s="1">
        <v>4</v>
      </c>
      <c r="CK10" s="1">
        <v>4</v>
      </c>
      <c r="CL10" s="1">
        <v>4</v>
      </c>
      <c r="CM10" s="1">
        <v>4</v>
      </c>
      <c r="CN10" s="1">
        <v>4</v>
      </c>
      <c r="CO10" s="1">
        <v>4</v>
      </c>
      <c r="CP10" s="1">
        <v>4</v>
      </c>
      <c r="CU10" s="1">
        <v>1</v>
      </c>
    </row>
    <row r="11" spans="1:99" x14ac:dyDescent="0.35">
      <c r="A11" s="1" t="s">
        <v>1111</v>
      </c>
      <c r="B11" s="1">
        <v>181511011</v>
      </c>
      <c r="C11" s="1">
        <v>0</v>
      </c>
      <c r="D11" s="1">
        <v>1</v>
      </c>
      <c r="E11" s="1">
        <v>1</v>
      </c>
      <c r="F11" s="1">
        <v>0</v>
      </c>
      <c r="G11" s="1">
        <v>0</v>
      </c>
      <c r="H11" s="1">
        <v>0</v>
      </c>
      <c r="I11" s="1">
        <v>0</v>
      </c>
      <c r="J11" s="1">
        <v>0</v>
      </c>
      <c r="K11" s="1">
        <v>0</v>
      </c>
      <c r="L11" s="1">
        <v>0</v>
      </c>
      <c r="M11" s="1">
        <v>1</v>
      </c>
      <c r="N11" s="1">
        <v>0</v>
      </c>
      <c r="O11" s="1">
        <v>0</v>
      </c>
      <c r="P11" s="1">
        <v>0</v>
      </c>
      <c r="Q11" s="1">
        <v>1</v>
      </c>
      <c r="R11" s="1">
        <v>1</v>
      </c>
      <c r="S11" s="1">
        <v>1</v>
      </c>
      <c r="T11" s="1">
        <v>1</v>
      </c>
      <c r="U11" s="1">
        <v>3</v>
      </c>
      <c r="V11" s="1">
        <v>2</v>
      </c>
      <c r="W11" s="1">
        <v>3</v>
      </c>
      <c r="X11" s="1">
        <v>3</v>
      </c>
      <c r="Y11" s="1">
        <v>3</v>
      </c>
      <c r="Z11" s="1">
        <v>3</v>
      </c>
      <c r="AA11" s="1">
        <v>3</v>
      </c>
      <c r="AC11" s="1">
        <v>1</v>
      </c>
      <c r="AD11" s="1">
        <v>3</v>
      </c>
      <c r="AF11" s="3">
        <v>3300000</v>
      </c>
      <c r="AG11" s="1">
        <v>13</v>
      </c>
      <c r="AT11" s="1" t="s">
        <v>209</v>
      </c>
      <c r="BP11" s="1">
        <v>3</v>
      </c>
      <c r="BQ11" s="1" t="s">
        <v>1112</v>
      </c>
      <c r="BR11" s="1" t="s">
        <v>1113</v>
      </c>
      <c r="BT11" s="1" t="s">
        <v>79</v>
      </c>
      <c r="BU11" s="1">
        <v>3</v>
      </c>
      <c r="BV11" s="1">
        <v>2</v>
      </c>
      <c r="BW11" s="1">
        <v>0</v>
      </c>
      <c r="BX11" s="1">
        <v>0</v>
      </c>
      <c r="BY11" s="1">
        <v>0</v>
      </c>
      <c r="BZ11" s="1">
        <v>0</v>
      </c>
      <c r="CA11" s="1">
        <v>1</v>
      </c>
      <c r="CB11" s="1">
        <v>0</v>
      </c>
      <c r="CC11" s="1">
        <v>0</v>
      </c>
      <c r="CD11" s="1">
        <v>1</v>
      </c>
      <c r="CE11" s="1">
        <v>0</v>
      </c>
      <c r="CF11" s="1">
        <v>1</v>
      </c>
      <c r="CG11" s="1">
        <v>0</v>
      </c>
      <c r="CH11" s="1">
        <v>0</v>
      </c>
      <c r="CI11" s="1">
        <v>0</v>
      </c>
      <c r="CJ11" s="1">
        <v>4</v>
      </c>
      <c r="CK11" s="1">
        <v>3</v>
      </c>
      <c r="CL11" s="1">
        <v>3</v>
      </c>
      <c r="CM11" s="1">
        <v>3</v>
      </c>
      <c r="CN11" s="1">
        <v>4</v>
      </c>
      <c r="CO11" s="1">
        <v>4</v>
      </c>
      <c r="CP11" s="1">
        <v>4</v>
      </c>
      <c r="CU11" s="1">
        <v>1</v>
      </c>
    </row>
    <row r="12" spans="1:99" x14ac:dyDescent="0.35">
      <c r="A12" s="1" t="s">
        <v>1114</v>
      </c>
      <c r="B12" s="1">
        <v>181511012</v>
      </c>
      <c r="C12" s="1">
        <v>0</v>
      </c>
      <c r="D12" s="1">
        <v>1</v>
      </c>
      <c r="E12" s="1">
        <v>0</v>
      </c>
      <c r="F12" s="1">
        <v>0</v>
      </c>
      <c r="G12" s="1">
        <v>0</v>
      </c>
      <c r="H12" s="1">
        <v>0</v>
      </c>
      <c r="I12" s="1">
        <v>0</v>
      </c>
      <c r="J12" s="1">
        <v>0</v>
      </c>
      <c r="K12" s="1">
        <v>0</v>
      </c>
      <c r="L12" s="1">
        <v>0</v>
      </c>
      <c r="M12" s="1">
        <v>0</v>
      </c>
      <c r="N12" s="1">
        <v>0</v>
      </c>
      <c r="O12" s="1">
        <v>0</v>
      </c>
      <c r="P12" s="1">
        <v>10</v>
      </c>
      <c r="Q12" s="1">
        <v>4</v>
      </c>
      <c r="R12" s="1">
        <v>4</v>
      </c>
      <c r="S12" s="1">
        <v>1</v>
      </c>
      <c r="T12" s="1">
        <v>1</v>
      </c>
      <c r="U12" s="1">
        <v>4</v>
      </c>
      <c r="V12" s="1">
        <v>4</v>
      </c>
      <c r="W12" s="1">
        <v>2</v>
      </c>
      <c r="X12" s="1">
        <v>4</v>
      </c>
      <c r="Y12" s="1">
        <v>4</v>
      </c>
      <c r="Z12" s="1">
        <v>4</v>
      </c>
      <c r="AA12" s="1">
        <v>4</v>
      </c>
      <c r="AC12" s="1">
        <v>2</v>
      </c>
      <c r="AE12" s="1">
        <v>1</v>
      </c>
      <c r="AF12" s="3">
        <v>5000000</v>
      </c>
      <c r="AG12" s="1">
        <v>12</v>
      </c>
      <c r="AS12" s="1" t="s">
        <v>472</v>
      </c>
      <c r="BP12" s="1">
        <v>3</v>
      </c>
      <c r="BQ12" s="1" t="s">
        <v>1115</v>
      </c>
      <c r="BR12" s="1" t="s">
        <v>1116</v>
      </c>
      <c r="BS12" s="1" t="s">
        <v>1117</v>
      </c>
      <c r="BT12" s="1" t="s">
        <v>73</v>
      </c>
      <c r="BU12" s="1">
        <v>1</v>
      </c>
      <c r="BV12" s="1">
        <v>1</v>
      </c>
      <c r="BW12" s="1">
        <v>1</v>
      </c>
      <c r="BX12" s="1">
        <v>0</v>
      </c>
      <c r="BY12" s="1">
        <v>0</v>
      </c>
      <c r="BZ12" s="1">
        <v>0</v>
      </c>
      <c r="CA12" s="1">
        <v>0</v>
      </c>
      <c r="CB12" s="1">
        <v>0</v>
      </c>
      <c r="CC12" s="1">
        <v>0</v>
      </c>
      <c r="CD12" s="1">
        <v>0</v>
      </c>
      <c r="CE12" s="1">
        <v>0</v>
      </c>
      <c r="CF12" s="1">
        <v>0</v>
      </c>
      <c r="CG12" s="1">
        <v>0</v>
      </c>
      <c r="CH12" s="1">
        <v>0</v>
      </c>
      <c r="CI12" s="1">
        <v>0</v>
      </c>
      <c r="CJ12" s="1">
        <v>4</v>
      </c>
      <c r="CK12" s="1">
        <v>4</v>
      </c>
      <c r="CL12" s="1">
        <v>4</v>
      </c>
      <c r="CM12" s="1">
        <v>4</v>
      </c>
      <c r="CN12" s="1">
        <v>4</v>
      </c>
      <c r="CO12" s="1">
        <v>4</v>
      </c>
      <c r="CP12" s="1">
        <v>4</v>
      </c>
      <c r="CU12" s="1">
        <v>1</v>
      </c>
    </row>
    <row r="13" spans="1:99" x14ac:dyDescent="0.35">
      <c r="A13" s="1" t="s">
        <v>1118</v>
      </c>
      <c r="B13" s="1">
        <v>181511013</v>
      </c>
      <c r="C13" s="1">
        <v>0</v>
      </c>
      <c r="D13" s="1">
        <v>0</v>
      </c>
      <c r="E13" s="1">
        <v>0</v>
      </c>
      <c r="F13" s="1">
        <v>0</v>
      </c>
      <c r="G13" s="1">
        <v>0</v>
      </c>
      <c r="H13" s="1">
        <v>0</v>
      </c>
      <c r="I13" s="1">
        <v>0</v>
      </c>
      <c r="J13" s="1">
        <v>0</v>
      </c>
      <c r="K13" s="1">
        <v>1</v>
      </c>
      <c r="L13" s="1">
        <v>0</v>
      </c>
      <c r="M13" s="1">
        <v>0</v>
      </c>
      <c r="N13" s="1">
        <v>0</v>
      </c>
      <c r="O13" s="1">
        <v>0</v>
      </c>
      <c r="P13" s="1">
        <v>1</v>
      </c>
      <c r="Q13" s="1">
        <v>1</v>
      </c>
      <c r="R13" s="1">
        <v>1</v>
      </c>
      <c r="S13" s="1">
        <v>1</v>
      </c>
      <c r="T13" s="1">
        <v>1</v>
      </c>
      <c r="U13" s="1">
        <v>4</v>
      </c>
      <c r="V13" s="1">
        <v>3</v>
      </c>
      <c r="W13" s="1">
        <v>3</v>
      </c>
      <c r="X13" s="1">
        <v>3</v>
      </c>
      <c r="Y13" s="1">
        <v>3</v>
      </c>
      <c r="Z13" s="1">
        <v>3</v>
      </c>
      <c r="AA13" s="1">
        <v>3</v>
      </c>
      <c r="AC13" s="1">
        <v>1</v>
      </c>
      <c r="AD13" s="1">
        <v>4</v>
      </c>
      <c r="AF13" s="3">
        <v>4000000</v>
      </c>
      <c r="AG13" s="1">
        <v>13</v>
      </c>
      <c r="AT13" s="1" t="s">
        <v>93</v>
      </c>
      <c r="BP13" s="1">
        <v>3</v>
      </c>
      <c r="BQ13" s="1" t="s">
        <v>1119</v>
      </c>
      <c r="BR13" s="1" t="s">
        <v>1120</v>
      </c>
      <c r="BS13" s="1" t="s">
        <v>1121</v>
      </c>
      <c r="BT13" s="1" t="s">
        <v>73</v>
      </c>
      <c r="BU13" s="1">
        <v>1</v>
      </c>
      <c r="BV13" s="1">
        <v>1</v>
      </c>
      <c r="BW13" s="1">
        <v>0</v>
      </c>
      <c r="BX13" s="1">
        <v>0</v>
      </c>
      <c r="BY13" s="1">
        <v>0</v>
      </c>
      <c r="BZ13" s="1">
        <v>0</v>
      </c>
      <c r="CA13" s="1">
        <v>0</v>
      </c>
      <c r="CB13" s="1">
        <v>0</v>
      </c>
      <c r="CC13" s="1">
        <v>0</v>
      </c>
      <c r="CD13" s="1">
        <v>0</v>
      </c>
      <c r="CE13" s="1">
        <v>0</v>
      </c>
      <c r="CF13" s="1">
        <v>0</v>
      </c>
      <c r="CG13" s="1">
        <v>0</v>
      </c>
      <c r="CH13" s="1">
        <v>0</v>
      </c>
      <c r="CI13" s="1" t="s">
        <v>78</v>
      </c>
      <c r="CJ13" s="1">
        <v>4</v>
      </c>
      <c r="CK13" s="1">
        <v>4</v>
      </c>
      <c r="CL13" s="1">
        <v>3</v>
      </c>
      <c r="CM13" s="1">
        <v>4</v>
      </c>
      <c r="CN13" s="1">
        <v>4</v>
      </c>
      <c r="CO13" s="1">
        <v>4</v>
      </c>
      <c r="CP13" s="1">
        <v>4</v>
      </c>
      <c r="CU13" s="1">
        <v>1</v>
      </c>
    </row>
    <row r="14" spans="1:99" x14ac:dyDescent="0.35">
      <c r="A14" s="1" t="s">
        <v>1122</v>
      </c>
      <c r="B14" s="1">
        <v>181511014</v>
      </c>
      <c r="C14" s="1">
        <v>1</v>
      </c>
      <c r="D14" s="1">
        <v>1</v>
      </c>
      <c r="E14" s="1">
        <v>0</v>
      </c>
      <c r="F14" s="1">
        <v>0</v>
      </c>
      <c r="G14" s="1">
        <v>0</v>
      </c>
      <c r="H14" s="1">
        <v>0</v>
      </c>
      <c r="I14" s="1">
        <v>0</v>
      </c>
      <c r="J14" s="1">
        <v>0</v>
      </c>
      <c r="K14" s="1">
        <v>0</v>
      </c>
      <c r="L14" s="1">
        <v>0</v>
      </c>
      <c r="M14" s="1">
        <v>1</v>
      </c>
      <c r="N14" s="1">
        <v>0</v>
      </c>
      <c r="O14" s="1">
        <v>0</v>
      </c>
      <c r="P14" s="1">
        <v>50</v>
      </c>
      <c r="Q14" s="1">
        <v>10</v>
      </c>
      <c r="R14" s="1">
        <v>5</v>
      </c>
      <c r="S14" s="1">
        <v>5</v>
      </c>
      <c r="T14" s="1">
        <v>1</v>
      </c>
      <c r="U14" s="1">
        <v>4</v>
      </c>
      <c r="V14" s="1">
        <v>2</v>
      </c>
      <c r="W14" s="1">
        <v>2</v>
      </c>
      <c r="X14" s="1">
        <v>3</v>
      </c>
      <c r="Y14" s="1">
        <v>3</v>
      </c>
      <c r="Z14" s="1">
        <v>3</v>
      </c>
      <c r="AA14" s="1">
        <v>3</v>
      </c>
      <c r="CU14" s="1">
        <v>1</v>
      </c>
    </row>
    <row r="15" spans="1:99" x14ac:dyDescent="0.35">
      <c r="A15" s="1" t="s">
        <v>1123</v>
      </c>
      <c r="B15" s="1">
        <v>181511016</v>
      </c>
      <c r="S15" s="1">
        <v>4</v>
      </c>
      <c r="T15" s="1">
        <v>1</v>
      </c>
      <c r="U15" s="1">
        <v>4</v>
      </c>
      <c r="V15" s="1">
        <v>4</v>
      </c>
      <c r="W15" s="1">
        <v>4</v>
      </c>
      <c r="X15" s="1">
        <v>4</v>
      </c>
      <c r="Y15" s="1">
        <v>3</v>
      </c>
      <c r="Z15" s="1">
        <v>3</v>
      </c>
      <c r="AA15" s="1">
        <v>3</v>
      </c>
      <c r="CQ15" s="1">
        <v>1</v>
      </c>
      <c r="CR15" s="1" t="s">
        <v>1124</v>
      </c>
      <c r="CS15" s="1" t="s">
        <v>1125</v>
      </c>
      <c r="CT15" s="5">
        <v>44809</v>
      </c>
      <c r="CU15" s="1">
        <v>4</v>
      </c>
    </row>
    <row r="16" spans="1:99" x14ac:dyDescent="0.35">
      <c r="A16" s="1" t="s">
        <v>1126</v>
      </c>
      <c r="B16" s="1">
        <v>181511017</v>
      </c>
      <c r="C16" s="1">
        <v>0</v>
      </c>
      <c r="D16" s="1">
        <v>1</v>
      </c>
      <c r="E16" s="1">
        <v>0</v>
      </c>
      <c r="F16" s="1">
        <v>0</v>
      </c>
      <c r="G16" s="1">
        <v>0</v>
      </c>
      <c r="H16" s="1">
        <v>1</v>
      </c>
      <c r="I16" s="1">
        <v>0</v>
      </c>
      <c r="J16" s="1">
        <v>0</v>
      </c>
      <c r="K16" s="1">
        <v>1</v>
      </c>
      <c r="L16" s="1">
        <v>0</v>
      </c>
      <c r="M16" s="1">
        <v>0</v>
      </c>
      <c r="N16" s="1">
        <v>0</v>
      </c>
      <c r="O16" s="1">
        <v>0</v>
      </c>
      <c r="P16" s="1">
        <v>7</v>
      </c>
      <c r="Q16" s="1">
        <v>3</v>
      </c>
      <c r="R16" s="1">
        <v>2</v>
      </c>
      <c r="S16" s="1">
        <v>1</v>
      </c>
      <c r="T16" s="1">
        <v>1</v>
      </c>
      <c r="U16" s="1">
        <v>3</v>
      </c>
      <c r="V16" s="1">
        <v>3</v>
      </c>
      <c r="W16" s="1">
        <v>3</v>
      </c>
      <c r="X16" s="1">
        <v>3</v>
      </c>
      <c r="Y16" s="1">
        <v>3</v>
      </c>
      <c r="Z16" s="1">
        <v>3</v>
      </c>
      <c r="AA16" s="1">
        <v>3</v>
      </c>
      <c r="AC16" s="1">
        <v>2</v>
      </c>
      <c r="AE16" s="1">
        <v>8</v>
      </c>
      <c r="AF16" s="3">
        <v>3000000</v>
      </c>
      <c r="AG16" s="1">
        <v>13</v>
      </c>
      <c r="AT16" s="1" t="s">
        <v>93</v>
      </c>
      <c r="BP16" s="1">
        <v>3</v>
      </c>
      <c r="BQ16" s="1" t="s">
        <v>1127</v>
      </c>
      <c r="BR16" s="1" t="s">
        <v>1128</v>
      </c>
      <c r="BS16" s="1" t="s">
        <v>1129</v>
      </c>
      <c r="BT16" s="1" t="s">
        <v>79</v>
      </c>
      <c r="BU16" s="1">
        <v>1</v>
      </c>
      <c r="BV16" s="1">
        <v>2</v>
      </c>
      <c r="BW16" s="1">
        <v>1</v>
      </c>
      <c r="BX16" s="1">
        <v>0</v>
      </c>
      <c r="BY16" s="1">
        <v>0</v>
      </c>
      <c r="BZ16" s="1">
        <v>0</v>
      </c>
      <c r="CA16" s="1">
        <v>0</v>
      </c>
      <c r="CB16" s="1">
        <v>0</v>
      </c>
      <c r="CC16" s="1">
        <v>0</v>
      </c>
      <c r="CD16" s="1">
        <v>0</v>
      </c>
      <c r="CE16" s="1">
        <v>0</v>
      </c>
      <c r="CF16" s="1">
        <v>0</v>
      </c>
      <c r="CG16" s="1">
        <v>0</v>
      </c>
      <c r="CH16" s="1">
        <v>0</v>
      </c>
      <c r="CI16" s="1">
        <v>0</v>
      </c>
      <c r="CJ16" s="1">
        <v>4</v>
      </c>
      <c r="CK16" s="1">
        <v>4</v>
      </c>
      <c r="CL16" s="1">
        <v>4</v>
      </c>
      <c r="CM16" s="1">
        <v>4</v>
      </c>
      <c r="CN16" s="1">
        <v>4</v>
      </c>
      <c r="CO16" s="1">
        <v>4</v>
      </c>
      <c r="CP16" s="1">
        <v>4</v>
      </c>
      <c r="CU16" s="1">
        <v>1</v>
      </c>
    </row>
    <row r="17" spans="1:99" x14ac:dyDescent="0.35">
      <c r="A17" s="1" t="s">
        <v>1130</v>
      </c>
      <c r="B17" s="1">
        <v>181511018</v>
      </c>
      <c r="C17" s="1">
        <v>0</v>
      </c>
      <c r="D17" s="1">
        <v>1</v>
      </c>
      <c r="E17" s="1">
        <v>0</v>
      </c>
      <c r="F17" s="1">
        <v>0</v>
      </c>
      <c r="G17" s="1">
        <v>0</v>
      </c>
      <c r="H17" s="1">
        <v>0</v>
      </c>
      <c r="I17" s="1">
        <v>1</v>
      </c>
      <c r="J17" s="1">
        <v>0</v>
      </c>
      <c r="K17" s="1">
        <v>0</v>
      </c>
      <c r="L17" s="1">
        <v>0</v>
      </c>
      <c r="M17" s="1">
        <v>1</v>
      </c>
      <c r="N17" s="1">
        <v>0</v>
      </c>
      <c r="O17" s="1">
        <v>0</v>
      </c>
      <c r="P17" s="1">
        <v>3</v>
      </c>
      <c r="Q17" s="1">
        <v>2</v>
      </c>
      <c r="R17" s="1">
        <v>2</v>
      </c>
      <c r="S17" s="1">
        <v>1</v>
      </c>
      <c r="T17" s="1">
        <v>1</v>
      </c>
      <c r="U17" s="1">
        <v>3</v>
      </c>
      <c r="V17" s="1">
        <v>3</v>
      </c>
      <c r="W17" s="1">
        <v>3</v>
      </c>
      <c r="X17" s="1">
        <v>3</v>
      </c>
      <c r="Y17" s="1">
        <v>3</v>
      </c>
      <c r="Z17" s="1">
        <v>4</v>
      </c>
      <c r="AA17" s="1">
        <v>3</v>
      </c>
      <c r="AC17" s="1">
        <v>1</v>
      </c>
      <c r="AD17" s="1">
        <v>0</v>
      </c>
      <c r="AF17" s="3">
        <v>7500000</v>
      </c>
      <c r="AG17" s="1">
        <v>11</v>
      </c>
      <c r="AR17" s="1" t="s">
        <v>130</v>
      </c>
      <c r="BP17" s="1">
        <v>3</v>
      </c>
      <c r="BQ17" s="1" t="s">
        <v>1131</v>
      </c>
      <c r="BR17" s="1" t="s">
        <v>1132</v>
      </c>
      <c r="BT17" s="1" t="s">
        <v>79</v>
      </c>
      <c r="BU17" s="1">
        <v>1</v>
      </c>
      <c r="BV17" s="1">
        <v>4</v>
      </c>
      <c r="BW17" s="1">
        <v>1</v>
      </c>
      <c r="BX17" s="1">
        <v>0</v>
      </c>
      <c r="BY17" s="1">
        <v>0</v>
      </c>
      <c r="BZ17" s="1">
        <v>0</v>
      </c>
      <c r="CA17" s="1">
        <v>0</v>
      </c>
      <c r="CB17" s="1">
        <v>0</v>
      </c>
      <c r="CC17" s="1">
        <v>0</v>
      </c>
      <c r="CD17" s="1">
        <v>0</v>
      </c>
      <c r="CE17" s="1">
        <v>0</v>
      </c>
      <c r="CF17" s="1">
        <v>0</v>
      </c>
      <c r="CG17" s="1">
        <v>0</v>
      </c>
      <c r="CH17" s="1">
        <v>0</v>
      </c>
      <c r="CI17" s="1">
        <v>0</v>
      </c>
      <c r="CJ17" s="1">
        <v>3</v>
      </c>
      <c r="CK17" s="1">
        <v>4</v>
      </c>
      <c r="CL17" s="1">
        <v>4</v>
      </c>
      <c r="CM17" s="1">
        <v>4</v>
      </c>
      <c r="CN17" s="1">
        <v>4</v>
      </c>
      <c r="CO17" s="1">
        <v>4</v>
      </c>
      <c r="CP17" s="1">
        <v>4</v>
      </c>
      <c r="CU17" s="1">
        <v>1</v>
      </c>
    </row>
    <row r="18" spans="1:99" x14ac:dyDescent="0.35">
      <c r="A18" s="1" t="s">
        <v>1133</v>
      </c>
      <c r="B18" s="1">
        <v>181511020</v>
      </c>
      <c r="C18" s="1">
        <v>0</v>
      </c>
      <c r="D18" s="1">
        <v>1</v>
      </c>
      <c r="E18" s="1">
        <v>0</v>
      </c>
      <c r="F18" s="1">
        <v>0</v>
      </c>
      <c r="G18" s="1">
        <v>0</v>
      </c>
      <c r="H18" s="1">
        <v>0</v>
      </c>
      <c r="I18" s="1">
        <v>0</v>
      </c>
      <c r="J18" s="1">
        <v>0</v>
      </c>
      <c r="K18" s="1">
        <v>0</v>
      </c>
      <c r="L18" s="1">
        <v>0</v>
      </c>
      <c r="M18" s="1">
        <v>0</v>
      </c>
      <c r="N18" s="1">
        <v>0</v>
      </c>
      <c r="O18" s="1">
        <v>0</v>
      </c>
      <c r="P18" s="1">
        <v>20</v>
      </c>
      <c r="Q18" s="1">
        <v>15</v>
      </c>
      <c r="R18" s="1">
        <v>5</v>
      </c>
      <c r="S18" s="1">
        <v>1</v>
      </c>
      <c r="T18" s="1">
        <v>1</v>
      </c>
      <c r="U18" s="1">
        <v>4</v>
      </c>
      <c r="V18" s="1">
        <v>2</v>
      </c>
      <c r="W18" s="1">
        <v>3</v>
      </c>
      <c r="X18" s="1">
        <v>4</v>
      </c>
      <c r="Y18" s="1">
        <v>4</v>
      </c>
      <c r="Z18" s="1">
        <v>4</v>
      </c>
      <c r="AA18" s="1">
        <v>4</v>
      </c>
      <c r="AC18" s="1">
        <v>1</v>
      </c>
      <c r="AD18" s="1">
        <v>3</v>
      </c>
      <c r="AF18" s="3">
        <v>6000000</v>
      </c>
      <c r="AG18" s="1">
        <v>13</v>
      </c>
      <c r="AT18" s="1" t="s">
        <v>86</v>
      </c>
      <c r="BP18" s="1">
        <v>6</v>
      </c>
      <c r="BQ18" s="1" t="s">
        <v>1134</v>
      </c>
      <c r="BR18" s="1" t="s">
        <v>1135</v>
      </c>
      <c r="BS18" s="1" t="s">
        <v>1136</v>
      </c>
      <c r="BT18" s="1" t="s">
        <v>79</v>
      </c>
      <c r="BU18" s="1">
        <v>1</v>
      </c>
      <c r="BV18" s="1">
        <v>2</v>
      </c>
      <c r="BW18" s="1">
        <v>1</v>
      </c>
      <c r="BX18" s="1">
        <v>0</v>
      </c>
      <c r="BY18" s="1">
        <v>0</v>
      </c>
      <c r="BZ18" s="1">
        <v>0</v>
      </c>
      <c r="CA18" s="1">
        <v>0</v>
      </c>
      <c r="CB18" s="1">
        <v>0</v>
      </c>
      <c r="CC18" s="1">
        <v>0</v>
      </c>
      <c r="CD18" s="1">
        <v>0</v>
      </c>
      <c r="CE18" s="1">
        <v>0</v>
      </c>
      <c r="CF18" s="1">
        <v>0</v>
      </c>
      <c r="CG18" s="1">
        <v>0</v>
      </c>
      <c r="CH18" s="1">
        <v>0</v>
      </c>
      <c r="CI18" s="1">
        <v>0</v>
      </c>
      <c r="CJ18" s="1">
        <v>4</v>
      </c>
      <c r="CK18" s="1">
        <v>3</v>
      </c>
      <c r="CL18" s="1">
        <v>3</v>
      </c>
      <c r="CM18" s="1">
        <v>4</v>
      </c>
      <c r="CN18" s="1">
        <v>4</v>
      </c>
      <c r="CO18" s="1">
        <v>4</v>
      </c>
      <c r="CP18" s="1">
        <v>4</v>
      </c>
      <c r="CU18" s="1">
        <v>1</v>
      </c>
    </row>
    <row r="19" spans="1:99" x14ac:dyDescent="0.35">
      <c r="A19" s="1" t="s">
        <v>1137</v>
      </c>
      <c r="B19" s="1">
        <v>181511021</v>
      </c>
      <c r="C19" s="1">
        <v>0</v>
      </c>
      <c r="D19" s="1">
        <v>0</v>
      </c>
      <c r="E19" s="1">
        <v>0</v>
      </c>
      <c r="F19" s="1">
        <v>0</v>
      </c>
      <c r="G19" s="1">
        <v>0</v>
      </c>
      <c r="H19" s="1">
        <v>0</v>
      </c>
      <c r="I19" s="1">
        <v>0</v>
      </c>
      <c r="J19" s="1">
        <v>0</v>
      </c>
      <c r="K19" s="1">
        <v>1</v>
      </c>
      <c r="L19" s="1">
        <v>0</v>
      </c>
      <c r="M19" s="1">
        <v>0</v>
      </c>
      <c r="N19" s="1">
        <v>0</v>
      </c>
      <c r="O19" s="1">
        <v>0</v>
      </c>
      <c r="P19" s="1">
        <v>4</v>
      </c>
      <c r="Q19" s="1">
        <v>2</v>
      </c>
      <c r="R19" s="1">
        <v>2</v>
      </c>
      <c r="S19" s="1">
        <v>1</v>
      </c>
      <c r="T19" s="1">
        <v>1</v>
      </c>
      <c r="U19" s="1">
        <v>4</v>
      </c>
      <c r="V19" s="1">
        <v>4</v>
      </c>
      <c r="W19" s="1">
        <v>2</v>
      </c>
      <c r="X19" s="1">
        <v>4</v>
      </c>
      <c r="Y19" s="1">
        <v>3</v>
      </c>
      <c r="Z19" s="1">
        <v>3</v>
      </c>
      <c r="AA19" s="1">
        <v>4</v>
      </c>
      <c r="AC19" s="1">
        <v>1</v>
      </c>
      <c r="AD19" s="1">
        <v>1</v>
      </c>
      <c r="AF19" s="3">
        <v>5000000</v>
      </c>
      <c r="AG19" s="1">
        <v>13</v>
      </c>
      <c r="AT19" s="1" t="s">
        <v>86</v>
      </c>
      <c r="BP19" s="1">
        <v>3</v>
      </c>
      <c r="BQ19" s="1" t="s">
        <v>1138</v>
      </c>
      <c r="BR19" s="1" t="s">
        <v>1018</v>
      </c>
      <c r="BS19" s="1" t="s">
        <v>1078</v>
      </c>
      <c r="BT19" s="1" t="s">
        <v>79</v>
      </c>
      <c r="BU19" s="1">
        <v>1</v>
      </c>
      <c r="BV19" s="1">
        <v>3</v>
      </c>
      <c r="BW19" s="1">
        <v>1</v>
      </c>
      <c r="BX19" s="1">
        <v>0</v>
      </c>
      <c r="BY19" s="1">
        <v>0</v>
      </c>
      <c r="BZ19" s="1">
        <v>0</v>
      </c>
      <c r="CA19" s="1">
        <v>0</v>
      </c>
      <c r="CB19" s="1">
        <v>0</v>
      </c>
      <c r="CC19" s="1">
        <v>0</v>
      </c>
      <c r="CD19" s="1">
        <v>0</v>
      </c>
      <c r="CE19" s="1">
        <v>0</v>
      </c>
      <c r="CF19" s="1">
        <v>0</v>
      </c>
      <c r="CG19" s="1">
        <v>0</v>
      </c>
      <c r="CH19" s="1">
        <v>0</v>
      </c>
      <c r="CI19" s="1">
        <v>0</v>
      </c>
      <c r="CJ19" s="1">
        <v>4</v>
      </c>
      <c r="CK19" s="1">
        <v>4</v>
      </c>
      <c r="CL19" s="1">
        <v>2</v>
      </c>
      <c r="CM19" s="1">
        <v>4</v>
      </c>
      <c r="CN19" s="1">
        <v>3</v>
      </c>
      <c r="CO19" s="1">
        <v>3</v>
      </c>
      <c r="CP19" s="1">
        <v>4</v>
      </c>
      <c r="CU19" s="1">
        <v>1</v>
      </c>
    </row>
    <row r="20" spans="1:99" x14ac:dyDescent="0.35">
      <c r="A20" s="1" t="s">
        <v>1139</v>
      </c>
      <c r="B20" s="1">
        <v>181511023</v>
      </c>
      <c r="C20" s="1">
        <v>0</v>
      </c>
      <c r="D20" s="1">
        <v>1</v>
      </c>
      <c r="E20" s="1">
        <v>0</v>
      </c>
      <c r="F20" s="1">
        <v>0</v>
      </c>
      <c r="G20" s="1">
        <v>0</v>
      </c>
      <c r="H20" s="1">
        <v>0</v>
      </c>
      <c r="I20" s="1">
        <v>0</v>
      </c>
      <c r="J20" s="1">
        <v>0</v>
      </c>
      <c r="K20" s="1">
        <v>0</v>
      </c>
      <c r="L20" s="1">
        <v>0</v>
      </c>
      <c r="M20" s="1">
        <v>0</v>
      </c>
      <c r="N20" s="1">
        <v>0</v>
      </c>
      <c r="O20" s="1">
        <v>0</v>
      </c>
      <c r="P20" s="1" t="s">
        <v>1140</v>
      </c>
      <c r="Q20" s="1" t="s">
        <v>1141</v>
      </c>
      <c r="R20" s="1">
        <v>4</v>
      </c>
      <c r="S20" s="1">
        <v>1</v>
      </c>
      <c r="T20" s="1">
        <v>1</v>
      </c>
      <c r="U20" s="1">
        <v>3</v>
      </c>
      <c r="V20" s="1">
        <v>3</v>
      </c>
      <c r="W20" s="1">
        <v>4</v>
      </c>
      <c r="X20" s="1">
        <v>4</v>
      </c>
      <c r="Y20" s="1">
        <v>3</v>
      </c>
      <c r="Z20" s="1">
        <v>3</v>
      </c>
      <c r="AA20" s="1">
        <v>3</v>
      </c>
      <c r="AC20" s="1">
        <v>1</v>
      </c>
      <c r="AD20" s="1">
        <v>5</v>
      </c>
      <c r="AF20" s="3">
        <v>4987500</v>
      </c>
      <c r="AG20" s="1" t="s">
        <v>1142</v>
      </c>
      <c r="BP20" s="1" t="s">
        <v>103</v>
      </c>
      <c r="BQ20" s="1" t="s">
        <v>1143</v>
      </c>
      <c r="BR20" s="1" t="s">
        <v>1144</v>
      </c>
      <c r="BS20" s="1" t="s">
        <v>1145</v>
      </c>
      <c r="BT20" s="1" t="s">
        <v>107</v>
      </c>
      <c r="BU20" s="1">
        <v>1</v>
      </c>
      <c r="BV20" s="1">
        <v>2</v>
      </c>
      <c r="BW20" s="1">
        <v>1</v>
      </c>
      <c r="BX20" s="1">
        <v>0</v>
      </c>
      <c r="BY20" s="1">
        <v>0</v>
      </c>
      <c r="BZ20" s="1">
        <v>0</v>
      </c>
      <c r="CA20" s="1">
        <v>0</v>
      </c>
      <c r="CB20" s="1">
        <v>0</v>
      </c>
      <c r="CC20" s="1">
        <v>0</v>
      </c>
      <c r="CD20" s="1">
        <v>0</v>
      </c>
      <c r="CE20" s="1">
        <v>0</v>
      </c>
      <c r="CF20" s="1">
        <v>0</v>
      </c>
      <c r="CG20" s="1">
        <v>0</v>
      </c>
      <c r="CH20" s="1">
        <v>0</v>
      </c>
      <c r="CI20" s="1">
        <v>0</v>
      </c>
      <c r="CJ20" s="1">
        <v>3</v>
      </c>
      <c r="CK20" s="1">
        <v>3</v>
      </c>
      <c r="CL20" s="1">
        <v>4</v>
      </c>
      <c r="CM20" s="1">
        <v>3</v>
      </c>
      <c r="CN20" s="1">
        <v>3</v>
      </c>
      <c r="CO20" s="1">
        <v>3</v>
      </c>
      <c r="CP20" s="1">
        <v>3</v>
      </c>
      <c r="CU20" s="1">
        <v>1</v>
      </c>
    </row>
    <row r="21" spans="1:99" x14ac:dyDescent="0.35">
      <c r="A21" s="1" t="s">
        <v>1146</v>
      </c>
      <c r="B21" s="1">
        <v>181511025</v>
      </c>
      <c r="C21" s="1">
        <v>0</v>
      </c>
      <c r="D21" s="1">
        <v>1</v>
      </c>
      <c r="E21" s="1">
        <v>0</v>
      </c>
      <c r="F21" s="1">
        <v>0</v>
      </c>
      <c r="G21" s="1">
        <v>0</v>
      </c>
      <c r="H21" s="1">
        <v>0</v>
      </c>
      <c r="I21" s="1">
        <v>0</v>
      </c>
      <c r="J21" s="1">
        <v>0</v>
      </c>
      <c r="K21" s="1">
        <v>0</v>
      </c>
      <c r="L21" s="1">
        <v>0</v>
      </c>
      <c r="M21" s="1">
        <v>0</v>
      </c>
      <c r="N21" s="1">
        <v>0</v>
      </c>
      <c r="O21" s="1">
        <v>0</v>
      </c>
      <c r="P21" s="1">
        <v>2</v>
      </c>
      <c r="Q21" s="1">
        <v>2</v>
      </c>
      <c r="R21" s="1">
        <v>2</v>
      </c>
      <c r="S21" s="1">
        <v>1</v>
      </c>
      <c r="T21" s="1">
        <v>1</v>
      </c>
      <c r="U21" s="1">
        <v>4</v>
      </c>
      <c r="V21" s="1">
        <v>3</v>
      </c>
      <c r="W21" s="1">
        <v>3</v>
      </c>
      <c r="X21" s="1">
        <v>3</v>
      </c>
      <c r="Y21" s="1">
        <v>3</v>
      </c>
      <c r="Z21" s="1">
        <v>3</v>
      </c>
      <c r="AA21" s="1">
        <v>3</v>
      </c>
      <c r="AC21" s="1">
        <v>1</v>
      </c>
      <c r="AD21" s="1">
        <v>0</v>
      </c>
      <c r="AF21" s="3">
        <v>4000000</v>
      </c>
      <c r="AG21" s="1">
        <v>13</v>
      </c>
      <c r="AT21" s="1" t="s">
        <v>86</v>
      </c>
      <c r="BP21" s="1">
        <v>6</v>
      </c>
      <c r="BQ21" s="1" t="s">
        <v>1147</v>
      </c>
      <c r="BR21" s="1" t="s">
        <v>1148</v>
      </c>
      <c r="BS21" s="1" t="s">
        <v>1149</v>
      </c>
      <c r="BT21" s="1" t="s">
        <v>79</v>
      </c>
      <c r="BU21" s="1">
        <v>1</v>
      </c>
      <c r="BV21" s="1">
        <v>2</v>
      </c>
      <c r="BW21" s="1">
        <v>0</v>
      </c>
      <c r="BX21" s="1">
        <v>0</v>
      </c>
      <c r="BY21" s="1">
        <v>0</v>
      </c>
      <c r="BZ21" s="1">
        <v>0</v>
      </c>
      <c r="CA21" s="1">
        <v>0</v>
      </c>
      <c r="CB21" s="1">
        <v>0</v>
      </c>
      <c r="CC21" s="1">
        <v>0</v>
      </c>
      <c r="CD21" s="1">
        <v>1</v>
      </c>
      <c r="CE21" s="1">
        <v>0</v>
      </c>
      <c r="CF21" s="1">
        <v>0</v>
      </c>
      <c r="CG21" s="1">
        <v>0</v>
      </c>
      <c r="CH21" s="1">
        <v>0</v>
      </c>
      <c r="CI21" s="1">
        <v>0</v>
      </c>
      <c r="CJ21" s="1">
        <v>3</v>
      </c>
      <c r="CK21" s="1">
        <v>3</v>
      </c>
      <c r="CL21" s="1">
        <v>4</v>
      </c>
      <c r="CM21" s="1">
        <v>4</v>
      </c>
      <c r="CN21" s="1">
        <v>3</v>
      </c>
      <c r="CO21" s="1">
        <v>3</v>
      </c>
      <c r="CP21" s="1">
        <v>3</v>
      </c>
      <c r="CU21" s="1">
        <v>1</v>
      </c>
    </row>
    <row r="22" spans="1:99" x14ac:dyDescent="0.35">
      <c r="A22" s="1" t="s">
        <v>1150</v>
      </c>
      <c r="B22" s="1">
        <v>181511026</v>
      </c>
      <c r="C22" s="1">
        <v>0</v>
      </c>
      <c r="D22" s="1">
        <v>0</v>
      </c>
      <c r="E22" s="1">
        <v>0</v>
      </c>
      <c r="F22" s="1">
        <v>0</v>
      </c>
      <c r="G22" s="1">
        <v>0</v>
      </c>
      <c r="H22" s="1">
        <v>0</v>
      </c>
      <c r="I22" s="1">
        <v>0</v>
      </c>
      <c r="J22" s="1">
        <v>0</v>
      </c>
      <c r="K22" s="1">
        <v>0</v>
      </c>
      <c r="L22" s="1">
        <v>0</v>
      </c>
      <c r="M22" s="1">
        <v>1</v>
      </c>
      <c r="N22" s="1">
        <v>0</v>
      </c>
      <c r="O22" s="1">
        <v>0</v>
      </c>
      <c r="P22" s="1" t="s">
        <v>78</v>
      </c>
      <c r="Q22" s="1" t="s">
        <v>78</v>
      </c>
      <c r="R22" s="1" t="s">
        <v>78</v>
      </c>
      <c r="S22" s="1">
        <v>1</v>
      </c>
      <c r="T22" s="1">
        <v>3</v>
      </c>
      <c r="U22" s="1">
        <v>4</v>
      </c>
      <c r="V22" s="1">
        <v>3</v>
      </c>
      <c r="W22" s="1">
        <v>4</v>
      </c>
      <c r="X22" s="1">
        <v>4</v>
      </c>
      <c r="Y22" s="1">
        <v>4</v>
      </c>
      <c r="Z22" s="1">
        <v>4</v>
      </c>
      <c r="AA22" s="1">
        <v>4</v>
      </c>
      <c r="AC22" s="1">
        <v>1</v>
      </c>
      <c r="AD22" s="1">
        <v>0</v>
      </c>
      <c r="AF22" s="3">
        <v>5000000</v>
      </c>
      <c r="AG22" s="1">
        <v>13</v>
      </c>
      <c r="AT22" s="1" t="s">
        <v>86</v>
      </c>
      <c r="BP22" s="1">
        <v>3</v>
      </c>
      <c r="BQ22" s="1" t="s">
        <v>1151</v>
      </c>
      <c r="BR22" s="1" t="s">
        <v>1152</v>
      </c>
      <c r="BS22" s="1" t="s">
        <v>1153</v>
      </c>
      <c r="BT22" s="1" t="s">
        <v>79</v>
      </c>
      <c r="BU22" s="1">
        <v>1</v>
      </c>
      <c r="BV22" s="1">
        <v>1</v>
      </c>
      <c r="BW22" s="1">
        <v>1</v>
      </c>
      <c r="BX22" s="1">
        <v>0</v>
      </c>
      <c r="BY22" s="1">
        <v>0</v>
      </c>
      <c r="BZ22" s="1">
        <v>0</v>
      </c>
      <c r="CA22" s="1">
        <v>0</v>
      </c>
      <c r="CB22" s="1">
        <v>0</v>
      </c>
      <c r="CC22" s="1">
        <v>0</v>
      </c>
      <c r="CD22" s="1">
        <v>0</v>
      </c>
      <c r="CE22" s="1">
        <v>0</v>
      </c>
      <c r="CF22" s="1">
        <v>0</v>
      </c>
      <c r="CG22" s="1">
        <v>0</v>
      </c>
      <c r="CH22" s="1">
        <v>0</v>
      </c>
      <c r="CI22" s="1">
        <v>0</v>
      </c>
      <c r="CJ22" s="1">
        <v>4</v>
      </c>
      <c r="CK22" s="1">
        <v>4</v>
      </c>
      <c r="CL22" s="1">
        <v>4</v>
      </c>
      <c r="CM22" s="1">
        <v>4</v>
      </c>
      <c r="CN22" s="1">
        <v>4</v>
      </c>
      <c r="CO22" s="1">
        <v>4</v>
      </c>
      <c r="CP22" s="1">
        <v>4</v>
      </c>
      <c r="CU22" s="1">
        <v>1</v>
      </c>
    </row>
    <row r="23" spans="1:99" x14ac:dyDescent="0.35">
      <c r="A23" s="1" t="s">
        <v>1154</v>
      </c>
      <c r="B23" s="1">
        <v>181511027</v>
      </c>
      <c r="S23" s="1">
        <v>4</v>
      </c>
      <c r="T23" s="1">
        <v>1</v>
      </c>
      <c r="U23" s="1">
        <v>4</v>
      </c>
      <c r="V23" s="1">
        <v>3</v>
      </c>
      <c r="W23" s="1">
        <v>2</v>
      </c>
      <c r="X23" s="1">
        <v>3</v>
      </c>
      <c r="Y23" s="1">
        <v>2</v>
      </c>
      <c r="Z23" s="1">
        <v>2</v>
      </c>
      <c r="AA23" s="1">
        <v>3</v>
      </c>
      <c r="CQ23" s="1">
        <v>1</v>
      </c>
      <c r="CR23" s="1" t="s">
        <v>1155</v>
      </c>
      <c r="CS23" s="1" t="s">
        <v>1156</v>
      </c>
      <c r="CT23" s="5">
        <v>44837</v>
      </c>
      <c r="CU23" s="1">
        <v>1</v>
      </c>
    </row>
    <row r="24" spans="1:99" x14ac:dyDescent="0.35">
      <c r="A24" s="1" t="s">
        <v>1157</v>
      </c>
      <c r="B24" s="1">
        <v>181511028</v>
      </c>
      <c r="C24" s="1">
        <v>0</v>
      </c>
      <c r="D24" s="1">
        <v>1</v>
      </c>
      <c r="E24" s="1">
        <v>0</v>
      </c>
      <c r="F24" s="1">
        <v>0</v>
      </c>
      <c r="G24" s="1">
        <v>0</v>
      </c>
      <c r="H24" s="1">
        <v>0</v>
      </c>
      <c r="I24" s="1">
        <v>0</v>
      </c>
      <c r="J24" s="1">
        <v>0</v>
      </c>
      <c r="K24" s="1">
        <v>0</v>
      </c>
      <c r="L24" s="1">
        <v>0</v>
      </c>
      <c r="M24" s="1">
        <v>0</v>
      </c>
      <c r="N24" s="1">
        <v>0</v>
      </c>
      <c r="O24" s="1">
        <v>0</v>
      </c>
      <c r="P24" s="1">
        <v>20</v>
      </c>
      <c r="Q24" s="1">
        <v>10</v>
      </c>
      <c r="R24" s="1">
        <v>7</v>
      </c>
      <c r="S24" s="1">
        <v>1</v>
      </c>
      <c r="T24" s="1">
        <v>1</v>
      </c>
      <c r="U24" s="1">
        <v>4</v>
      </c>
      <c r="V24" s="1">
        <v>4</v>
      </c>
      <c r="W24" s="1">
        <v>2</v>
      </c>
      <c r="X24" s="1">
        <v>4</v>
      </c>
      <c r="Y24" s="1">
        <v>4</v>
      </c>
      <c r="Z24" s="1">
        <v>3</v>
      </c>
      <c r="AA24" s="1">
        <v>4</v>
      </c>
      <c r="AC24" s="1">
        <v>1</v>
      </c>
      <c r="AD24" s="1">
        <v>4</v>
      </c>
      <c r="AF24" s="3">
        <v>10000000</v>
      </c>
      <c r="AG24" s="1">
        <v>11</v>
      </c>
      <c r="AR24" s="1" t="s">
        <v>130</v>
      </c>
      <c r="BP24" s="1">
        <v>3</v>
      </c>
      <c r="BQ24" s="1" t="s">
        <v>1158</v>
      </c>
      <c r="BR24" s="1" t="s">
        <v>1159</v>
      </c>
      <c r="BS24" s="1" t="s">
        <v>1160</v>
      </c>
      <c r="BT24" s="1" t="s">
        <v>79</v>
      </c>
      <c r="BU24" s="1">
        <v>2</v>
      </c>
      <c r="BV24" s="1">
        <v>1</v>
      </c>
      <c r="BW24" s="1">
        <v>1</v>
      </c>
      <c r="BX24" s="1">
        <v>0</v>
      </c>
      <c r="BY24" s="1">
        <v>1</v>
      </c>
      <c r="BZ24" s="1">
        <v>0</v>
      </c>
      <c r="CA24" s="1">
        <v>0</v>
      </c>
      <c r="CB24" s="1">
        <v>1</v>
      </c>
      <c r="CC24" s="1">
        <v>1</v>
      </c>
      <c r="CD24" s="1">
        <v>1</v>
      </c>
      <c r="CE24" s="1">
        <v>1</v>
      </c>
      <c r="CF24" s="1">
        <v>0</v>
      </c>
      <c r="CG24" s="1">
        <v>1</v>
      </c>
      <c r="CH24" s="1">
        <v>0</v>
      </c>
      <c r="CI24" s="1">
        <v>0</v>
      </c>
      <c r="CJ24" s="1">
        <v>4</v>
      </c>
      <c r="CK24" s="1">
        <v>4</v>
      </c>
      <c r="CL24" s="1">
        <v>4</v>
      </c>
      <c r="CM24" s="1">
        <v>4</v>
      </c>
      <c r="CN24" s="1">
        <v>4</v>
      </c>
      <c r="CO24" s="1">
        <v>4</v>
      </c>
      <c r="CP24" s="1">
        <v>4</v>
      </c>
      <c r="CU24" s="1">
        <v>1</v>
      </c>
    </row>
    <row r="25" spans="1:99" x14ac:dyDescent="0.35">
      <c r="A25" s="1" t="s">
        <v>1161</v>
      </c>
      <c r="B25" s="1">
        <v>181511029</v>
      </c>
      <c r="C25" s="1">
        <v>0</v>
      </c>
      <c r="D25" s="1">
        <v>1</v>
      </c>
      <c r="E25" s="1">
        <v>0</v>
      </c>
      <c r="F25" s="1">
        <v>0</v>
      </c>
      <c r="G25" s="1">
        <v>0</v>
      </c>
      <c r="H25" s="1">
        <v>0</v>
      </c>
      <c r="I25" s="1">
        <v>0</v>
      </c>
      <c r="J25" s="1">
        <v>0</v>
      </c>
      <c r="K25" s="1">
        <v>1</v>
      </c>
      <c r="L25" s="1">
        <v>0</v>
      </c>
      <c r="M25" s="1">
        <v>0</v>
      </c>
      <c r="N25" s="1">
        <v>0</v>
      </c>
      <c r="O25" s="1">
        <v>0</v>
      </c>
      <c r="P25" s="1">
        <v>3</v>
      </c>
      <c r="Q25" s="1">
        <v>3</v>
      </c>
      <c r="R25" s="1">
        <v>1</v>
      </c>
      <c r="S25" s="1">
        <v>1</v>
      </c>
      <c r="T25" s="1">
        <v>1</v>
      </c>
      <c r="U25" s="1">
        <v>2</v>
      </c>
      <c r="V25" s="1">
        <v>3</v>
      </c>
      <c r="W25" s="1">
        <v>2</v>
      </c>
      <c r="X25" s="1">
        <v>4</v>
      </c>
      <c r="Y25" s="1">
        <v>3</v>
      </c>
      <c r="Z25" s="1">
        <v>4</v>
      </c>
      <c r="AA25" s="1">
        <v>1</v>
      </c>
      <c r="AC25" s="1">
        <v>1</v>
      </c>
      <c r="AD25" s="1">
        <v>3</v>
      </c>
      <c r="AF25" s="3">
        <v>6000000</v>
      </c>
      <c r="AG25" s="1">
        <v>13</v>
      </c>
      <c r="AT25" s="1" t="s">
        <v>86</v>
      </c>
      <c r="BP25" s="1">
        <v>3</v>
      </c>
      <c r="BQ25" s="1" t="s">
        <v>1162</v>
      </c>
      <c r="BR25" s="1" t="s">
        <v>1163</v>
      </c>
      <c r="BS25" s="1" t="s">
        <v>1164</v>
      </c>
      <c r="BT25" s="1" t="s">
        <v>73</v>
      </c>
      <c r="BU25" s="1">
        <v>3</v>
      </c>
      <c r="BV25" s="1">
        <v>1</v>
      </c>
      <c r="BW25" s="1">
        <v>0</v>
      </c>
      <c r="BX25" s="1">
        <v>0</v>
      </c>
      <c r="BY25" s="1">
        <v>0</v>
      </c>
      <c r="BZ25" s="1">
        <v>0</v>
      </c>
      <c r="CA25" s="1">
        <v>0</v>
      </c>
      <c r="CB25" s="1">
        <v>0</v>
      </c>
      <c r="CC25" s="1">
        <v>0</v>
      </c>
      <c r="CD25" s="1">
        <v>1</v>
      </c>
      <c r="CE25" s="1">
        <v>0</v>
      </c>
      <c r="CF25" s="1">
        <v>0</v>
      </c>
      <c r="CG25" s="1">
        <v>0</v>
      </c>
      <c r="CH25" s="1">
        <v>0</v>
      </c>
      <c r="CI25" s="1">
        <v>0</v>
      </c>
      <c r="CJ25" s="1">
        <v>3</v>
      </c>
      <c r="CK25" s="1">
        <v>4</v>
      </c>
      <c r="CL25" s="1">
        <v>3</v>
      </c>
      <c r="CM25" s="1">
        <v>4</v>
      </c>
      <c r="CN25" s="1">
        <v>4</v>
      </c>
      <c r="CO25" s="1">
        <v>4</v>
      </c>
      <c r="CP25" s="1">
        <v>3</v>
      </c>
      <c r="CU25" s="1">
        <v>1</v>
      </c>
    </row>
    <row r="26" spans="1:99" x14ac:dyDescent="0.35">
      <c r="A26" s="1" t="s">
        <v>1165</v>
      </c>
      <c r="B26" s="1">
        <v>181511030</v>
      </c>
      <c r="C26" s="1">
        <v>0</v>
      </c>
      <c r="D26" s="1">
        <v>1</v>
      </c>
      <c r="E26" s="1">
        <v>1</v>
      </c>
      <c r="F26" s="1">
        <v>0</v>
      </c>
      <c r="G26" s="1">
        <v>0</v>
      </c>
      <c r="H26" s="1">
        <v>0</v>
      </c>
      <c r="I26" s="1">
        <v>0</v>
      </c>
      <c r="J26" s="1">
        <v>0</v>
      </c>
      <c r="K26" s="1">
        <v>1</v>
      </c>
      <c r="L26" s="1">
        <v>0</v>
      </c>
      <c r="M26" s="1">
        <v>0</v>
      </c>
      <c r="N26" s="1">
        <v>0</v>
      </c>
      <c r="O26" s="1">
        <v>0</v>
      </c>
      <c r="P26" s="1">
        <v>3</v>
      </c>
      <c r="Q26" s="1">
        <v>2</v>
      </c>
      <c r="R26" s="1">
        <v>2</v>
      </c>
      <c r="S26" s="1">
        <v>1</v>
      </c>
      <c r="T26" s="1">
        <v>1</v>
      </c>
      <c r="U26" s="1">
        <v>3</v>
      </c>
      <c r="V26" s="1">
        <v>4</v>
      </c>
      <c r="W26" s="1">
        <v>4</v>
      </c>
      <c r="X26" s="1">
        <v>4</v>
      </c>
      <c r="Y26" s="1">
        <v>3</v>
      </c>
      <c r="Z26" s="1">
        <v>3</v>
      </c>
      <c r="AA26" s="1">
        <v>3</v>
      </c>
      <c r="AC26" s="1">
        <v>1</v>
      </c>
      <c r="AD26" s="1">
        <v>1</v>
      </c>
      <c r="AF26" s="3">
        <v>4200000</v>
      </c>
      <c r="AG26" s="1">
        <v>13</v>
      </c>
      <c r="AT26" s="1" t="s">
        <v>86</v>
      </c>
      <c r="BP26" s="1">
        <v>6</v>
      </c>
      <c r="BQ26" s="1" t="s">
        <v>1166</v>
      </c>
      <c r="BR26" s="1" t="s">
        <v>1167</v>
      </c>
      <c r="BS26" s="1" t="s">
        <v>1168</v>
      </c>
      <c r="BT26" s="1" t="s">
        <v>73</v>
      </c>
      <c r="BU26" s="1">
        <v>1</v>
      </c>
      <c r="BV26" s="1">
        <v>4</v>
      </c>
      <c r="BW26" s="1">
        <v>1</v>
      </c>
      <c r="BX26" s="1">
        <v>0</v>
      </c>
      <c r="BY26" s="1">
        <v>0</v>
      </c>
      <c r="BZ26" s="1">
        <v>0</v>
      </c>
      <c r="CA26" s="1">
        <v>0</v>
      </c>
      <c r="CB26" s="1">
        <v>0</v>
      </c>
      <c r="CC26" s="1">
        <v>0</v>
      </c>
      <c r="CD26" s="1">
        <v>0</v>
      </c>
      <c r="CE26" s="1">
        <v>0</v>
      </c>
      <c r="CF26" s="1">
        <v>0</v>
      </c>
      <c r="CG26" s="1">
        <v>0</v>
      </c>
      <c r="CH26" s="1">
        <v>0</v>
      </c>
      <c r="CI26" s="1">
        <v>0</v>
      </c>
      <c r="CJ26" s="1">
        <v>4</v>
      </c>
      <c r="CK26" s="1">
        <v>4</v>
      </c>
      <c r="CL26" s="1">
        <v>4</v>
      </c>
      <c r="CM26" s="1">
        <v>4</v>
      </c>
      <c r="CN26" s="1">
        <v>4</v>
      </c>
      <c r="CO26" s="1">
        <v>4</v>
      </c>
      <c r="CP26" s="1">
        <v>4</v>
      </c>
      <c r="CU26" s="1">
        <v>4</v>
      </c>
    </row>
    <row r="27" spans="1:99" x14ac:dyDescent="0.35">
      <c r="A27" s="1" t="s">
        <v>1169</v>
      </c>
      <c r="B27" s="1">
        <v>181511031</v>
      </c>
      <c r="C27" s="1">
        <v>0</v>
      </c>
      <c r="D27" s="1">
        <v>0</v>
      </c>
      <c r="E27" s="1">
        <v>0</v>
      </c>
      <c r="F27" s="1">
        <v>0</v>
      </c>
      <c r="G27" s="1">
        <v>0</v>
      </c>
      <c r="H27" s="1">
        <v>0</v>
      </c>
      <c r="I27" s="1">
        <v>0</v>
      </c>
      <c r="J27" s="1">
        <v>0</v>
      </c>
      <c r="K27" s="1">
        <v>1</v>
      </c>
      <c r="L27" s="1">
        <v>0</v>
      </c>
      <c r="M27" s="1">
        <v>0</v>
      </c>
      <c r="N27" s="1">
        <v>0</v>
      </c>
      <c r="O27" s="1">
        <v>0</v>
      </c>
      <c r="P27" s="1">
        <v>5</v>
      </c>
      <c r="Q27" s="1">
        <v>5</v>
      </c>
      <c r="R27" s="1">
        <v>3</v>
      </c>
      <c r="S27" s="1">
        <v>1</v>
      </c>
      <c r="T27" s="1">
        <v>3</v>
      </c>
      <c r="U27" s="1">
        <v>3</v>
      </c>
      <c r="V27" s="1">
        <v>3</v>
      </c>
      <c r="W27" s="1">
        <v>2</v>
      </c>
      <c r="X27" s="1">
        <v>3</v>
      </c>
      <c r="Y27" s="1">
        <v>4</v>
      </c>
      <c r="Z27" s="1">
        <v>4</v>
      </c>
      <c r="AA27" s="1">
        <v>3</v>
      </c>
      <c r="AC27" s="1">
        <v>1</v>
      </c>
      <c r="AD27" s="1">
        <v>2</v>
      </c>
      <c r="AF27" s="3">
        <v>5000000</v>
      </c>
      <c r="AG27" s="1">
        <v>13</v>
      </c>
      <c r="AT27" s="1" t="s">
        <v>86</v>
      </c>
      <c r="BP27" s="1">
        <v>3</v>
      </c>
      <c r="BQ27" s="1" t="s">
        <v>1170</v>
      </c>
      <c r="BR27" s="1" t="s">
        <v>1171</v>
      </c>
      <c r="BS27" s="1" t="s">
        <v>1172</v>
      </c>
      <c r="BT27" s="1" t="s">
        <v>79</v>
      </c>
      <c r="BU27" s="1">
        <v>1</v>
      </c>
      <c r="BV27" s="1">
        <v>1</v>
      </c>
      <c r="BW27" s="1">
        <v>1</v>
      </c>
      <c r="BX27" s="1">
        <v>0</v>
      </c>
      <c r="BY27" s="1">
        <v>0</v>
      </c>
      <c r="BZ27" s="1">
        <v>0</v>
      </c>
      <c r="CA27" s="1">
        <v>0</v>
      </c>
      <c r="CB27" s="1">
        <v>0</v>
      </c>
      <c r="CC27" s="1">
        <v>0</v>
      </c>
      <c r="CD27" s="1">
        <v>0</v>
      </c>
      <c r="CE27" s="1">
        <v>0</v>
      </c>
      <c r="CF27" s="1">
        <v>0</v>
      </c>
      <c r="CG27" s="1">
        <v>0</v>
      </c>
      <c r="CH27" s="1">
        <v>0</v>
      </c>
      <c r="CI27" s="1">
        <v>0</v>
      </c>
      <c r="CJ27" s="1">
        <v>4</v>
      </c>
      <c r="CK27" s="1">
        <v>3</v>
      </c>
      <c r="CL27" s="1">
        <v>2</v>
      </c>
      <c r="CM27" s="1">
        <v>3</v>
      </c>
      <c r="CN27" s="1">
        <v>4</v>
      </c>
      <c r="CO27" s="1">
        <v>4</v>
      </c>
      <c r="CP27" s="1">
        <v>4</v>
      </c>
      <c r="CU27" s="1">
        <v>1</v>
      </c>
    </row>
    <row r="28" spans="1:99" x14ac:dyDescent="0.35">
      <c r="A28" s="1" t="s">
        <v>1173</v>
      </c>
      <c r="B28" s="1">
        <v>181511032</v>
      </c>
      <c r="C28" s="1">
        <v>0</v>
      </c>
      <c r="D28" s="1">
        <v>0</v>
      </c>
      <c r="E28" s="1">
        <v>1</v>
      </c>
      <c r="F28" s="1">
        <v>0</v>
      </c>
      <c r="G28" s="1">
        <v>0</v>
      </c>
      <c r="H28" s="1">
        <v>0</v>
      </c>
      <c r="I28" s="1">
        <v>0</v>
      </c>
      <c r="J28" s="1">
        <v>0</v>
      </c>
      <c r="K28" s="1">
        <v>0</v>
      </c>
      <c r="L28" s="1">
        <v>0</v>
      </c>
      <c r="M28" s="1">
        <v>1</v>
      </c>
      <c r="N28" s="1">
        <v>1</v>
      </c>
      <c r="O28" s="1">
        <v>0</v>
      </c>
      <c r="P28" s="1">
        <v>0</v>
      </c>
      <c r="Q28" s="1">
        <v>0</v>
      </c>
      <c r="R28" s="1">
        <v>0</v>
      </c>
      <c r="S28" s="1">
        <v>1</v>
      </c>
      <c r="T28" s="1">
        <v>1</v>
      </c>
      <c r="U28" s="1">
        <v>4</v>
      </c>
      <c r="V28" s="1">
        <v>3</v>
      </c>
      <c r="W28" s="1">
        <v>3</v>
      </c>
      <c r="X28" s="1">
        <v>3</v>
      </c>
      <c r="Y28" s="1">
        <v>4</v>
      </c>
      <c r="Z28" s="1">
        <v>4</v>
      </c>
      <c r="AA28" s="1">
        <v>4</v>
      </c>
      <c r="AC28" s="1">
        <v>1</v>
      </c>
      <c r="AD28" s="1">
        <v>0</v>
      </c>
      <c r="AF28" s="3">
        <v>4800000</v>
      </c>
      <c r="AG28" s="1">
        <v>13</v>
      </c>
      <c r="AT28" s="1" t="s">
        <v>93</v>
      </c>
      <c r="BP28" s="1">
        <v>3</v>
      </c>
      <c r="BQ28" s="1" t="s">
        <v>1174</v>
      </c>
      <c r="BR28" s="1" t="s">
        <v>1175</v>
      </c>
      <c r="BS28" s="1" t="s">
        <v>1176</v>
      </c>
      <c r="BT28" s="1" t="s">
        <v>79</v>
      </c>
      <c r="BU28" s="1">
        <v>1</v>
      </c>
      <c r="BV28" s="1">
        <v>2</v>
      </c>
      <c r="BW28" s="1">
        <v>1</v>
      </c>
      <c r="BX28" s="1">
        <v>0</v>
      </c>
      <c r="BY28" s="1">
        <v>0</v>
      </c>
      <c r="BZ28" s="1">
        <v>0</v>
      </c>
      <c r="CA28" s="1">
        <v>0</v>
      </c>
      <c r="CB28" s="1">
        <v>0</v>
      </c>
      <c r="CC28" s="1">
        <v>0</v>
      </c>
      <c r="CD28" s="1">
        <v>0</v>
      </c>
      <c r="CE28" s="1">
        <v>0</v>
      </c>
      <c r="CF28" s="1">
        <v>0</v>
      </c>
      <c r="CG28" s="1">
        <v>0</v>
      </c>
      <c r="CH28" s="1">
        <v>0</v>
      </c>
      <c r="CI28" s="1">
        <v>0</v>
      </c>
      <c r="CJ28" s="1">
        <v>4</v>
      </c>
      <c r="CK28" s="1">
        <v>4</v>
      </c>
      <c r="CL28" s="1">
        <v>3</v>
      </c>
      <c r="CM28" s="1">
        <v>4</v>
      </c>
      <c r="CN28" s="1">
        <v>4</v>
      </c>
      <c r="CO28" s="1">
        <v>4</v>
      </c>
      <c r="CP28" s="1">
        <v>4</v>
      </c>
      <c r="CU28" s="1">
        <v>1</v>
      </c>
    </row>
    <row r="29" spans="1:99" x14ac:dyDescent="0.35">
      <c r="A29" s="1" t="s">
        <v>1177</v>
      </c>
      <c r="B29" s="1">
        <v>181511034</v>
      </c>
      <c r="C29" s="1">
        <v>0</v>
      </c>
      <c r="D29" s="1">
        <v>0</v>
      </c>
      <c r="E29" s="1">
        <v>1</v>
      </c>
      <c r="F29" s="1">
        <v>0</v>
      </c>
      <c r="G29" s="1">
        <v>0</v>
      </c>
      <c r="H29" s="1">
        <v>0</v>
      </c>
      <c r="I29" s="1">
        <v>0</v>
      </c>
      <c r="J29" s="1">
        <v>1</v>
      </c>
      <c r="K29" s="1">
        <v>1</v>
      </c>
      <c r="L29" s="1">
        <v>0</v>
      </c>
      <c r="M29" s="1">
        <v>0</v>
      </c>
      <c r="N29" s="1">
        <v>0</v>
      </c>
      <c r="O29" s="1">
        <v>0</v>
      </c>
      <c r="P29" s="1">
        <v>2</v>
      </c>
      <c r="Q29" s="1">
        <v>2</v>
      </c>
      <c r="R29" s="1">
        <v>2</v>
      </c>
      <c r="S29" s="1">
        <v>1</v>
      </c>
      <c r="T29" s="1">
        <v>1</v>
      </c>
      <c r="U29" s="1">
        <v>3</v>
      </c>
      <c r="V29" s="1">
        <v>4</v>
      </c>
      <c r="W29" s="1">
        <v>3</v>
      </c>
      <c r="X29" s="1">
        <v>4</v>
      </c>
      <c r="Y29" s="1">
        <v>3</v>
      </c>
      <c r="Z29" s="1">
        <v>3</v>
      </c>
      <c r="AA29" s="1">
        <v>3</v>
      </c>
      <c r="AC29" s="1">
        <v>1</v>
      </c>
      <c r="AD29" s="1">
        <v>0</v>
      </c>
      <c r="AF29" s="3">
        <v>5000000</v>
      </c>
      <c r="AG29" s="1">
        <v>13</v>
      </c>
      <c r="AT29" s="1" t="s">
        <v>86</v>
      </c>
      <c r="BP29" s="1">
        <v>3</v>
      </c>
      <c r="BQ29" s="1" t="s">
        <v>1151</v>
      </c>
      <c r="BR29" s="1" t="s">
        <v>1178</v>
      </c>
      <c r="BS29" s="1" t="s">
        <v>1179</v>
      </c>
      <c r="BT29" s="1" t="s">
        <v>107</v>
      </c>
      <c r="BU29" s="1">
        <v>1</v>
      </c>
      <c r="BV29" s="1">
        <v>1</v>
      </c>
      <c r="BW29" s="1">
        <v>0</v>
      </c>
      <c r="BX29" s="1">
        <v>0</v>
      </c>
      <c r="BY29" s="1">
        <v>0</v>
      </c>
      <c r="BZ29" s="1">
        <v>0</v>
      </c>
      <c r="CA29" s="1">
        <v>0</v>
      </c>
      <c r="CB29" s="1">
        <v>0</v>
      </c>
      <c r="CC29" s="1">
        <v>0</v>
      </c>
      <c r="CD29" s="1">
        <v>1</v>
      </c>
      <c r="CE29" s="1">
        <v>1</v>
      </c>
      <c r="CF29" s="1">
        <v>0</v>
      </c>
      <c r="CG29" s="1">
        <v>0</v>
      </c>
      <c r="CH29" s="1">
        <v>0</v>
      </c>
      <c r="CI29" s="1">
        <v>0</v>
      </c>
      <c r="CJ29" s="1">
        <v>4</v>
      </c>
      <c r="CK29" s="1">
        <v>4</v>
      </c>
      <c r="CL29" s="1">
        <v>3</v>
      </c>
      <c r="CM29" s="1">
        <v>4</v>
      </c>
      <c r="CN29" s="1">
        <v>4</v>
      </c>
      <c r="CO29" s="1">
        <v>4</v>
      </c>
      <c r="CP29" s="1">
        <v>4</v>
      </c>
      <c r="CU29" s="1">
        <v>1</v>
      </c>
    </row>
    <row r="30" spans="1:99" x14ac:dyDescent="0.35">
      <c r="A30" s="1" t="s">
        <v>1180</v>
      </c>
      <c r="B30" s="1">
        <v>181511035</v>
      </c>
      <c r="C30" s="1">
        <v>0</v>
      </c>
      <c r="D30" s="1">
        <v>1</v>
      </c>
      <c r="E30" s="1">
        <v>0</v>
      </c>
      <c r="F30" s="1">
        <v>0</v>
      </c>
      <c r="G30" s="1">
        <v>0</v>
      </c>
      <c r="H30" s="1">
        <v>0</v>
      </c>
      <c r="I30" s="1">
        <v>0</v>
      </c>
      <c r="J30" s="1">
        <v>0</v>
      </c>
      <c r="K30" s="1">
        <v>1</v>
      </c>
      <c r="L30" s="1">
        <v>0</v>
      </c>
      <c r="M30" s="1">
        <v>0</v>
      </c>
      <c r="N30" s="1">
        <v>0</v>
      </c>
      <c r="O30" s="1">
        <v>0</v>
      </c>
      <c r="P30" s="1">
        <v>5</v>
      </c>
      <c r="Q30" s="1">
        <v>3</v>
      </c>
      <c r="R30" s="1">
        <v>3</v>
      </c>
      <c r="S30" s="1">
        <v>1</v>
      </c>
      <c r="T30" s="1">
        <v>1</v>
      </c>
      <c r="U30" s="1">
        <v>4</v>
      </c>
      <c r="V30" s="1">
        <v>3</v>
      </c>
      <c r="W30" s="1">
        <v>2</v>
      </c>
      <c r="X30" s="1">
        <v>3</v>
      </c>
      <c r="Y30" s="1">
        <v>3</v>
      </c>
      <c r="Z30" s="1">
        <v>3</v>
      </c>
      <c r="AA30" s="1">
        <v>3</v>
      </c>
      <c r="AC30" s="1">
        <v>1</v>
      </c>
      <c r="AD30" s="1">
        <v>1</v>
      </c>
      <c r="AE30" s="1">
        <v>1</v>
      </c>
      <c r="AF30" s="3">
        <v>5000000</v>
      </c>
      <c r="AG30" s="1">
        <v>11</v>
      </c>
      <c r="AR30" s="1" t="s">
        <v>130</v>
      </c>
      <c r="BP30" s="1">
        <v>3</v>
      </c>
      <c r="BQ30" s="1" t="s">
        <v>1181</v>
      </c>
      <c r="BR30" s="1" t="s">
        <v>1182</v>
      </c>
      <c r="BT30" s="1" t="s">
        <v>79</v>
      </c>
      <c r="BU30" s="1">
        <v>1</v>
      </c>
      <c r="BV30" s="1">
        <v>2</v>
      </c>
      <c r="BW30" s="1">
        <v>1</v>
      </c>
      <c r="BX30" s="1">
        <v>0</v>
      </c>
      <c r="BY30" s="1">
        <v>0</v>
      </c>
      <c r="BZ30" s="1">
        <v>0</v>
      </c>
      <c r="CA30" s="1">
        <v>0</v>
      </c>
      <c r="CB30" s="1">
        <v>0</v>
      </c>
      <c r="CC30" s="1">
        <v>0</v>
      </c>
      <c r="CD30" s="1">
        <v>0</v>
      </c>
      <c r="CE30" s="1">
        <v>0</v>
      </c>
      <c r="CF30" s="1">
        <v>0</v>
      </c>
      <c r="CG30" s="1">
        <v>0</v>
      </c>
      <c r="CH30" s="1">
        <v>0</v>
      </c>
      <c r="CI30" s="1">
        <v>0</v>
      </c>
      <c r="CJ30" s="1">
        <v>3</v>
      </c>
      <c r="CK30" s="1">
        <v>3</v>
      </c>
      <c r="CL30" s="1">
        <v>3</v>
      </c>
      <c r="CM30" s="1">
        <v>3</v>
      </c>
      <c r="CN30" s="1">
        <v>4</v>
      </c>
      <c r="CO30" s="1">
        <v>4</v>
      </c>
      <c r="CP30" s="1">
        <v>3</v>
      </c>
      <c r="CU30" s="1">
        <v>1</v>
      </c>
    </row>
    <row r="31" spans="1:99" x14ac:dyDescent="0.35">
      <c r="A31" s="1" t="s">
        <v>1183</v>
      </c>
      <c r="B31" s="1">
        <v>181511037</v>
      </c>
      <c r="C31" s="1">
        <v>0</v>
      </c>
      <c r="D31" s="1">
        <v>1</v>
      </c>
      <c r="E31" s="1">
        <v>0</v>
      </c>
      <c r="F31" s="1">
        <v>0</v>
      </c>
      <c r="G31" s="1">
        <v>0</v>
      </c>
      <c r="H31" s="1">
        <v>0</v>
      </c>
      <c r="I31" s="1">
        <v>0</v>
      </c>
      <c r="J31" s="1">
        <v>0</v>
      </c>
      <c r="K31" s="1">
        <v>0</v>
      </c>
      <c r="L31" s="1">
        <v>0</v>
      </c>
      <c r="M31" s="1">
        <v>0</v>
      </c>
      <c r="N31" s="1">
        <v>0</v>
      </c>
      <c r="O31" s="1">
        <v>0</v>
      </c>
      <c r="P31" s="1" t="s">
        <v>712</v>
      </c>
      <c r="Q31" s="1">
        <v>4</v>
      </c>
      <c r="R31" s="1">
        <v>4</v>
      </c>
      <c r="S31" s="1">
        <v>1</v>
      </c>
      <c r="T31" s="1">
        <v>1</v>
      </c>
      <c r="U31" s="1">
        <v>4</v>
      </c>
      <c r="V31" s="1">
        <v>3</v>
      </c>
      <c r="W31" s="1">
        <v>3</v>
      </c>
      <c r="X31" s="1">
        <v>4</v>
      </c>
      <c r="Y31" s="1">
        <v>4</v>
      </c>
      <c r="Z31" s="1">
        <v>3</v>
      </c>
      <c r="AA31" s="1">
        <v>3</v>
      </c>
      <c r="AC31" s="1">
        <v>2</v>
      </c>
      <c r="AE31" s="1">
        <v>7</v>
      </c>
      <c r="AF31" s="3">
        <v>4700000</v>
      </c>
      <c r="AG31" s="1">
        <v>11</v>
      </c>
      <c r="AR31" s="1" t="s">
        <v>130</v>
      </c>
      <c r="BP31" s="1">
        <v>3</v>
      </c>
      <c r="BQ31" s="1" t="s">
        <v>1184</v>
      </c>
      <c r="BR31" s="1" t="s">
        <v>1185</v>
      </c>
      <c r="BS31" s="1" t="s">
        <v>1186</v>
      </c>
      <c r="BT31" s="1" t="s">
        <v>73</v>
      </c>
      <c r="BU31" s="1">
        <v>1</v>
      </c>
      <c r="BV31" s="1">
        <v>2</v>
      </c>
      <c r="BW31" s="1">
        <v>1</v>
      </c>
      <c r="BX31" s="1">
        <v>0</v>
      </c>
      <c r="BY31" s="1">
        <v>0</v>
      </c>
      <c r="BZ31" s="1">
        <v>0</v>
      </c>
      <c r="CA31" s="1">
        <v>0</v>
      </c>
      <c r="CB31" s="1">
        <v>0</v>
      </c>
      <c r="CC31" s="1">
        <v>0</v>
      </c>
      <c r="CD31" s="1">
        <v>0</v>
      </c>
      <c r="CE31" s="1">
        <v>0</v>
      </c>
      <c r="CF31" s="1">
        <v>0</v>
      </c>
      <c r="CG31" s="1">
        <v>0</v>
      </c>
      <c r="CH31" s="1">
        <v>0</v>
      </c>
      <c r="CI31" s="1">
        <v>0</v>
      </c>
      <c r="CJ31" s="1">
        <v>4</v>
      </c>
      <c r="CK31" s="1">
        <v>2</v>
      </c>
      <c r="CL31" s="1">
        <v>3</v>
      </c>
      <c r="CM31" s="1">
        <v>4</v>
      </c>
      <c r="CN31" s="1">
        <v>4</v>
      </c>
      <c r="CO31" s="1">
        <v>4</v>
      </c>
      <c r="CP31" s="1">
        <v>3</v>
      </c>
      <c r="CU31" s="1">
        <v>1</v>
      </c>
    </row>
    <row r="32" spans="1:99" x14ac:dyDescent="0.35">
      <c r="A32" s="1" t="s">
        <v>1187</v>
      </c>
      <c r="B32" s="1">
        <v>181511038</v>
      </c>
      <c r="C32" s="1">
        <v>0</v>
      </c>
      <c r="D32" s="1">
        <v>1</v>
      </c>
      <c r="E32" s="1">
        <v>0</v>
      </c>
      <c r="F32" s="1">
        <v>0</v>
      </c>
      <c r="G32" s="1">
        <v>0</v>
      </c>
      <c r="H32" s="1">
        <v>0</v>
      </c>
      <c r="I32" s="1">
        <v>0</v>
      </c>
      <c r="J32" s="1">
        <v>0</v>
      </c>
      <c r="K32" s="1">
        <v>1</v>
      </c>
      <c r="L32" s="1">
        <v>0</v>
      </c>
      <c r="M32" s="1">
        <v>0</v>
      </c>
      <c r="N32" s="1">
        <v>0</v>
      </c>
      <c r="O32" s="1">
        <v>0</v>
      </c>
      <c r="P32" s="1">
        <v>23</v>
      </c>
      <c r="Q32" s="1">
        <v>11</v>
      </c>
      <c r="R32" s="1">
        <v>7</v>
      </c>
      <c r="S32" s="1">
        <v>1</v>
      </c>
      <c r="T32" s="1">
        <v>4</v>
      </c>
      <c r="U32" s="1">
        <v>4</v>
      </c>
      <c r="V32" s="1">
        <v>4</v>
      </c>
      <c r="W32" s="1">
        <v>4</v>
      </c>
      <c r="X32" s="1">
        <v>4</v>
      </c>
      <c r="Y32" s="1">
        <v>4</v>
      </c>
      <c r="Z32" s="1">
        <v>4</v>
      </c>
      <c r="AA32" s="1">
        <v>4</v>
      </c>
      <c r="AC32" s="1">
        <v>1</v>
      </c>
      <c r="AD32" s="1">
        <v>1</v>
      </c>
      <c r="AF32" s="3">
        <v>6300000</v>
      </c>
      <c r="AG32" s="1">
        <v>11</v>
      </c>
      <c r="AR32" s="1" t="s">
        <v>239</v>
      </c>
      <c r="BP32" s="1">
        <v>3</v>
      </c>
      <c r="BQ32" s="1" t="s">
        <v>1188</v>
      </c>
      <c r="BR32" s="1" t="s">
        <v>1189</v>
      </c>
      <c r="BS32" s="1" t="s">
        <v>1190</v>
      </c>
      <c r="BT32" s="1" t="s">
        <v>79</v>
      </c>
      <c r="BU32" s="1">
        <v>1</v>
      </c>
      <c r="BV32" s="1">
        <v>2</v>
      </c>
      <c r="BW32" s="1">
        <v>1</v>
      </c>
      <c r="BX32" s="1">
        <v>0</v>
      </c>
      <c r="BY32" s="1">
        <v>0</v>
      </c>
      <c r="BZ32" s="1">
        <v>0</v>
      </c>
      <c r="CA32" s="1">
        <v>0</v>
      </c>
      <c r="CB32" s="1">
        <v>0</v>
      </c>
      <c r="CC32" s="1">
        <v>0</v>
      </c>
      <c r="CD32" s="1">
        <v>0</v>
      </c>
      <c r="CE32" s="1">
        <v>0</v>
      </c>
      <c r="CF32" s="1">
        <v>0</v>
      </c>
      <c r="CG32" s="1">
        <v>0</v>
      </c>
      <c r="CH32" s="1">
        <v>0</v>
      </c>
      <c r="CI32" s="1">
        <v>0</v>
      </c>
      <c r="CJ32" s="1">
        <v>4</v>
      </c>
      <c r="CK32" s="1">
        <v>4</v>
      </c>
      <c r="CL32" s="1">
        <v>4</v>
      </c>
      <c r="CM32" s="1">
        <v>4</v>
      </c>
      <c r="CN32" s="1">
        <v>4</v>
      </c>
      <c r="CO32" s="1">
        <v>4</v>
      </c>
      <c r="CP32" s="1">
        <v>4</v>
      </c>
      <c r="CU32" s="1">
        <v>1</v>
      </c>
    </row>
    <row r="33" spans="1:99" x14ac:dyDescent="0.35">
      <c r="A33" s="1" t="s">
        <v>1191</v>
      </c>
      <c r="B33" s="1">
        <v>181511039</v>
      </c>
      <c r="C33" s="1">
        <v>0</v>
      </c>
      <c r="D33" s="1">
        <v>1</v>
      </c>
      <c r="E33" s="1">
        <v>1</v>
      </c>
      <c r="F33" s="1">
        <v>0</v>
      </c>
      <c r="G33" s="1">
        <v>0</v>
      </c>
      <c r="H33" s="1">
        <v>0</v>
      </c>
      <c r="I33" s="1">
        <v>0</v>
      </c>
      <c r="J33" s="1">
        <v>0</v>
      </c>
      <c r="K33" s="1">
        <v>0</v>
      </c>
      <c r="L33" s="1">
        <v>0</v>
      </c>
      <c r="M33" s="1">
        <v>0</v>
      </c>
      <c r="N33" s="1">
        <v>0</v>
      </c>
      <c r="O33" s="1">
        <v>0</v>
      </c>
      <c r="P33" s="1">
        <v>3</v>
      </c>
      <c r="Q33" s="1">
        <v>3</v>
      </c>
      <c r="R33" s="1">
        <v>3</v>
      </c>
      <c r="S33" s="1">
        <v>1</v>
      </c>
      <c r="T33" s="1">
        <v>1</v>
      </c>
      <c r="U33" s="1">
        <v>3</v>
      </c>
      <c r="V33" s="1">
        <v>3</v>
      </c>
      <c r="W33" s="1">
        <v>4</v>
      </c>
      <c r="X33" s="1">
        <v>2</v>
      </c>
      <c r="Y33" s="1">
        <v>2</v>
      </c>
      <c r="Z33" s="1">
        <v>2</v>
      </c>
      <c r="AA33" s="1">
        <v>3</v>
      </c>
      <c r="AC33" s="1">
        <v>1</v>
      </c>
      <c r="AD33" s="1">
        <v>6</v>
      </c>
      <c r="AF33" s="3">
        <v>5000000</v>
      </c>
      <c r="AG33" s="1">
        <v>13</v>
      </c>
      <c r="AT33" s="1" t="s">
        <v>86</v>
      </c>
      <c r="BP33" s="1">
        <v>3</v>
      </c>
      <c r="BQ33" s="1" t="s">
        <v>1174</v>
      </c>
      <c r="BR33" s="1" t="s">
        <v>1033</v>
      </c>
      <c r="BS33" s="1" t="s">
        <v>1192</v>
      </c>
      <c r="BT33" s="1" t="s">
        <v>107</v>
      </c>
      <c r="BU33" s="1">
        <v>1</v>
      </c>
      <c r="BV33" s="1">
        <v>3</v>
      </c>
      <c r="BW33" s="1">
        <v>1</v>
      </c>
      <c r="BX33" s="1">
        <v>0</v>
      </c>
      <c r="BY33" s="1">
        <v>0</v>
      </c>
      <c r="BZ33" s="1">
        <v>0</v>
      </c>
      <c r="CA33" s="1">
        <v>0</v>
      </c>
      <c r="CB33" s="1">
        <v>0</v>
      </c>
      <c r="CC33" s="1">
        <v>0</v>
      </c>
      <c r="CD33" s="1">
        <v>0</v>
      </c>
      <c r="CE33" s="1">
        <v>0</v>
      </c>
      <c r="CF33" s="1">
        <v>0</v>
      </c>
      <c r="CG33" s="1">
        <v>0</v>
      </c>
      <c r="CH33" s="1">
        <v>0</v>
      </c>
      <c r="CI33" s="1">
        <v>0</v>
      </c>
      <c r="CJ33" s="1">
        <v>4</v>
      </c>
      <c r="CK33" s="1">
        <v>4</v>
      </c>
      <c r="CL33" s="1">
        <v>2</v>
      </c>
      <c r="CM33" s="1">
        <v>4</v>
      </c>
      <c r="CN33" s="1">
        <v>4</v>
      </c>
      <c r="CO33" s="1">
        <v>4</v>
      </c>
      <c r="CP33" s="1">
        <v>4</v>
      </c>
      <c r="CU33" s="1">
        <v>1</v>
      </c>
    </row>
    <row r="34" spans="1:99" x14ac:dyDescent="0.35">
      <c r="A34" s="1" t="s">
        <v>1193</v>
      </c>
      <c r="B34" s="1">
        <v>181511040</v>
      </c>
      <c r="C34" s="1">
        <v>0</v>
      </c>
      <c r="D34" s="1">
        <v>1</v>
      </c>
      <c r="E34" s="1">
        <v>0</v>
      </c>
      <c r="F34" s="1">
        <v>0</v>
      </c>
      <c r="G34" s="1">
        <v>0</v>
      </c>
      <c r="H34" s="1">
        <v>0</v>
      </c>
      <c r="I34" s="1">
        <v>0</v>
      </c>
      <c r="J34" s="1">
        <v>0</v>
      </c>
      <c r="K34" s="1">
        <v>0</v>
      </c>
      <c r="L34" s="1">
        <v>0</v>
      </c>
      <c r="M34" s="1">
        <v>0</v>
      </c>
      <c r="N34" s="1">
        <v>0</v>
      </c>
      <c r="O34" s="1">
        <v>0</v>
      </c>
      <c r="P34" s="1">
        <v>3</v>
      </c>
      <c r="Q34" s="1">
        <v>3</v>
      </c>
      <c r="R34" s="1">
        <v>1</v>
      </c>
      <c r="S34" s="1">
        <v>1</v>
      </c>
      <c r="T34" s="1">
        <v>1</v>
      </c>
      <c r="U34" s="1">
        <v>3</v>
      </c>
      <c r="V34" s="1">
        <v>3</v>
      </c>
      <c r="W34" s="1">
        <v>3</v>
      </c>
      <c r="X34" s="1">
        <v>3</v>
      </c>
      <c r="Y34" s="1">
        <v>3</v>
      </c>
      <c r="Z34" s="1">
        <v>3</v>
      </c>
      <c r="AA34" s="1">
        <v>3</v>
      </c>
      <c r="AC34" s="1">
        <v>1</v>
      </c>
      <c r="AD34" s="1">
        <v>1</v>
      </c>
      <c r="AF34" s="3">
        <v>4000000</v>
      </c>
      <c r="AG34" s="1">
        <v>13</v>
      </c>
      <c r="AT34" s="1" t="s">
        <v>86</v>
      </c>
      <c r="BP34" s="1">
        <v>3</v>
      </c>
      <c r="BQ34" s="1" t="s">
        <v>1194</v>
      </c>
      <c r="BR34" s="1" t="s">
        <v>1195</v>
      </c>
      <c r="BT34" s="1" t="s">
        <v>107</v>
      </c>
      <c r="BU34" s="1">
        <v>1</v>
      </c>
      <c r="BV34" s="1">
        <v>2</v>
      </c>
      <c r="BW34" s="1">
        <v>1</v>
      </c>
      <c r="BX34" s="1">
        <v>0</v>
      </c>
      <c r="BY34" s="1">
        <v>0</v>
      </c>
      <c r="BZ34" s="1">
        <v>0</v>
      </c>
      <c r="CA34" s="1">
        <v>0</v>
      </c>
      <c r="CB34" s="1">
        <v>0</v>
      </c>
      <c r="CC34" s="1">
        <v>0</v>
      </c>
      <c r="CD34" s="1">
        <v>0</v>
      </c>
      <c r="CE34" s="1">
        <v>0</v>
      </c>
      <c r="CF34" s="1">
        <v>0</v>
      </c>
      <c r="CG34" s="1">
        <v>0</v>
      </c>
      <c r="CH34" s="1">
        <v>0</v>
      </c>
      <c r="CI34" s="1">
        <v>0</v>
      </c>
      <c r="CJ34" s="1">
        <v>3</v>
      </c>
      <c r="CK34" s="1">
        <v>4</v>
      </c>
      <c r="CL34" s="1">
        <v>3</v>
      </c>
      <c r="CM34" s="1">
        <v>4</v>
      </c>
      <c r="CN34" s="1">
        <v>4</v>
      </c>
      <c r="CO34" s="1">
        <v>4</v>
      </c>
      <c r="CP34" s="1">
        <v>4</v>
      </c>
      <c r="CU34" s="1">
        <v>1</v>
      </c>
    </row>
    <row r="35" spans="1:99" x14ac:dyDescent="0.35">
      <c r="A35" s="1" t="s">
        <v>1196</v>
      </c>
      <c r="B35" s="1">
        <v>181511042</v>
      </c>
      <c r="C35" s="1">
        <v>0</v>
      </c>
      <c r="D35" s="1">
        <v>1</v>
      </c>
      <c r="E35" s="1">
        <v>0</v>
      </c>
      <c r="F35" s="1">
        <v>0</v>
      </c>
      <c r="G35" s="1">
        <v>0</v>
      </c>
      <c r="H35" s="1">
        <v>1</v>
      </c>
      <c r="I35" s="1">
        <v>0</v>
      </c>
      <c r="J35" s="1">
        <v>0</v>
      </c>
      <c r="K35" s="1">
        <v>1</v>
      </c>
      <c r="L35" s="1">
        <v>0</v>
      </c>
      <c r="M35" s="1">
        <v>0</v>
      </c>
      <c r="N35" s="1">
        <v>0</v>
      </c>
      <c r="O35" s="1">
        <v>0</v>
      </c>
      <c r="P35" s="1">
        <v>10</v>
      </c>
      <c r="Q35" s="1">
        <v>4</v>
      </c>
      <c r="R35" s="1">
        <v>2</v>
      </c>
      <c r="S35" s="1">
        <v>1</v>
      </c>
      <c r="T35" s="1">
        <v>1</v>
      </c>
      <c r="U35" s="1">
        <v>3</v>
      </c>
      <c r="V35" s="1">
        <v>3</v>
      </c>
      <c r="W35" s="1">
        <v>2</v>
      </c>
      <c r="X35" s="1">
        <v>2</v>
      </c>
      <c r="Y35" s="1">
        <v>2</v>
      </c>
      <c r="Z35" s="1">
        <v>3</v>
      </c>
      <c r="AA35" s="1">
        <v>3</v>
      </c>
      <c r="AC35" s="1">
        <v>1</v>
      </c>
      <c r="AD35" s="1">
        <v>1</v>
      </c>
      <c r="AF35" s="3">
        <v>5000000</v>
      </c>
      <c r="AG35" s="1">
        <v>13</v>
      </c>
      <c r="AT35" s="1" t="s">
        <v>402</v>
      </c>
      <c r="BP35" s="1">
        <v>3</v>
      </c>
      <c r="BQ35" s="1" t="s">
        <v>1197</v>
      </c>
      <c r="BR35" s="1" t="s">
        <v>1198</v>
      </c>
      <c r="BS35" s="1" t="s">
        <v>1199</v>
      </c>
      <c r="BT35" s="1" t="s">
        <v>107</v>
      </c>
      <c r="BU35" s="1">
        <v>1</v>
      </c>
      <c r="BV35" s="1">
        <v>4</v>
      </c>
      <c r="BW35" s="1">
        <v>1</v>
      </c>
      <c r="BX35" s="1">
        <v>0</v>
      </c>
      <c r="BY35" s="1">
        <v>0</v>
      </c>
      <c r="BZ35" s="1">
        <v>0</v>
      </c>
      <c r="CA35" s="1">
        <v>0</v>
      </c>
      <c r="CB35" s="1">
        <v>0</v>
      </c>
      <c r="CC35" s="1">
        <v>0</v>
      </c>
      <c r="CD35" s="1">
        <v>0</v>
      </c>
      <c r="CE35" s="1">
        <v>0</v>
      </c>
      <c r="CF35" s="1">
        <v>0</v>
      </c>
      <c r="CG35" s="1">
        <v>0</v>
      </c>
      <c r="CH35" s="1">
        <v>0</v>
      </c>
      <c r="CI35" s="1">
        <v>0</v>
      </c>
      <c r="CJ35" s="1">
        <v>3</v>
      </c>
      <c r="CK35" s="1">
        <v>3</v>
      </c>
      <c r="CL35" s="1">
        <v>3</v>
      </c>
      <c r="CM35" s="1">
        <v>3</v>
      </c>
      <c r="CN35" s="1">
        <v>3</v>
      </c>
      <c r="CO35" s="1">
        <v>3</v>
      </c>
      <c r="CP35" s="1">
        <v>3</v>
      </c>
      <c r="CU35" s="1">
        <v>2</v>
      </c>
    </row>
    <row r="36" spans="1:99" x14ac:dyDescent="0.35">
      <c r="A36" s="1" t="s">
        <v>1200</v>
      </c>
      <c r="B36" s="1">
        <v>181511043</v>
      </c>
      <c r="C36" s="1">
        <v>0</v>
      </c>
      <c r="D36" s="1">
        <v>1</v>
      </c>
      <c r="E36" s="1">
        <v>1</v>
      </c>
      <c r="F36" s="1">
        <v>0</v>
      </c>
      <c r="G36" s="1">
        <v>0</v>
      </c>
      <c r="H36" s="1">
        <v>0</v>
      </c>
      <c r="I36" s="1">
        <v>0</v>
      </c>
      <c r="J36" s="1">
        <v>1</v>
      </c>
      <c r="K36" s="1">
        <v>1</v>
      </c>
      <c r="L36" s="1">
        <v>0</v>
      </c>
      <c r="M36" s="1">
        <v>0</v>
      </c>
      <c r="N36" s="1">
        <v>0</v>
      </c>
      <c r="O36" s="1">
        <v>0</v>
      </c>
      <c r="P36" s="1">
        <v>10</v>
      </c>
      <c r="Q36" s="1">
        <v>7</v>
      </c>
      <c r="R36" s="1">
        <v>7</v>
      </c>
      <c r="S36" s="1">
        <v>1</v>
      </c>
      <c r="T36" s="1">
        <v>1</v>
      </c>
      <c r="U36" s="1">
        <v>4</v>
      </c>
      <c r="V36" s="1">
        <v>3</v>
      </c>
      <c r="W36" s="1">
        <v>3</v>
      </c>
      <c r="X36" s="1">
        <v>4</v>
      </c>
      <c r="Y36" s="1">
        <v>4</v>
      </c>
      <c r="Z36" s="1">
        <v>4</v>
      </c>
      <c r="AA36" s="1">
        <v>4</v>
      </c>
      <c r="AC36" s="1">
        <v>2</v>
      </c>
      <c r="AE36" s="1">
        <v>1</v>
      </c>
      <c r="AF36" s="3">
        <v>7000000</v>
      </c>
      <c r="AG36" s="1">
        <v>13</v>
      </c>
      <c r="AT36" s="1" t="s">
        <v>93</v>
      </c>
      <c r="BP36" s="1">
        <v>3</v>
      </c>
      <c r="BQ36" s="1" t="s">
        <v>1201</v>
      </c>
      <c r="BR36" s="1" t="s">
        <v>1202</v>
      </c>
      <c r="BS36" s="1" t="s">
        <v>1203</v>
      </c>
      <c r="BT36" s="1" t="s">
        <v>107</v>
      </c>
      <c r="BU36" s="1">
        <v>1</v>
      </c>
      <c r="BV36" s="1">
        <v>4</v>
      </c>
      <c r="BW36" s="1">
        <v>1</v>
      </c>
      <c r="BX36" s="1">
        <v>0</v>
      </c>
      <c r="BY36" s="1">
        <v>0</v>
      </c>
      <c r="BZ36" s="1">
        <v>0</v>
      </c>
      <c r="CA36" s="1">
        <v>0</v>
      </c>
      <c r="CB36" s="1">
        <v>0</v>
      </c>
      <c r="CC36" s="1">
        <v>0</v>
      </c>
      <c r="CD36" s="1">
        <v>0</v>
      </c>
      <c r="CE36" s="1">
        <v>0</v>
      </c>
      <c r="CF36" s="1">
        <v>0</v>
      </c>
      <c r="CG36" s="1">
        <v>0</v>
      </c>
      <c r="CH36" s="1">
        <v>0</v>
      </c>
      <c r="CI36" s="1">
        <v>0</v>
      </c>
      <c r="CJ36" s="1">
        <v>4</v>
      </c>
      <c r="CK36" s="1">
        <v>4</v>
      </c>
      <c r="CL36" s="1">
        <v>3</v>
      </c>
      <c r="CM36" s="1">
        <v>4</v>
      </c>
      <c r="CN36" s="1">
        <v>4</v>
      </c>
      <c r="CO36" s="1">
        <v>4</v>
      </c>
      <c r="CP36" s="1">
        <v>4</v>
      </c>
      <c r="CU36" s="1">
        <v>1</v>
      </c>
    </row>
    <row r="37" spans="1:99" x14ac:dyDescent="0.35">
      <c r="A37" s="1" t="s">
        <v>1204</v>
      </c>
      <c r="B37" s="1">
        <v>181511044</v>
      </c>
      <c r="C37" s="1">
        <v>0</v>
      </c>
      <c r="D37" s="1">
        <v>1</v>
      </c>
      <c r="E37" s="1">
        <v>0</v>
      </c>
      <c r="F37" s="1">
        <v>0</v>
      </c>
      <c r="G37" s="1">
        <v>0</v>
      </c>
      <c r="H37" s="1">
        <v>0</v>
      </c>
      <c r="I37" s="1">
        <v>0</v>
      </c>
      <c r="J37" s="1">
        <v>0</v>
      </c>
      <c r="K37" s="1">
        <v>0</v>
      </c>
      <c r="L37" s="1">
        <v>0</v>
      </c>
      <c r="M37" s="1">
        <v>0</v>
      </c>
      <c r="N37" s="1">
        <v>0</v>
      </c>
      <c r="O37" s="1">
        <v>0</v>
      </c>
      <c r="P37" s="1">
        <v>4</v>
      </c>
      <c r="Q37" s="1">
        <v>2</v>
      </c>
      <c r="R37" s="1">
        <v>2</v>
      </c>
      <c r="S37" s="1">
        <v>1</v>
      </c>
      <c r="T37" s="1">
        <v>1</v>
      </c>
      <c r="U37" s="1">
        <v>3</v>
      </c>
      <c r="V37" s="1">
        <v>3</v>
      </c>
      <c r="W37" s="1">
        <v>4</v>
      </c>
      <c r="X37" s="1">
        <v>4</v>
      </c>
      <c r="Y37" s="1">
        <v>3</v>
      </c>
      <c r="Z37" s="1">
        <v>3</v>
      </c>
      <c r="AA37" s="1">
        <v>3</v>
      </c>
      <c r="AC37" s="1">
        <v>1</v>
      </c>
      <c r="AD37" s="1">
        <v>0</v>
      </c>
      <c r="AF37" s="3">
        <v>6500000</v>
      </c>
      <c r="AG37" s="1">
        <v>12</v>
      </c>
      <c r="AS37" s="1" t="s">
        <v>69</v>
      </c>
      <c r="BP37" s="1">
        <v>3</v>
      </c>
      <c r="BQ37" s="1" t="s">
        <v>1205</v>
      </c>
      <c r="BR37" s="1" t="s">
        <v>1206</v>
      </c>
      <c r="BS37" s="1" t="s">
        <v>1207</v>
      </c>
      <c r="BT37" s="1" t="s">
        <v>79</v>
      </c>
      <c r="BU37" s="1">
        <v>1</v>
      </c>
      <c r="BV37" s="1">
        <v>2</v>
      </c>
      <c r="BW37" s="1">
        <v>1</v>
      </c>
      <c r="BX37" s="1">
        <v>0</v>
      </c>
      <c r="BY37" s="1">
        <v>0</v>
      </c>
      <c r="BZ37" s="1">
        <v>0</v>
      </c>
      <c r="CA37" s="1">
        <v>0</v>
      </c>
      <c r="CB37" s="1">
        <v>0</v>
      </c>
      <c r="CC37" s="1">
        <v>0</v>
      </c>
      <c r="CD37" s="1">
        <v>0</v>
      </c>
      <c r="CE37" s="1">
        <v>0</v>
      </c>
      <c r="CF37" s="1">
        <v>0</v>
      </c>
      <c r="CG37" s="1">
        <v>0</v>
      </c>
      <c r="CH37" s="1">
        <v>0</v>
      </c>
      <c r="CI37" s="1">
        <v>0</v>
      </c>
      <c r="CJ37" s="1">
        <v>3</v>
      </c>
      <c r="CK37" s="1">
        <v>4</v>
      </c>
      <c r="CL37" s="1">
        <v>4</v>
      </c>
      <c r="CM37" s="1">
        <v>4</v>
      </c>
      <c r="CN37" s="1">
        <v>4</v>
      </c>
      <c r="CO37" s="1">
        <v>4</v>
      </c>
      <c r="CP37" s="1">
        <v>3</v>
      </c>
      <c r="CU37" s="1">
        <v>1</v>
      </c>
    </row>
    <row r="38" spans="1:99" x14ac:dyDescent="0.35">
      <c r="A38" s="1" t="s">
        <v>1208</v>
      </c>
      <c r="B38" s="1">
        <v>181511045</v>
      </c>
      <c r="C38" s="1">
        <v>0</v>
      </c>
      <c r="D38" s="1">
        <v>1</v>
      </c>
      <c r="E38" s="1">
        <v>0</v>
      </c>
      <c r="F38" s="1">
        <v>0</v>
      </c>
      <c r="G38" s="1">
        <v>0</v>
      </c>
      <c r="H38" s="1">
        <v>0</v>
      </c>
      <c r="I38" s="1">
        <v>0</v>
      </c>
      <c r="J38" s="1">
        <v>0</v>
      </c>
      <c r="K38" s="1">
        <v>1</v>
      </c>
      <c r="L38" s="1">
        <v>0</v>
      </c>
      <c r="M38" s="1">
        <v>1</v>
      </c>
      <c r="N38" s="1">
        <v>1</v>
      </c>
      <c r="O38" s="1">
        <v>0</v>
      </c>
      <c r="P38" s="1" t="s">
        <v>1209</v>
      </c>
      <c r="Q38" s="1">
        <f>+- 8</f>
        <v>-8</v>
      </c>
      <c r="R38" s="1">
        <v>3</v>
      </c>
      <c r="S38" s="1">
        <v>1</v>
      </c>
      <c r="T38" s="1">
        <v>1</v>
      </c>
      <c r="U38" s="1">
        <v>3</v>
      </c>
      <c r="V38" s="1">
        <v>3</v>
      </c>
      <c r="W38" s="1">
        <v>3</v>
      </c>
      <c r="X38" s="1">
        <v>3</v>
      </c>
      <c r="Y38" s="1">
        <v>3</v>
      </c>
      <c r="Z38" s="1">
        <v>4</v>
      </c>
      <c r="AA38" s="1">
        <v>4</v>
      </c>
      <c r="AC38" s="1">
        <v>2</v>
      </c>
      <c r="AE38" s="1">
        <v>10</v>
      </c>
      <c r="AF38" s="3">
        <v>6500000</v>
      </c>
      <c r="AG38" s="1">
        <v>11</v>
      </c>
      <c r="AR38" s="1" t="s">
        <v>118</v>
      </c>
      <c r="BP38" s="1">
        <v>3</v>
      </c>
      <c r="BQ38" s="1" t="s">
        <v>1210</v>
      </c>
      <c r="BT38" s="1" t="s">
        <v>79</v>
      </c>
      <c r="BU38" s="1">
        <v>1</v>
      </c>
      <c r="BV38" s="1">
        <v>1</v>
      </c>
      <c r="BW38" s="1">
        <v>1</v>
      </c>
      <c r="BX38" s="1">
        <v>0</v>
      </c>
      <c r="BY38" s="1">
        <v>0</v>
      </c>
      <c r="BZ38" s="1">
        <v>0</v>
      </c>
      <c r="CA38" s="1">
        <v>0</v>
      </c>
      <c r="CB38" s="1">
        <v>0</v>
      </c>
      <c r="CC38" s="1">
        <v>0</v>
      </c>
      <c r="CD38" s="1">
        <v>0</v>
      </c>
      <c r="CE38" s="1">
        <v>0</v>
      </c>
      <c r="CF38" s="1">
        <v>0</v>
      </c>
      <c r="CG38" s="1">
        <v>0</v>
      </c>
      <c r="CH38" s="1">
        <v>0</v>
      </c>
      <c r="CI38" s="1">
        <v>0</v>
      </c>
      <c r="CJ38" s="1">
        <v>4</v>
      </c>
      <c r="CK38" s="1">
        <v>4</v>
      </c>
      <c r="CL38" s="1">
        <v>4</v>
      </c>
      <c r="CM38" s="1">
        <v>4</v>
      </c>
      <c r="CN38" s="1">
        <v>4</v>
      </c>
      <c r="CO38" s="1">
        <v>4</v>
      </c>
      <c r="CP38" s="1">
        <v>4</v>
      </c>
      <c r="CU38" s="1">
        <v>4</v>
      </c>
    </row>
    <row r="39" spans="1:99" x14ac:dyDescent="0.35">
      <c r="A39" s="1" t="s">
        <v>1211</v>
      </c>
      <c r="B39" s="1">
        <v>181511046</v>
      </c>
      <c r="C39" s="1">
        <v>0</v>
      </c>
      <c r="D39" s="1">
        <v>1</v>
      </c>
      <c r="E39" s="1">
        <v>0</v>
      </c>
      <c r="F39" s="1">
        <v>0</v>
      </c>
      <c r="G39" s="1">
        <v>0</v>
      </c>
      <c r="H39" s="1">
        <v>0</v>
      </c>
      <c r="I39" s="1">
        <v>0</v>
      </c>
      <c r="J39" s="1">
        <v>0</v>
      </c>
      <c r="K39" s="1">
        <v>0</v>
      </c>
      <c r="L39" s="1">
        <v>0</v>
      </c>
      <c r="M39" s="1">
        <v>1</v>
      </c>
      <c r="N39" s="1">
        <v>0</v>
      </c>
      <c r="O39" s="1">
        <v>0</v>
      </c>
      <c r="P39" s="1">
        <v>2</v>
      </c>
      <c r="Q39" s="1">
        <v>2</v>
      </c>
      <c r="R39" s="1">
        <v>2</v>
      </c>
      <c r="S39" s="1">
        <v>1</v>
      </c>
      <c r="T39" s="1">
        <v>1</v>
      </c>
      <c r="U39" s="1">
        <v>4</v>
      </c>
      <c r="V39" s="1">
        <v>4</v>
      </c>
      <c r="W39" s="1">
        <v>2</v>
      </c>
      <c r="X39" s="1">
        <v>4</v>
      </c>
      <c r="Y39" s="1">
        <v>3</v>
      </c>
      <c r="Z39" s="1">
        <v>4</v>
      </c>
      <c r="AA39" s="1">
        <v>4</v>
      </c>
      <c r="AC39" s="1">
        <v>1</v>
      </c>
      <c r="AD39" s="1">
        <v>1</v>
      </c>
      <c r="AF39" s="3">
        <v>4000000</v>
      </c>
      <c r="AG39" s="1">
        <v>13</v>
      </c>
      <c r="AT39" s="1" t="s">
        <v>86</v>
      </c>
      <c r="BP39" s="1">
        <v>3</v>
      </c>
      <c r="BQ39" s="1" t="s">
        <v>1170</v>
      </c>
      <c r="BR39" s="1" t="s">
        <v>1212</v>
      </c>
      <c r="BS39" s="1" t="s">
        <v>1213</v>
      </c>
      <c r="BT39" s="1" t="s">
        <v>107</v>
      </c>
      <c r="BU39" s="1">
        <v>1</v>
      </c>
      <c r="BV39" s="1">
        <v>2</v>
      </c>
      <c r="BW39" s="1">
        <v>1</v>
      </c>
      <c r="BX39" s="1">
        <v>0</v>
      </c>
      <c r="BY39" s="1">
        <v>0</v>
      </c>
      <c r="BZ39" s="1">
        <v>0</v>
      </c>
      <c r="CA39" s="1">
        <v>0</v>
      </c>
      <c r="CB39" s="1">
        <v>0</v>
      </c>
      <c r="CC39" s="1">
        <v>0</v>
      </c>
      <c r="CD39" s="1">
        <v>0</v>
      </c>
      <c r="CE39" s="1">
        <v>0</v>
      </c>
      <c r="CF39" s="1">
        <v>0</v>
      </c>
      <c r="CG39" s="1">
        <v>0</v>
      </c>
      <c r="CH39" s="1">
        <v>0</v>
      </c>
      <c r="CI39" s="1">
        <v>0</v>
      </c>
      <c r="CJ39" s="1">
        <v>4</v>
      </c>
      <c r="CK39" s="1">
        <v>4</v>
      </c>
      <c r="CL39" s="1">
        <v>4</v>
      </c>
      <c r="CM39" s="1">
        <v>4</v>
      </c>
      <c r="CN39" s="1">
        <v>4</v>
      </c>
      <c r="CO39" s="1">
        <v>4</v>
      </c>
      <c r="CP39" s="1">
        <v>4</v>
      </c>
      <c r="CU39" s="1">
        <v>1</v>
      </c>
    </row>
    <row r="40" spans="1:99" x14ac:dyDescent="0.35">
      <c r="A40" s="1" t="s">
        <v>1214</v>
      </c>
      <c r="B40" s="1">
        <v>181511047</v>
      </c>
      <c r="S40" s="1">
        <v>1</v>
      </c>
      <c r="T40" s="1">
        <v>3</v>
      </c>
      <c r="U40" s="1">
        <v>3</v>
      </c>
      <c r="V40" s="1">
        <v>3</v>
      </c>
      <c r="W40" s="1">
        <v>3</v>
      </c>
      <c r="X40" s="1">
        <v>3</v>
      </c>
      <c r="Y40" s="1">
        <v>3</v>
      </c>
      <c r="Z40" s="1">
        <v>3</v>
      </c>
      <c r="AA40" s="1">
        <v>3</v>
      </c>
      <c r="AC40" s="1">
        <v>1</v>
      </c>
      <c r="AD40" s="1">
        <v>0</v>
      </c>
      <c r="AF40" s="3">
        <v>5500000</v>
      </c>
      <c r="AG40" s="1">
        <v>13</v>
      </c>
      <c r="AT40" s="1" t="s">
        <v>86</v>
      </c>
      <c r="BP40" s="1">
        <v>3</v>
      </c>
      <c r="BQ40" s="1" t="s">
        <v>1215</v>
      </c>
      <c r="BR40" s="1" t="s">
        <v>1216</v>
      </c>
      <c r="BT40" s="1" t="s">
        <v>73</v>
      </c>
      <c r="BU40" s="1">
        <v>1</v>
      </c>
      <c r="BV40" s="1">
        <v>1</v>
      </c>
      <c r="BW40" s="1">
        <v>0</v>
      </c>
      <c r="BX40" s="1">
        <v>0</v>
      </c>
      <c r="BY40" s="1">
        <v>0</v>
      </c>
      <c r="BZ40" s="1">
        <v>0</v>
      </c>
      <c r="CA40" s="1">
        <v>0</v>
      </c>
      <c r="CB40" s="1">
        <v>0</v>
      </c>
      <c r="CC40" s="1">
        <v>0</v>
      </c>
      <c r="CD40" s="1">
        <v>0</v>
      </c>
      <c r="CE40" s="1">
        <v>0</v>
      </c>
      <c r="CF40" s="1">
        <v>0</v>
      </c>
      <c r="CG40" s="1">
        <v>0</v>
      </c>
      <c r="CH40" s="1">
        <v>0</v>
      </c>
      <c r="CI40" s="1" t="s">
        <v>78</v>
      </c>
      <c r="CJ40" s="1">
        <v>3</v>
      </c>
      <c r="CK40" s="1">
        <v>3</v>
      </c>
      <c r="CL40" s="1">
        <v>3</v>
      </c>
      <c r="CM40" s="1">
        <v>3</v>
      </c>
      <c r="CN40" s="1">
        <v>3</v>
      </c>
      <c r="CO40" s="1">
        <v>3</v>
      </c>
      <c r="CP40" s="1">
        <v>3</v>
      </c>
      <c r="CU40" s="1">
        <v>1</v>
      </c>
    </row>
    <row r="41" spans="1:99" x14ac:dyDescent="0.35">
      <c r="A41" s="1" t="s">
        <v>1217</v>
      </c>
      <c r="B41" s="1">
        <v>181511048</v>
      </c>
      <c r="C41" s="1">
        <v>0</v>
      </c>
      <c r="D41" s="1">
        <v>0</v>
      </c>
      <c r="E41" s="1">
        <v>0</v>
      </c>
      <c r="F41" s="1">
        <v>0</v>
      </c>
      <c r="G41" s="1">
        <v>0</v>
      </c>
      <c r="H41" s="1">
        <v>1</v>
      </c>
      <c r="I41" s="1">
        <v>0</v>
      </c>
      <c r="J41" s="1">
        <v>0</v>
      </c>
      <c r="K41" s="1">
        <v>0</v>
      </c>
      <c r="L41" s="1">
        <v>0</v>
      </c>
      <c r="M41" s="1">
        <v>0</v>
      </c>
      <c r="N41" s="1">
        <v>0</v>
      </c>
      <c r="O41" s="1">
        <v>0</v>
      </c>
      <c r="P41" s="1">
        <v>10</v>
      </c>
      <c r="Q41" s="1">
        <v>4</v>
      </c>
      <c r="R41" s="1">
        <v>2</v>
      </c>
      <c r="S41" s="1">
        <v>1</v>
      </c>
      <c r="T41" s="1">
        <v>1</v>
      </c>
      <c r="U41" s="1">
        <v>3</v>
      </c>
      <c r="V41" s="1">
        <v>3</v>
      </c>
      <c r="W41" s="1">
        <v>2</v>
      </c>
      <c r="X41" s="1">
        <v>4</v>
      </c>
      <c r="Y41" s="1">
        <v>2</v>
      </c>
      <c r="Z41" s="1">
        <v>3</v>
      </c>
      <c r="AA41" s="1">
        <v>4</v>
      </c>
      <c r="AC41" s="1">
        <v>1</v>
      </c>
      <c r="AD41" s="1">
        <v>1</v>
      </c>
      <c r="AF41" s="3">
        <v>4000000</v>
      </c>
      <c r="AG41" s="1">
        <v>13</v>
      </c>
      <c r="AT41" s="1" t="s">
        <v>93</v>
      </c>
      <c r="BP41" s="1">
        <v>3</v>
      </c>
      <c r="BQ41" s="1" t="s">
        <v>1218</v>
      </c>
      <c r="BR41" s="1" t="s">
        <v>1219</v>
      </c>
      <c r="BS41" s="1" t="s">
        <v>1220</v>
      </c>
      <c r="BT41" s="1" t="s">
        <v>107</v>
      </c>
      <c r="BU41" s="1">
        <v>1</v>
      </c>
      <c r="BV41" s="1">
        <v>2</v>
      </c>
      <c r="BW41" s="1">
        <v>1</v>
      </c>
      <c r="BX41" s="1">
        <v>0</v>
      </c>
      <c r="BY41" s="1">
        <v>0</v>
      </c>
      <c r="BZ41" s="1">
        <v>0</v>
      </c>
      <c r="CA41" s="1">
        <v>0</v>
      </c>
      <c r="CB41" s="1">
        <v>0</v>
      </c>
      <c r="CC41" s="1">
        <v>1</v>
      </c>
      <c r="CD41" s="1">
        <v>0</v>
      </c>
      <c r="CE41" s="1">
        <v>0</v>
      </c>
      <c r="CF41" s="1">
        <v>0</v>
      </c>
      <c r="CG41" s="1">
        <v>0</v>
      </c>
      <c r="CH41" s="1">
        <v>0</v>
      </c>
      <c r="CI41" s="1">
        <v>0</v>
      </c>
      <c r="CJ41" s="1">
        <v>3</v>
      </c>
      <c r="CK41" s="1">
        <v>4</v>
      </c>
      <c r="CL41" s="1">
        <v>2</v>
      </c>
      <c r="CM41" s="1">
        <v>4</v>
      </c>
      <c r="CN41" s="1">
        <v>4</v>
      </c>
      <c r="CO41" s="1">
        <v>4</v>
      </c>
      <c r="CP41" s="1">
        <v>4</v>
      </c>
      <c r="CU41" s="1">
        <v>1</v>
      </c>
    </row>
    <row r="42" spans="1:99" x14ac:dyDescent="0.35">
      <c r="A42" s="1" t="s">
        <v>1221</v>
      </c>
      <c r="B42" s="1">
        <v>181511049</v>
      </c>
      <c r="C42" s="1">
        <v>0</v>
      </c>
      <c r="D42" s="1">
        <v>1</v>
      </c>
      <c r="E42" s="1">
        <v>0</v>
      </c>
      <c r="F42" s="1">
        <v>0</v>
      </c>
      <c r="G42" s="1">
        <v>0</v>
      </c>
      <c r="H42" s="1">
        <v>0</v>
      </c>
      <c r="I42" s="1">
        <v>0</v>
      </c>
      <c r="J42" s="1">
        <v>0</v>
      </c>
      <c r="K42" s="1">
        <v>0</v>
      </c>
      <c r="L42" s="1">
        <v>0</v>
      </c>
      <c r="M42" s="1">
        <v>0</v>
      </c>
      <c r="N42" s="1">
        <v>0</v>
      </c>
      <c r="O42" s="1">
        <v>0</v>
      </c>
      <c r="P42" s="1">
        <v>16</v>
      </c>
      <c r="Q42" s="1">
        <v>8</v>
      </c>
      <c r="R42" s="1">
        <v>8</v>
      </c>
      <c r="S42" s="1">
        <v>1</v>
      </c>
      <c r="T42" s="1">
        <v>1</v>
      </c>
      <c r="U42" s="1">
        <v>4</v>
      </c>
      <c r="V42" s="1">
        <v>3</v>
      </c>
      <c r="W42" s="1">
        <v>3</v>
      </c>
      <c r="X42" s="1">
        <v>3</v>
      </c>
      <c r="Y42" s="1">
        <v>4</v>
      </c>
      <c r="Z42" s="1">
        <v>4</v>
      </c>
      <c r="AA42" s="1">
        <v>4</v>
      </c>
      <c r="AC42" s="1">
        <v>2</v>
      </c>
      <c r="AE42" s="1">
        <v>2</v>
      </c>
      <c r="AF42" s="3">
        <v>6991519</v>
      </c>
      <c r="AG42" s="1">
        <v>11</v>
      </c>
      <c r="AR42" s="1" t="s">
        <v>130</v>
      </c>
      <c r="BP42" s="1">
        <v>3</v>
      </c>
      <c r="BQ42" s="1" t="s">
        <v>1222</v>
      </c>
      <c r="BR42" s="1" t="s">
        <v>1223</v>
      </c>
      <c r="BS42" s="1" t="s">
        <v>1224</v>
      </c>
      <c r="BT42" s="1" t="s">
        <v>79</v>
      </c>
      <c r="BU42" s="1">
        <v>1</v>
      </c>
      <c r="BV42" s="1">
        <v>2</v>
      </c>
      <c r="BW42" s="1">
        <v>1</v>
      </c>
      <c r="BX42" s="1">
        <v>0</v>
      </c>
      <c r="BY42" s="1">
        <v>0</v>
      </c>
      <c r="BZ42" s="1">
        <v>0</v>
      </c>
      <c r="CA42" s="1">
        <v>0</v>
      </c>
      <c r="CB42" s="1">
        <v>0</v>
      </c>
      <c r="CC42" s="1">
        <v>0</v>
      </c>
      <c r="CD42" s="1">
        <v>0</v>
      </c>
      <c r="CE42" s="1">
        <v>0</v>
      </c>
      <c r="CF42" s="1">
        <v>0</v>
      </c>
      <c r="CG42" s="1">
        <v>0</v>
      </c>
      <c r="CH42" s="1">
        <v>0</v>
      </c>
      <c r="CI42" s="1">
        <v>0</v>
      </c>
      <c r="CJ42" s="1">
        <v>4</v>
      </c>
      <c r="CK42" s="1">
        <v>3</v>
      </c>
      <c r="CL42" s="1">
        <v>3</v>
      </c>
      <c r="CM42" s="1">
        <v>3</v>
      </c>
      <c r="CN42" s="1">
        <v>4</v>
      </c>
      <c r="CO42" s="1">
        <v>4</v>
      </c>
      <c r="CP42" s="1">
        <v>4</v>
      </c>
      <c r="CU42" s="1">
        <v>1</v>
      </c>
    </row>
    <row r="43" spans="1:99" x14ac:dyDescent="0.35">
      <c r="A43" s="1" t="s">
        <v>1225</v>
      </c>
      <c r="B43" s="1">
        <v>181511050</v>
      </c>
      <c r="C43" s="1">
        <v>0</v>
      </c>
      <c r="D43" s="1">
        <v>0</v>
      </c>
      <c r="E43" s="1">
        <v>0</v>
      </c>
      <c r="F43" s="1">
        <v>0</v>
      </c>
      <c r="G43" s="1">
        <v>0</v>
      </c>
      <c r="H43" s="1">
        <v>0</v>
      </c>
      <c r="I43" s="1">
        <v>0</v>
      </c>
      <c r="J43" s="1">
        <v>0</v>
      </c>
      <c r="K43" s="1">
        <v>0</v>
      </c>
      <c r="L43" s="1">
        <v>0</v>
      </c>
      <c r="M43" s="1">
        <v>1</v>
      </c>
      <c r="N43" s="1">
        <v>0</v>
      </c>
      <c r="O43" s="1">
        <v>0</v>
      </c>
      <c r="P43" s="1" t="s">
        <v>78</v>
      </c>
      <c r="Q43" s="1" t="s">
        <v>78</v>
      </c>
      <c r="R43" s="1" t="s">
        <v>78</v>
      </c>
      <c r="S43" s="1">
        <v>1</v>
      </c>
      <c r="T43" s="1">
        <v>1</v>
      </c>
      <c r="U43" s="1">
        <v>3</v>
      </c>
      <c r="V43" s="1">
        <v>3</v>
      </c>
      <c r="W43" s="1">
        <v>3</v>
      </c>
      <c r="X43" s="1">
        <v>3</v>
      </c>
      <c r="Y43" s="1">
        <v>3</v>
      </c>
      <c r="Z43" s="1">
        <v>3</v>
      </c>
      <c r="AA43" s="1">
        <v>3</v>
      </c>
      <c r="AC43" s="1">
        <v>1</v>
      </c>
      <c r="AD43" s="1">
        <v>6</v>
      </c>
      <c r="AF43" s="1">
        <v>0</v>
      </c>
      <c r="AG43" s="1">
        <v>13</v>
      </c>
      <c r="AT43" s="1" t="s">
        <v>86</v>
      </c>
      <c r="BP43" s="1">
        <v>3</v>
      </c>
      <c r="BQ43" s="1" t="s">
        <v>1226</v>
      </c>
      <c r="BT43" s="1" t="s">
        <v>73</v>
      </c>
      <c r="BU43" s="1">
        <v>2</v>
      </c>
      <c r="BV43" s="1">
        <v>2</v>
      </c>
      <c r="BW43" s="1">
        <v>0</v>
      </c>
      <c r="BX43" s="1">
        <v>0</v>
      </c>
      <c r="BY43" s="1">
        <v>0</v>
      </c>
      <c r="BZ43" s="1">
        <v>0</v>
      </c>
      <c r="CA43" s="1">
        <v>0</v>
      </c>
      <c r="CB43" s="1">
        <v>0</v>
      </c>
      <c r="CC43" s="1">
        <v>0</v>
      </c>
      <c r="CD43" s="1">
        <v>0</v>
      </c>
      <c r="CE43" s="1">
        <v>0</v>
      </c>
      <c r="CF43" s="1">
        <v>0</v>
      </c>
      <c r="CG43" s="1">
        <v>0</v>
      </c>
      <c r="CH43" s="1">
        <v>0</v>
      </c>
      <c r="CI43" s="1" t="s">
        <v>78</v>
      </c>
      <c r="CJ43" s="1">
        <v>4</v>
      </c>
      <c r="CK43" s="1">
        <v>4</v>
      </c>
      <c r="CL43" s="1">
        <v>4</v>
      </c>
      <c r="CM43" s="1">
        <v>4</v>
      </c>
      <c r="CN43" s="1">
        <v>4</v>
      </c>
      <c r="CO43" s="1">
        <v>4</v>
      </c>
      <c r="CP43" s="1">
        <v>4</v>
      </c>
      <c r="CU43" s="1">
        <v>1</v>
      </c>
    </row>
    <row r="44" spans="1:99" x14ac:dyDescent="0.35">
      <c r="A44" s="1" t="s">
        <v>1227</v>
      </c>
      <c r="B44" s="1">
        <v>181511051</v>
      </c>
      <c r="S44" s="1">
        <v>4</v>
      </c>
      <c r="T44" s="1">
        <v>1</v>
      </c>
      <c r="U44" s="1">
        <v>4</v>
      </c>
      <c r="V44" s="1">
        <v>3</v>
      </c>
      <c r="W44" s="1">
        <v>3</v>
      </c>
      <c r="X44" s="1">
        <v>4</v>
      </c>
      <c r="Y44" s="1">
        <v>2</v>
      </c>
      <c r="Z44" s="1">
        <v>4</v>
      </c>
      <c r="AA44" s="1">
        <v>4</v>
      </c>
      <c r="CQ44" s="1">
        <v>1</v>
      </c>
      <c r="CR44" s="1" t="s">
        <v>1228</v>
      </c>
      <c r="CS44" s="1" t="s">
        <v>1156</v>
      </c>
      <c r="CT44" s="5">
        <v>44809</v>
      </c>
      <c r="CU44" s="1">
        <v>1</v>
      </c>
    </row>
    <row r="45" spans="1:99" x14ac:dyDescent="0.35">
      <c r="A45" s="1" t="s">
        <v>1229</v>
      </c>
      <c r="B45" s="1">
        <v>181511052</v>
      </c>
      <c r="C45" s="1">
        <v>0</v>
      </c>
      <c r="D45" s="1">
        <v>0</v>
      </c>
      <c r="E45" s="1">
        <v>0</v>
      </c>
      <c r="F45" s="1">
        <v>0</v>
      </c>
      <c r="G45" s="1">
        <v>0</v>
      </c>
      <c r="H45" s="1">
        <v>0</v>
      </c>
      <c r="I45" s="1">
        <v>1</v>
      </c>
      <c r="J45" s="1">
        <v>0</v>
      </c>
      <c r="K45" s="1">
        <v>1</v>
      </c>
      <c r="L45" s="1">
        <v>0</v>
      </c>
      <c r="M45" s="1">
        <v>1</v>
      </c>
      <c r="N45" s="1">
        <v>0</v>
      </c>
      <c r="O45" s="1">
        <v>0</v>
      </c>
      <c r="P45" s="1">
        <v>0</v>
      </c>
      <c r="Q45" s="1">
        <v>1</v>
      </c>
      <c r="R45" s="1">
        <v>1</v>
      </c>
      <c r="S45" s="1">
        <v>1</v>
      </c>
      <c r="T45" s="1">
        <v>1</v>
      </c>
      <c r="U45" s="1">
        <v>3</v>
      </c>
      <c r="V45" s="1">
        <v>2</v>
      </c>
      <c r="W45" s="1">
        <v>3</v>
      </c>
      <c r="X45" s="1">
        <v>3</v>
      </c>
      <c r="Y45" s="1">
        <v>2</v>
      </c>
      <c r="Z45" s="1">
        <v>2</v>
      </c>
      <c r="AA45" s="1">
        <v>3</v>
      </c>
      <c r="AC45" s="1">
        <v>1</v>
      </c>
      <c r="AD45" s="1">
        <v>1</v>
      </c>
      <c r="AF45" s="3">
        <v>4000000</v>
      </c>
      <c r="AG45" s="1">
        <v>13</v>
      </c>
      <c r="AT45" s="1" t="s">
        <v>86</v>
      </c>
      <c r="BP45" s="1">
        <v>6</v>
      </c>
      <c r="BQ45" s="1" t="s">
        <v>1230</v>
      </c>
      <c r="BR45" s="1" t="s">
        <v>1231</v>
      </c>
      <c r="BS45" s="1" t="s">
        <v>1168</v>
      </c>
      <c r="BT45" s="1" t="s">
        <v>79</v>
      </c>
      <c r="BU45" s="1">
        <v>2</v>
      </c>
      <c r="BV45" s="1">
        <v>2</v>
      </c>
      <c r="BW45" s="1">
        <v>1</v>
      </c>
      <c r="BX45" s="1">
        <v>0</v>
      </c>
      <c r="BY45" s="1">
        <v>0</v>
      </c>
      <c r="BZ45" s="1">
        <v>0</v>
      </c>
      <c r="CA45" s="1">
        <v>0</v>
      </c>
      <c r="CB45" s="1">
        <v>0</v>
      </c>
      <c r="CC45" s="1">
        <v>0</v>
      </c>
      <c r="CD45" s="1">
        <v>0</v>
      </c>
      <c r="CE45" s="1">
        <v>0</v>
      </c>
      <c r="CF45" s="1">
        <v>0</v>
      </c>
      <c r="CG45" s="1">
        <v>0</v>
      </c>
      <c r="CH45" s="1">
        <v>0</v>
      </c>
      <c r="CI45" s="1">
        <v>0</v>
      </c>
      <c r="CJ45" s="1">
        <v>4</v>
      </c>
      <c r="CK45" s="1">
        <v>4</v>
      </c>
      <c r="CL45" s="1">
        <v>4</v>
      </c>
      <c r="CM45" s="1">
        <v>4</v>
      </c>
      <c r="CN45" s="1">
        <v>3</v>
      </c>
      <c r="CO45" s="1">
        <v>3</v>
      </c>
      <c r="CP45" s="1">
        <v>4</v>
      </c>
      <c r="CU45" s="1">
        <v>1</v>
      </c>
    </row>
    <row r="46" spans="1:99" x14ac:dyDescent="0.35">
      <c r="A46" s="1" t="s">
        <v>1232</v>
      </c>
      <c r="B46" s="1">
        <v>181511054</v>
      </c>
      <c r="C46" s="1">
        <v>0</v>
      </c>
      <c r="D46" s="1">
        <v>0</v>
      </c>
      <c r="E46" s="1">
        <v>0</v>
      </c>
      <c r="F46" s="1">
        <v>0</v>
      </c>
      <c r="G46" s="1">
        <v>0</v>
      </c>
      <c r="H46" s="1">
        <v>0</v>
      </c>
      <c r="I46" s="1">
        <v>0</v>
      </c>
      <c r="J46" s="1">
        <v>1</v>
      </c>
      <c r="K46" s="1">
        <v>0</v>
      </c>
      <c r="L46" s="1">
        <v>0</v>
      </c>
      <c r="M46" s="1">
        <v>0</v>
      </c>
      <c r="N46" s="1">
        <v>0</v>
      </c>
      <c r="O46" s="1">
        <v>0</v>
      </c>
      <c r="P46" s="1">
        <v>1</v>
      </c>
      <c r="Q46" s="1">
        <v>1</v>
      </c>
      <c r="R46" s="1">
        <v>1</v>
      </c>
      <c r="S46" s="1">
        <v>1</v>
      </c>
      <c r="T46" s="1">
        <v>1</v>
      </c>
      <c r="U46" s="1">
        <v>3</v>
      </c>
      <c r="V46" s="1">
        <v>2</v>
      </c>
      <c r="W46" s="1">
        <v>4</v>
      </c>
      <c r="X46" s="1">
        <v>3</v>
      </c>
      <c r="Y46" s="1">
        <v>2</v>
      </c>
      <c r="Z46" s="1">
        <v>3</v>
      </c>
      <c r="AA46" s="1">
        <v>3</v>
      </c>
      <c r="AC46" s="1">
        <v>1</v>
      </c>
      <c r="AD46" s="1">
        <v>3</v>
      </c>
      <c r="AE46" s="1">
        <v>3</v>
      </c>
      <c r="AF46" s="3">
        <v>4000000</v>
      </c>
      <c r="AG46" s="1">
        <v>13</v>
      </c>
      <c r="AT46" s="1" t="s">
        <v>86</v>
      </c>
      <c r="BP46" s="1">
        <v>3</v>
      </c>
      <c r="BQ46" s="1" t="s">
        <v>1233</v>
      </c>
      <c r="BR46" s="1" t="s">
        <v>1234</v>
      </c>
      <c r="BS46" s="1" t="s">
        <v>1235</v>
      </c>
      <c r="BT46" s="1" t="s">
        <v>79</v>
      </c>
      <c r="BU46" s="1">
        <v>1</v>
      </c>
      <c r="BV46" s="1">
        <v>2</v>
      </c>
      <c r="BW46" s="1">
        <v>1</v>
      </c>
      <c r="BX46" s="1">
        <v>0</v>
      </c>
      <c r="BY46" s="1">
        <v>0</v>
      </c>
      <c r="BZ46" s="1">
        <v>0</v>
      </c>
      <c r="CA46" s="1">
        <v>0</v>
      </c>
      <c r="CB46" s="1">
        <v>0</v>
      </c>
      <c r="CC46" s="1">
        <v>0</v>
      </c>
      <c r="CD46" s="1">
        <v>0</v>
      </c>
      <c r="CE46" s="1">
        <v>0</v>
      </c>
      <c r="CF46" s="1">
        <v>0</v>
      </c>
      <c r="CG46" s="1">
        <v>0</v>
      </c>
      <c r="CH46" s="1">
        <v>0</v>
      </c>
      <c r="CI46" s="1">
        <v>0</v>
      </c>
      <c r="CJ46" s="1">
        <v>3</v>
      </c>
      <c r="CK46" s="1">
        <v>3</v>
      </c>
      <c r="CL46" s="1">
        <v>3</v>
      </c>
      <c r="CM46" s="1">
        <v>3</v>
      </c>
      <c r="CN46" s="1">
        <v>3</v>
      </c>
      <c r="CO46" s="1">
        <v>3</v>
      </c>
      <c r="CP46" s="1">
        <v>3</v>
      </c>
      <c r="CU46" s="1">
        <v>1</v>
      </c>
    </row>
    <row r="47" spans="1:99" x14ac:dyDescent="0.35">
      <c r="A47" s="1" t="s">
        <v>1236</v>
      </c>
      <c r="B47" s="1">
        <v>181511055</v>
      </c>
      <c r="C47" s="1">
        <v>0</v>
      </c>
      <c r="D47" s="1">
        <v>1</v>
      </c>
      <c r="E47" s="1">
        <v>1</v>
      </c>
      <c r="F47" s="1">
        <v>0</v>
      </c>
      <c r="G47" s="1">
        <v>0</v>
      </c>
      <c r="H47" s="1">
        <v>0</v>
      </c>
      <c r="I47" s="1">
        <v>0</v>
      </c>
      <c r="J47" s="1">
        <v>1</v>
      </c>
      <c r="K47" s="1">
        <v>1</v>
      </c>
      <c r="L47" s="1">
        <v>0</v>
      </c>
      <c r="M47" s="1">
        <v>0</v>
      </c>
      <c r="N47" s="1">
        <v>0</v>
      </c>
      <c r="O47" s="1">
        <v>0</v>
      </c>
      <c r="P47" s="1">
        <v>6</v>
      </c>
      <c r="Q47" s="1">
        <v>6</v>
      </c>
      <c r="R47" s="1">
        <v>6</v>
      </c>
      <c r="S47" s="1">
        <v>1</v>
      </c>
      <c r="T47" s="1">
        <v>1</v>
      </c>
      <c r="U47" s="1">
        <v>3</v>
      </c>
      <c r="V47" s="1">
        <v>4</v>
      </c>
      <c r="W47" s="1">
        <v>4</v>
      </c>
      <c r="X47" s="1">
        <v>4</v>
      </c>
      <c r="Y47" s="1">
        <v>4</v>
      </c>
      <c r="Z47" s="1">
        <v>4</v>
      </c>
      <c r="AA47" s="1">
        <v>4</v>
      </c>
      <c r="AC47" s="1">
        <v>1</v>
      </c>
      <c r="AD47" s="1">
        <v>0</v>
      </c>
      <c r="AF47" s="3">
        <v>7000000</v>
      </c>
      <c r="AG47" s="1">
        <v>11</v>
      </c>
      <c r="AR47" s="1" t="s">
        <v>130</v>
      </c>
      <c r="BP47" s="1">
        <v>3</v>
      </c>
      <c r="BQ47" s="1" t="s">
        <v>1237</v>
      </c>
      <c r="BR47" s="1" t="s">
        <v>1238</v>
      </c>
      <c r="BS47" s="1" t="s">
        <v>1239</v>
      </c>
      <c r="BT47" s="1" t="s">
        <v>73</v>
      </c>
      <c r="BU47" s="1">
        <v>1</v>
      </c>
      <c r="BV47" s="1">
        <v>1</v>
      </c>
      <c r="BW47" s="1">
        <v>0</v>
      </c>
      <c r="BX47" s="1">
        <v>0</v>
      </c>
      <c r="BY47" s="1">
        <v>0</v>
      </c>
      <c r="BZ47" s="1">
        <v>0</v>
      </c>
      <c r="CA47" s="1">
        <v>0</v>
      </c>
      <c r="CB47" s="1">
        <v>0</v>
      </c>
      <c r="CC47" s="1">
        <v>0</v>
      </c>
      <c r="CD47" s="1">
        <v>0</v>
      </c>
      <c r="CE47" s="1">
        <v>0</v>
      </c>
      <c r="CF47" s="1">
        <v>0</v>
      </c>
      <c r="CG47" s="1">
        <v>0</v>
      </c>
      <c r="CH47" s="1">
        <v>0</v>
      </c>
      <c r="CI47" s="1" t="s">
        <v>78</v>
      </c>
      <c r="CJ47" s="1">
        <v>4</v>
      </c>
      <c r="CK47" s="1">
        <v>4</v>
      </c>
      <c r="CL47" s="1">
        <v>4</v>
      </c>
      <c r="CM47" s="1">
        <v>4</v>
      </c>
      <c r="CN47" s="1">
        <v>4</v>
      </c>
      <c r="CO47" s="1">
        <v>4</v>
      </c>
      <c r="CP47" s="1">
        <v>4</v>
      </c>
      <c r="CU47" s="1">
        <v>1</v>
      </c>
    </row>
    <row r="48" spans="1:99" x14ac:dyDescent="0.35">
      <c r="A48" s="1" t="s">
        <v>1240</v>
      </c>
      <c r="B48" s="1">
        <v>181511057</v>
      </c>
      <c r="C48" s="1">
        <v>0</v>
      </c>
      <c r="D48" s="1">
        <v>1</v>
      </c>
      <c r="E48" s="1">
        <v>1</v>
      </c>
      <c r="F48" s="1">
        <v>0</v>
      </c>
      <c r="G48" s="1">
        <v>0</v>
      </c>
      <c r="H48" s="1">
        <v>0</v>
      </c>
      <c r="I48" s="1">
        <v>0</v>
      </c>
      <c r="J48" s="1">
        <v>0</v>
      </c>
      <c r="K48" s="1">
        <v>1</v>
      </c>
      <c r="L48" s="1">
        <v>0</v>
      </c>
      <c r="M48" s="1">
        <v>0</v>
      </c>
      <c r="N48" s="1">
        <v>0</v>
      </c>
      <c r="O48" s="1">
        <v>0</v>
      </c>
      <c r="P48" s="1">
        <v>10</v>
      </c>
      <c r="Q48" s="1">
        <v>5</v>
      </c>
      <c r="R48" s="1">
        <v>3</v>
      </c>
      <c r="S48" s="1">
        <v>1</v>
      </c>
      <c r="T48" s="1">
        <v>1</v>
      </c>
      <c r="U48" s="1">
        <v>3</v>
      </c>
      <c r="V48" s="1">
        <v>4</v>
      </c>
      <c r="W48" s="1">
        <v>4</v>
      </c>
      <c r="X48" s="1">
        <v>4</v>
      </c>
      <c r="Y48" s="1">
        <v>3</v>
      </c>
      <c r="Z48" s="1">
        <v>3</v>
      </c>
      <c r="AA48" s="1">
        <v>3</v>
      </c>
      <c r="AC48" s="1">
        <v>2</v>
      </c>
      <c r="AE48" s="1">
        <v>1</v>
      </c>
      <c r="AF48" s="3">
        <v>10000000</v>
      </c>
      <c r="AG48" s="1">
        <v>12</v>
      </c>
      <c r="AS48" s="1" t="s">
        <v>472</v>
      </c>
      <c r="BP48" s="1">
        <v>3</v>
      </c>
      <c r="BQ48" s="1" t="s">
        <v>1241</v>
      </c>
      <c r="BR48" s="1" t="s">
        <v>1242</v>
      </c>
      <c r="BS48" s="1" t="s">
        <v>1243</v>
      </c>
      <c r="BT48" s="1" t="s">
        <v>73</v>
      </c>
      <c r="BU48" s="1">
        <v>1</v>
      </c>
      <c r="BV48" s="1">
        <v>1</v>
      </c>
      <c r="BW48" s="1">
        <v>1</v>
      </c>
      <c r="BX48" s="1">
        <v>0</v>
      </c>
      <c r="BY48" s="1">
        <v>0</v>
      </c>
      <c r="BZ48" s="1">
        <v>0</v>
      </c>
      <c r="CA48" s="1">
        <v>0</v>
      </c>
      <c r="CB48" s="1">
        <v>0</v>
      </c>
      <c r="CC48" s="1">
        <v>0</v>
      </c>
      <c r="CD48" s="1">
        <v>0</v>
      </c>
      <c r="CE48" s="1">
        <v>0</v>
      </c>
      <c r="CF48" s="1">
        <v>0</v>
      </c>
      <c r="CG48" s="1">
        <v>0</v>
      </c>
      <c r="CH48" s="1">
        <v>0</v>
      </c>
      <c r="CI48" s="1">
        <v>0</v>
      </c>
      <c r="CJ48" s="1">
        <v>4</v>
      </c>
      <c r="CK48" s="1">
        <v>3</v>
      </c>
      <c r="CL48" s="1">
        <v>3</v>
      </c>
      <c r="CM48" s="1">
        <v>3</v>
      </c>
      <c r="CN48" s="1">
        <v>4</v>
      </c>
      <c r="CO48" s="1">
        <v>4</v>
      </c>
      <c r="CP48" s="1">
        <v>3</v>
      </c>
      <c r="CU48" s="1">
        <v>1</v>
      </c>
    </row>
    <row r="49" spans="1:99" x14ac:dyDescent="0.35">
      <c r="A49" s="1" t="s">
        <v>1244</v>
      </c>
      <c r="B49" s="1">
        <v>181511058</v>
      </c>
      <c r="C49" s="1">
        <v>0</v>
      </c>
      <c r="D49" s="1">
        <v>1</v>
      </c>
      <c r="E49" s="1">
        <v>0</v>
      </c>
      <c r="F49" s="1">
        <v>0</v>
      </c>
      <c r="G49" s="1">
        <v>0</v>
      </c>
      <c r="H49" s="1">
        <v>0</v>
      </c>
      <c r="I49" s="1">
        <v>0</v>
      </c>
      <c r="J49" s="1">
        <v>0</v>
      </c>
      <c r="K49" s="1">
        <v>0</v>
      </c>
      <c r="L49" s="1">
        <v>0</v>
      </c>
      <c r="M49" s="1">
        <v>0</v>
      </c>
      <c r="N49" s="1">
        <v>0</v>
      </c>
      <c r="O49" s="1">
        <v>0</v>
      </c>
      <c r="P49" s="1">
        <v>7</v>
      </c>
      <c r="Q49" s="1">
        <v>4</v>
      </c>
      <c r="R49" s="1">
        <v>3</v>
      </c>
      <c r="S49" s="1">
        <v>1</v>
      </c>
      <c r="T49" s="1">
        <v>1</v>
      </c>
      <c r="U49" s="1">
        <v>4</v>
      </c>
      <c r="V49" s="1">
        <v>3</v>
      </c>
      <c r="W49" s="1">
        <v>3</v>
      </c>
      <c r="X49" s="1">
        <v>4</v>
      </c>
      <c r="Y49" s="1">
        <v>4</v>
      </c>
      <c r="Z49" s="1">
        <v>4</v>
      </c>
      <c r="AA49" s="1">
        <v>4</v>
      </c>
      <c r="AC49" s="1">
        <v>1</v>
      </c>
      <c r="AD49" s="1">
        <v>1</v>
      </c>
      <c r="AF49" s="3">
        <v>6000000</v>
      </c>
      <c r="AG49" s="1">
        <v>11</v>
      </c>
      <c r="AR49" s="1" t="s">
        <v>144</v>
      </c>
      <c r="BP49" s="1">
        <v>3</v>
      </c>
      <c r="BQ49" s="1" t="s">
        <v>1245</v>
      </c>
      <c r="BR49" s="1" t="s">
        <v>1246</v>
      </c>
      <c r="BS49" s="1" t="s">
        <v>1247</v>
      </c>
      <c r="BT49" s="1" t="s">
        <v>79</v>
      </c>
      <c r="BU49" s="1">
        <v>1</v>
      </c>
      <c r="BV49" s="1">
        <v>2</v>
      </c>
      <c r="BW49" s="1">
        <v>1</v>
      </c>
      <c r="BX49" s="1">
        <v>0</v>
      </c>
      <c r="BY49" s="1">
        <v>0</v>
      </c>
      <c r="BZ49" s="1">
        <v>0</v>
      </c>
      <c r="CA49" s="1">
        <v>0</v>
      </c>
      <c r="CB49" s="1">
        <v>0</v>
      </c>
      <c r="CC49" s="1">
        <v>0</v>
      </c>
      <c r="CD49" s="1">
        <v>0</v>
      </c>
      <c r="CE49" s="1">
        <v>0</v>
      </c>
      <c r="CF49" s="1">
        <v>0</v>
      </c>
      <c r="CG49" s="1">
        <v>0</v>
      </c>
      <c r="CH49" s="1">
        <v>0</v>
      </c>
      <c r="CI49" s="1">
        <v>0</v>
      </c>
      <c r="CJ49" s="1">
        <v>4</v>
      </c>
      <c r="CK49" s="1">
        <v>4</v>
      </c>
      <c r="CL49" s="1">
        <v>3</v>
      </c>
      <c r="CM49" s="1">
        <v>4</v>
      </c>
      <c r="CN49" s="1">
        <v>4</v>
      </c>
      <c r="CO49" s="1">
        <v>4</v>
      </c>
      <c r="CP49" s="1">
        <v>4</v>
      </c>
      <c r="CU49" s="1">
        <v>1</v>
      </c>
    </row>
    <row r="50" spans="1:99" x14ac:dyDescent="0.35">
      <c r="A50" s="1" t="s">
        <v>1248</v>
      </c>
      <c r="B50" s="1">
        <v>181511059</v>
      </c>
      <c r="C50" s="1">
        <v>0</v>
      </c>
      <c r="D50" s="1">
        <v>1</v>
      </c>
      <c r="E50" s="1">
        <v>0</v>
      </c>
      <c r="F50" s="1">
        <v>0</v>
      </c>
      <c r="G50" s="1">
        <v>0</v>
      </c>
      <c r="H50" s="1">
        <v>0</v>
      </c>
      <c r="I50" s="1">
        <v>0</v>
      </c>
      <c r="J50" s="1">
        <v>0</v>
      </c>
      <c r="K50" s="1">
        <v>0</v>
      </c>
      <c r="L50" s="1">
        <v>0</v>
      </c>
      <c r="M50" s="1">
        <v>0</v>
      </c>
      <c r="N50" s="1">
        <v>0</v>
      </c>
      <c r="O50" s="1">
        <v>0</v>
      </c>
      <c r="P50" s="1">
        <v>6</v>
      </c>
      <c r="Q50" s="1">
        <v>4</v>
      </c>
      <c r="R50" s="1">
        <v>3</v>
      </c>
      <c r="S50" s="1">
        <v>1</v>
      </c>
      <c r="T50" s="1">
        <v>1</v>
      </c>
      <c r="U50" s="1">
        <v>3</v>
      </c>
      <c r="V50" s="1">
        <v>3</v>
      </c>
      <c r="W50" s="1">
        <v>4</v>
      </c>
      <c r="X50" s="1">
        <v>3</v>
      </c>
      <c r="Y50" s="1">
        <v>4</v>
      </c>
      <c r="Z50" s="1">
        <v>4</v>
      </c>
      <c r="AA50" s="1">
        <v>4</v>
      </c>
      <c r="AC50" s="1">
        <v>1</v>
      </c>
      <c r="AD50" s="1">
        <v>0</v>
      </c>
      <c r="AF50" s="3">
        <v>15532574</v>
      </c>
      <c r="AG50" s="1">
        <v>12</v>
      </c>
      <c r="AS50" s="1" t="s">
        <v>1021</v>
      </c>
      <c r="BP50" s="1">
        <v>3</v>
      </c>
      <c r="BQ50" s="1" t="s">
        <v>1249</v>
      </c>
      <c r="BR50" s="1" t="s">
        <v>1250</v>
      </c>
      <c r="BS50" s="1" t="s">
        <v>1251</v>
      </c>
      <c r="BT50" s="1" t="s">
        <v>73</v>
      </c>
      <c r="BU50" s="1">
        <v>1</v>
      </c>
      <c r="BV50" s="1">
        <v>1</v>
      </c>
      <c r="BW50" s="1">
        <v>0</v>
      </c>
      <c r="BX50" s="1">
        <v>0</v>
      </c>
      <c r="BY50" s="1">
        <v>1</v>
      </c>
      <c r="BZ50" s="1">
        <v>0</v>
      </c>
      <c r="CA50" s="1">
        <v>0</v>
      </c>
      <c r="CB50" s="1">
        <v>0</v>
      </c>
      <c r="CC50" s="1">
        <v>1</v>
      </c>
      <c r="CD50" s="1">
        <v>0</v>
      </c>
      <c r="CE50" s="1">
        <v>0</v>
      </c>
      <c r="CF50" s="1">
        <v>0</v>
      </c>
      <c r="CG50" s="1">
        <v>0</v>
      </c>
      <c r="CH50" s="1">
        <v>0</v>
      </c>
      <c r="CI50" s="1">
        <v>0</v>
      </c>
      <c r="CJ50" s="1">
        <v>4</v>
      </c>
      <c r="CK50" s="1">
        <v>4</v>
      </c>
      <c r="CL50" s="1">
        <v>4</v>
      </c>
      <c r="CM50" s="1">
        <v>4</v>
      </c>
      <c r="CN50" s="1">
        <v>4</v>
      </c>
      <c r="CO50" s="1">
        <v>4</v>
      </c>
      <c r="CP50" s="1">
        <v>4</v>
      </c>
      <c r="CU50" s="1">
        <v>1</v>
      </c>
    </row>
    <row r="51" spans="1:99" x14ac:dyDescent="0.35">
      <c r="A51" s="1" t="s">
        <v>1252</v>
      </c>
      <c r="B51" s="1">
        <v>181511063</v>
      </c>
      <c r="C51" s="1">
        <v>0</v>
      </c>
      <c r="D51" s="1">
        <v>1</v>
      </c>
      <c r="E51" s="1">
        <v>0</v>
      </c>
      <c r="F51" s="1">
        <v>0</v>
      </c>
      <c r="G51" s="1">
        <v>0</v>
      </c>
      <c r="H51" s="1">
        <v>0</v>
      </c>
      <c r="I51" s="1">
        <v>0</v>
      </c>
      <c r="J51" s="1">
        <v>0</v>
      </c>
      <c r="K51" s="1">
        <v>1</v>
      </c>
      <c r="L51" s="1">
        <v>0</v>
      </c>
      <c r="M51" s="1">
        <v>0</v>
      </c>
      <c r="N51" s="1">
        <v>0</v>
      </c>
      <c r="O51" s="1">
        <v>0</v>
      </c>
      <c r="P51" s="1">
        <v>3</v>
      </c>
      <c r="Q51" s="1">
        <v>2</v>
      </c>
      <c r="R51" s="1">
        <v>2</v>
      </c>
      <c r="S51" s="1">
        <v>1</v>
      </c>
      <c r="T51" s="1">
        <v>3</v>
      </c>
      <c r="U51" s="1">
        <v>3</v>
      </c>
      <c r="V51" s="1">
        <v>3</v>
      </c>
      <c r="W51" s="1">
        <v>2</v>
      </c>
      <c r="X51" s="1">
        <v>3</v>
      </c>
      <c r="Y51" s="1">
        <v>4</v>
      </c>
      <c r="Z51" s="1">
        <v>3</v>
      </c>
      <c r="AA51" s="1">
        <v>4</v>
      </c>
      <c r="AC51" s="1">
        <v>2</v>
      </c>
      <c r="AE51" s="1">
        <v>7</v>
      </c>
      <c r="AF51" s="3">
        <v>3500000</v>
      </c>
      <c r="AG51" s="1">
        <v>11</v>
      </c>
      <c r="AR51" s="1" t="s">
        <v>130</v>
      </c>
      <c r="BP51" s="1">
        <v>3</v>
      </c>
      <c r="BQ51" s="1" t="s">
        <v>1253</v>
      </c>
      <c r="BR51" s="1" t="s">
        <v>1254</v>
      </c>
      <c r="BS51" s="1" t="s">
        <v>1255</v>
      </c>
      <c r="BT51" s="1" t="s">
        <v>79</v>
      </c>
      <c r="BU51" s="1">
        <v>1</v>
      </c>
      <c r="BV51" s="1">
        <v>2</v>
      </c>
      <c r="BW51" s="1">
        <v>1</v>
      </c>
      <c r="BX51" s="1">
        <v>0</v>
      </c>
      <c r="BY51" s="1">
        <v>0</v>
      </c>
      <c r="BZ51" s="1">
        <v>0</v>
      </c>
      <c r="CA51" s="1">
        <v>0</v>
      </c>
      <c r="CB51" s="1">
        <v>0</v>
      </c>
      <c r="CC51" s="1">
        <v>0</v>
      </c>
      <c r="CD51" s="1">
        <v>0</v>
      </c>
      <c r="CE51" s="1">
        <v>0</v>
      </c>
      <c r="CF51" s="1">
        <v>0</v>
      </c>
      <c r="CG51" s="1">
        <v>0</v>
      </c>
      <c r="CH51" s="1">
        <v>0</v>
      </c>
      <c r="CI51" s="1">
        <v>0</v>
      </c>
      <c r="CJ51" s="1">
        <v>4</v>
      </c>
      <c r="CK51" s="1">
        <v>4</v>
      </c>
      <c r="CL51" s="1">
        <v>2</v>
      </c>
      <c r="CM51" s="1">
        <v>3</v>
      </c>
      <c r="CN51" s="1">
        <v>4</v>
      </c>
      <c r="CO51" s="1">
        <v>3</v>
      </c>
      <c r="CP51" s="1">
        <v>4</v>
      </c>
      <c r="CU51" s="1" t="s">
        <v>1256</v>
      </c>
    </row>
    <row r="52" spans="1:99" x14ac:dyDescent="0.35">
      <c r="A52" s="1" t="s">
        <v>1257</v>
      </c>
      <c r="B52" s="1">
        <v>181511064</v>
      </c>
      <c r="C52" s="1">
        <v>0</v>
      </c>
      <c r="D52" s="1">
        <v>0</v>
      </c>
      <c r="E52" s="1">
        <v>0</v>
      </c>
      <c r="F52" s="1">
        <v>0</v>
      </c>
      <c r="G52" s="1">
        <v>0</v>
      </c>
      <c r="H52" s="1">
        <v>0</v>
      </c>
      <c r="I52" s="1">
        <v>0</v>
      </c>
      <c r="J52" s="1">
        <v>1</v>
      </c>
      <c r="K52" s="1">
        <v>1</v>
      </c>
      <c r="L52" s="1">
        <v>0</v>
      </c>
      <c r="M52" s="1">
        <v>0</v>
      </c>
      <c r="N52" s="1">
        <v>0</v>
      </c>
      <c r="O52" s="1">
        <v>0</v>
      </c>
      <c r="P52" s="1">
        <v>3</v>
      </c>
      <c r="Q52" s="1">
        <v>2</v>
      </c>
      <c r="R52" s="1">
        <v>1</v>
      </c>
      <c r="S52" s="1">
        <v>1</v>
      </c>
      <c r="T52" s="1">
        <v>1</v>
      </c>
      <c r="U52" s="1">
        <v>3</v>
      </c>
      <c r="V52" s="1">
        <v>3</v>
      </c>
      <c r="W52" s="1">
        <v>4</v>
      </c>
      <c r="X52" s="1">
        <v>4</v>
      </c>
      <c r="Y52" s="1">
        <v>3</v>
      </c>
      <c r="Z52" s="1">
        <v>3</v>
      </c>
      <c r="AA52" s="1">
        <v>3</v>
      </c>
      <c r="AC52" s="1">
        <v>2</v>
      </c>
      <c r="AE52" s="1">
        <v>1</v>
      </c>
      <c r="AF52" s="3">
        <v>6000000</v>
      </c>
      <c r="AG52" s="1">
        <v>13</v>
      </c>
      <c r="AT52" s="1" t="s">
        <v>86</v>
      </c>
      <c r="BP52" s="1">
        <v>3</v>
      </c>
      <c r="BQ52" s="1" t="s">
        <v>1258</v>
      </c>
      <c r="BR52" s="1" t="s">
        <v>1259</v>
      </c>
      <c r="BS52" s="1" t="s">
        <v>78</v>
      </c>
      <c r="BT52" s="1" t="s">
        <v>73</v>
      </c>
      <c r="BU52" s="1">
        <v>1</v>
      </c>
      <c r="BV52" s="1">
        <v>2</v>
      </c>
      <c r="BW52" s="1">
        <v>1</v>
      </c>
      <c r="BX52" s="1">
        <v>0</v>
      </c>
      <c r="BY52" s="1">
        <v>0</v>
      </c>
      <c r="BZ52" s="1">
        <v>0</v>
      </c>
      <c r="CA52" s="1">
        <v>0</v>
      </c>
      <c r="CB52" s="1">
        <v>0</v>
      </c>
      <c r="CC52" s="1">
        <v>0</v>
      </c>
      <c r="CD52" s="1">
        <v>0</v>
      </c>
      <c r="CE52" s="1">
        <v>0</v>
      </c>
      <c r="CF52" s="1">
        <v>0</v>
      </c>
      <c r="CG52" s="1">
        <v>0</v>
      </c>
      <c r="CH52" s="1">
        <v>0</v>
      </c>
      <c r="CI52" s="1">
        <v>0</v>
      </c>
      <c r="CJ52" s="1">
        <v>3</v>
      </c>
      <c r="CK52" s="1">
        <v>3</v>
      </c>
      <c r="CL52" s="1">
        <v>4</v>
      </c>
      <c r="CM52" s="1">
        <v>4</v>
      </c>
      <c r="CN52" s="1">
        <v>4</v>
      </c>
      <c r="CO52" s="1">
        <v>4</v>
      </c>
      <c r="CP52" s="1">
        <v>3</v>
      </c>
      <c r="CU52" s="1">
        <v>1</v>
      </c>
    </row>
    <row r="53" spans="1:99" x14ac:dyDescent="0.35">
      <c r="A53" s="1" t="s">
        <v>1260</v>
      </c>
      <c r="B53" s="1">
        <v>181511065</v>
      </c>
      <c r="C53" s="1">
        <v>1</v>
      </c>
      <c r="D53" s="1">
        <v>1</v>
      </c>
      <c r="E53" s="1">
        <v>0</v>
      </c>
      <c r="F53" s="1">
        <v>0</v>
      </c>
      <c r="G53" s="1">
        <v>0</v>
      </c>
      <c r="H53" s="1">
        <v>1</v>
      </c>
      <c r="I53" s="1">
        <v>0</v>
      </c>
      <c r="J53" s="1">
        <v>0</v>
      </c>
      <c r="K53" s="1">
        <v>0</v>
      </c>
      <c r="L53" s="1">
        <v>0</v>
      </c>
      <c r="M53" s="1">
        <v>0</v>
      </c>
      <c r="N53" s="1">
        <v>0</v>
      </c>
      <c r="O53" s="1">
        <v>0</v>
      </c>
      <c r="P53" s="1">
        <v>10</v>
      </c>
      <c r="Q53" s="1">
        <v>7</v>
      </c>
      <c r="R53" s="1">
        <v>5</v>
      </c>
      <c r="S53" s="1">
        <v>1</v>
      </c>
      <c r="T53" s="1">
        <v>1</v>
      </c>
      <c r="U53" s="1">
        <v>3</v>
      </c>
      <c r="V53" s="1">
        <v>3</v>
      </c>
      <c r="W53" s="1">
        <v>2</v>
      </c>
      <c r="X53" s="1">
        <v>3</v>
      </c>
      <c r="Y53" s="1">
        <v>3</v>
      </c>
      <c r="Z53" s="1">
        <v>3</v>
      </c>
      <c r="AA53" s="1">
        <v>3</v>
      </c>
      <c r="AC53" s="1">
        <v>1</v>
      </c>
      <c r="AD53" s="1">
        <v>1</v>
      </c>
      <c r="AE53" s="1">
        <v>1</v>
      </c>
      <c r="AF53" s="3">
        <v>4500000</v>
      </c>
      <c r="AG53" s="1">
        <v>13</v>
      </c>
      <c r="AT53" s="1" t="s">
        <v>86</v>
      </c>
      <c r="BP53" s="1">
        <v>3</v>
      </c>
      <c r="BQ53" s="1" t="s">
        <v>1261</v>
      </c>
      <c r="BR53" s="1" t="s">
        <v>1262</v>
      </c>
      <c r="BS53" s="1" t="s">
        <v>1153</v>
      </c>
      <c r="BT53" s="1" t="s">
        <v>79</v>
      </c>
      <c r="BU53" s="1">
        <v>1</v>
      </c>
      <c r="BV53" s="1">
        <v>1</v>
      </c>
      <c r="BW53" s="1">
        <v>1</v>
      </c>
      <c r="BX53" s="1">
        <v>0</v>
      </c>
      <c r="BY53" s="1">
        <v>0</v>
      </c>
      <c r="BZ53" s="1">
        <v>0</v>
      </c>
      <c r="CA53" s="1">
        <v>0</v>
      </c>
      <c r="CB53" s="1">
        <v>0</v>
      </c>
      <c r="CC53" s="1">
        <v>0</v>
      </c>
      <c r="CD53" s="1">
        <v>0</v>
      </c>
      <c r="CE53" s="1">
        <v>0</v>
      </c>
      <c r="CF53" s="1">
        <v>0</v>
      </c>
      <c r="CG53" s="1">
        <v>0</v>
      </c>
      <c r="CH53" s="1">
        <v>0</v>
      </c>
      <c r="CI53" s="1">
        <v>0</v>
      </c>
      <c r="CJ53" s="1">
        <v>4</v>
      </c>
      <c r="CK53" s="1">
        <v>4</v>
      </c>
      <c r="CL53" s="1">
        <v>4</v>
      </c>
      <c r="CM53" s="1">
        <v>4</v>
      </c>
      <c r="CN53" s="1">
        <v>4</v>
      </c>
      <c r="CO53" s="1">
        <v>4</v>
      </c>
      <c r="CP53" s="1">
        <v>4</v>
      </c>
      <c r="CU53" s="1" t="s">
        <v>1263</v>
      </c>
    </row>
    <row r="54" spans="1:99" x14ac:dyDescent="0.35">
      <c r="A54" s="1" t="s">
        <v>1264</v>
      </c>
      <c r="B54" s="1">
        <v>181511066</v>
      </c>
      <c r="C54" s="1">
        <v>0</v>
      </c>
      <c r="D54" s="1">
        <v>1</v>
      </c>
      <c r="E54" s="1">
        <v>1</v>
      </c>
      <c r="F54" s="1">
        <v>0</v>
      </c>
      <c r="G54" s="1">
        <v>0</v>
      </c>
      <c r="H54" s="1">
        <v>0</v>
      </c>
      <c r="I54" s="1">
        <v>0</v>
      </c>
      <c r="J54" s="1">
        <v>0</v>
      </c>
      <c r="K54" s="1">
        <v>1</v>
      </c>
      <c r="L54" s="1">
        <v>0</v>
      </c>
      <c r="M54" s="1">
        <v>0</v>
      </c>
      <c r="N54" s="1">
        <v>0</v>
      </c>
      <c r="O54" s="1">
        <v>0</v>
      </c>
      <c r="P54" s="1">
        <v>65</v>
      </c>
      <c r="Q54" s="1">
        <v>43</v>
      </c>
      <c r="R54" s="1">
        <v>15</v>
      </c>
      <c r="S54" s="1">
        <v>1</v>
      </c>
      <c r="T54" s="1">
        <v>1</v>
      </c>
      <c r="U54" s="1">
        <v>3</v>
      </c>
      <c r="V54" s="1">
        <v>3</v>
      </c>
      <c r="W54" s="1">
        <v>3</v>
      </c>
      <c r="X54" s="1">
        <v>3</v>
      </c>
      <c r="Y54" s="1">
        <v>4</v>
      </c>
      <c r="Z54" s="1">
        <v>4</v>
      </c>
      <c r="AA54" s="1">
        <v>3</v>
      </c>
      <c r="AC54" s="1">
        <v>1</v>
      </c>
      <c r="AD54" s="1">
        <v>4</v>
      </c>
      <c r="AE54" s="1">
        <v>4</v>
      </c>
      <c r="AF54" s="3">
        <v>4000000</v>
      </c>
      <c r="AG54" s="1">
        <v>13</v>
      </c>
      <c r="AT54" s="1" t="s">
        <v>86</v>
      </c>
      <c r="BP54" s="1">
        <v>3</v>
      </c>
      <c r="BQ54" s="1" t="s">
        <v>1265</v>
      </c>
      <c r="BR54" s="1" t="s">
        <v>1266</v>
      </c>
      <c r="BS54" s="1" t="s">
        <v>1235</v>
      </c>
      <c r="BT54" s="1" t="s">
        <v>107</v>
      </c>
      <c r="BU54" s="1">
        <v>1</v>
      </c>
      <c r="BV54" s="1">
        <v>2</v>
      </c>
      <c r="BW54" s="1">
        <v>0</v>
      </c>
      <c r="BX54" s="1">
        <v>0</v>
      </c>
      <c r="BY54" s="1">
        <v>0</v>
      </c>
      <c r="BZ54" s="1">
        <v>0</v>
      </c>
      <c r="CA54" s="1">
        <v>0</v>
      </c>
      <c r="CB54" s="1">
        <v>0</v>
      </c>
      <c r="CC54" s="1">
        <v>0</v>
      </c>
      <c r="CD54" s="1">
        <v>0</v>
      </c>
      <c r="CE54" s="1">
        <v>1</v>
      </c>
      <c r="CF54" s="1">
        <v>0</v>
      </c>
      <c r="CG54" s="1">
        <v>0</v>
      </c>
      <c r="CH54" s="1">
        <v>0</v>
      </c>
      <c r="CI54" s="1">
        <v>0</v>
      </c>
      <c r="CJ54" s="1">
        <v>4</v>
      </c>
      <c r="CK54" s="1">
        <v>3</v>
      </c>
      <c r="CL54" s="1">
        <v>4</v>
      </c>
      <c r="CM54" s="1">
        <v>4</v>
      </c>
      <c r="CN54" s="1">
        <v>4</v>
      </c>
      <c r="CO54" s="1">
        <v>4</v>
      </c>
      <c r="CP54" s="1">
        <v>4</v>
      </c>
      <c r="CU54" s="1">
        <v>1</v>
      </c>
    </row>
    <row r="55" spans="1:99" x14ac:dyDescent="0.35">
      <c r="A55" s="1" t="s">
        <v>4167</v>
      </c>
      <c r="B55" s="1">
        <v>171511014</v>
      </c>
      <c r="C55" s="1">
        <v>0</v>
      </c>
      <c r="D55" s="1">
        <v>1</v>
      </c>
      <c r="E55" s="1">
        <v>0</v>
      </c>
      <c r="F55" s="1">
        <v>0</v>
      </c>
      <c r="G55" s="1">
        <v>0</v>
      </c>
      <c r="H55" s="1">
        <v>0</v>
      </c>
      <c r="I55" s="1">
        <v>0</v>
      </c>
      <c r="J55" s="1">
        <v>0</v>
      </c>
      <c r="K55" s="1">
        <v>0</v>
      </c>
      <c r="L55" s="1">
        <v>0</v>
      </c>
      <c r="M55" s="1">
        <v>0</v>
      </c>
      <c r="N55" s="1">
        <v>0</v>
      </c>
      <c r="O55" s="1">
        <v>0</v>
      </c>
      <c r="P55" s="1" t="s">
        <v>2025</v>
      </c>
      <c r="Q55" s="1" t="s">
        <v>4168</v>
      </c>
      <c r="R55" s="1" t="s">
        <v>4168</v>
      </c>
      <c r="S55" s="1">
        <v>1</v>
      </c>
      <c r="T55" s="1">
        <v>1</v>
      </c>
      <c r="U55" s="1">
        <v>3</v>
      </c>
      <c r="V55" s="1">
        <v>1</v>
      </c>
      <c r="W55" s="1">
        <v>4</v>
      </c>
      <c r="X55" s="1">
        <v>4</v>
      </c>
      <c r="Y55" s="1">
        <v>1</v>
      </c>
      <c r="Z55" s="1">
        <v>2</v>
      </c>
      <c r="AA55" s="1">
        <v>4</v>
      </c>
      <c r="AC55" s="1">
        <v>1</v>
      </c>
      <c r="AD55" s="1">
        <v>3</v>
      </c>
      <c r="AF55" s="3">
        <v>5000000</v>
      </c>
      <c r="AG55" s="1">
        <v>13</v>
      </c>
      <c r="AT55" s="1" t="s">
        <v>86</v>
      </c>
      <c r="BP55" s="1">
        <v>3</v>
      </c>
      <c r="BQ55" s="1" t="s">
        <v>4169</v>
      </c>
      <c r="BR55" s="1" t="s">
        <v>4170</v>
      </c>
      <c r="BS55" s="1" t="s">
        <v>4171</v>
      </c>
      <c r="BT55" s="1" t="s">
        <v>79</v>
      </c>
      <c r="BU55" s="1">
        <v>1</v>
      </c>
      <c r="BV55" s="1">
        <v>2</v>
      </c>
      <c r="BW55" s="1">
        <v>1</v>
      </c>
      <c r="BX55" s="1">
        <v>0</v>
      </c>
      <c r="BY55" s="1">
        <v>0</v>
      </c>
      <c r="BZ55" s="1">
        <v>0</v>
      </c>
      <c r="CA55" s="1">
        <v>0</v>
      </c>
      <c r="CB55" s="1">
        <v>0</v>
      </c>
      <c r="CC55" s="1">
        <v>0</v>
      </c>
      <c r="CD55" s="1">
        <v>0</v>
      </c>
      <c r="CE55" s="1">
        <v>0</v>
      </c>
      <c r="CF55" s="1">
        <v>0</v>
      </c>
      <c r="CG55" s="1">
        <v>0</v>
      </c>
      <c r="CH55" s="1">
        <v>0</v>
      </c>
      <c r="CI55" s="1">
        <v>0</v>
      </c>
      <c r="CJ55" s="1">
        <v>3</v>
      </c>
      <c r="CK55" s="1">
        <v>3</v>
      </c>
      <c r="CL55" s="1">
        <v>4</v>
      </c>
      <c r="CM55" s="1">
        <v>4</v>
      </c>
      <c r="CN55" s="1">
        <v>3</v>
      </c>
      <c r="CO55" s="1">
        <v>3</v>
      </c>
      <c r="CP55" s="1">
        <v>4</v>
      </c>
      <c r="CU55" s="1">
        <v>1</v>
      </c>
    </row>
    <row r="56" spans="1:99" x14ac:dyDescent="0.35">
      <c r="A56" s="1" t="s">
        <v>4172</v>
      </c>
      <c r="B56" s="1">
        <v>171511042</v>
      </c>
      <c r="C56" s="1">
        <v>0</v>
      </c>
      <c r="D56" s="1">
        <v>1</v>
      </c>
      <c r="E56" s="1">
        <v>1</v>
      </c>
      <c r="F56" s="1">
        <v>0</v>
      </c>
      <c r="G56" s="1">
        <v>0</v>
      </c>
      <c r="H56" s="1">
        <v>0</v>
      </c>
      <c r="I56" s="1">
        <v>0</v>
      </c>
      <c r="J56" s="1">
        <v>0</v>
      </c>
      <c r="K56" s="1">
        <v>0</v>
      </c>
      <c r="L56" s="1">
        <v>1</v>
      </c>
      <c r="M56" s="1">
        <v>0</v>
      </c>
      <c r="N56" s="1">
        <v>0</v>
      </c>
      <c r="O56" s="1">
        <v>0</v>
      </c>
      <c r="P56" s="1">
        <v>10</v>
      </c>
      <c r="Q56" s="1">
        <v>5</v>
      </c>
      <c r="R56" s="1">
        <v>3</v>
      </c>
      <c r="S56" s="1">
        <v>1</v>
      </c>
      <c r="T56" s="1">
        <v>4</v>
      </c>
      <c r="U56" s="1">
        <v>4</v>
      </c>
      <c r="V56" s="1">
        <v>4</v>
      </c>
      <c r="W56" s="1">
        <v>4</v>
      </c>
      <c r="X56" s="1">
        <v>4</v>
      </c>
      <c r="Y56" s="1">
        <v>3</v>
      </c>
      <c r="Z56" s="1">
        <v>4</v>
      </c>
      <c r="AA56" s="1">
        <v>4</v>
      </c>
      <c r="AC56" s="1">
        <v>1</v>
      </c>
      <c r="AD56" s="1">
        <v>1</v>
      </c>
      <c r="AF56" s="3">
        <v>9000000</v>
      </c>
      <c r="AG56" s="1">
        <v>13</v>
      </c>
      <c r="AT56" s="1" t="s">
        <v>86</v>
      </c>
      <c r="BP56" s="1">
        <v>3</v>
      </c>
      <c r="BQ56" s="1" t="s">
        <v>4173</v>
      </c>
      <c r="BR56" s="1" t="s">
        <v>4174</v>
      </c>
      <c r="BS56" s="1" t="s">
        <v>4175</v>
      </c>
      <c r="BT56" s="1" t="s">
        <v>79</v>
      </c>
      <c r="BU56" s="1">
        <v>1</v>
      </c>
      <c r="BV56" s="1">
        <v>3</v>
      </c>
      <c r="BW56" s="1">
        <v>1</v>
      </c>
      <c r="BX56" s="1">
        <v>0</v>
      </c>
      <c r="BY56" s="1">
        <v>0</v>
      </c>
      <c r="BZ56" s="1">
        <v>0</v>
      </c>
      <c r="CA56" s="1">
        <v>0</v>
      </c>
      <c r="CB56" s="1">
        <v>0</v>
      </c>
      <c r="CC56" s="1">
        <v>0</v>
      </c>
      <c r="CD56" s="1">
        <v>0</v>
      </c>
      <c r="CE56" s="1">
        <v>0</v>
      </c>
      <c r="CF56" s="1">
        <v>0</v>
      </c>
      <c r="CG56" s="1">
        <v>0</v>
      </c>
      <c r="CH56" s="1">
        <v>0</v>
      </c>
      <c r="CI56" s="1">
        <v>0</v>
      </c>
      <c r="CJ56" s="1">
        <v>4</v>
      </c>
      <c r="CK56" s="1">
        <v>4</v>
      </c>
      <c r="CL56" s="1">
        <v>4</v>
      </c>
      <c r="CM56" s="1">
        <v>4</v>
      </c>
      <c r="CN56" s="1">
        <v>4</v>
      </c>
      <c r="CO56" s="1">
        <v>4</v>
      </c>
      <c r="CP56" s="1">
        <v>4</v>
      </c>
      <c r="CU56" s="1">
        <v>1</v>
      </c>
    </row>
    <row r="57" spans="1:99" x14ac:dyDescent="0.35">
      <c r="A57" s="1" t="s">
        <v>4176</v>
      </c>
      <c r="B57" s="1">
        <v>171511043</v>
      </c>
      <c r="C57" s="1">
        <v>0</v>
      </c>
      <c r="D57" s="1">
        <v>1</v>
      </c>
      <c r="E57" s="1">
        <v>0</v>
      </c>
      <c r="F57" s="1">
        <v>0</v>
      </c>
      <c r="G57" s="1">
        <v>0</v>
      </c>
      <c r="H57" s="1">
        <v>0</v>
      </c>
      <c r="I57" s="1">
        <v>0</v>
      </c>
      <c r="J57" s="1">
        <v>0</v>
      </c>
      <c r="K57" s="1">
        <v>0</v>
      </c>
      <c r="L57" s="1">
        <v>0</v>
      </c>
      <c r="M57" s="1">
        <v>0</v>
      </c>
      <c r="N57" s="1">
        <v>0</v>
      </c>
      <c r="O57" s="1">
        <v>0</v>
      </c>
      <c r="P57" s="1">
        <v>2</v>
      </c>
      <c r="Q57" s="1">
        <v>2</v>
      </c>
      <c r="R57" s="1">
        <v>2</v>
      </c>
      <c r="S57" s="1">
        <v>1</v>
      </c>
      <c r="T57" s="1">
        <v>1</v>
      </c>
      <c r="U57" s="1">
        <v>3</v>
      </c>
      <c r="V57" s="1">
        <v>4</v>
      </c>
      <c r="W57" s="1">
        <v>3</v>
      </c>
      <c r="X57" s="1">
        <v>3</v>
      </c>
      <c r="Y57" s="1">
        <v>3</v>
      </c>
      <c r="Z57" s="1">
        <v>3</v>
      </c>
      <c r="AA57" s="1">
        <v>2</v>
      </c>
      <c r="AC57" s="1">
        <v>2</v>
      </c>
      <c r="AE57" s="1">
        <v>1</v>
      </c>
      <c r="AF57" s="3">
        <v>5000000</v>
      </c>
      <c r="AG57" s="1">
        <v>13</v>
      </c>
      <c r="AT57" s="1" t="s">
        <v>86</v>
      </c>
      <c r="BP57" s="1">
        <v>3</v>
      </c>
      <c r="BQ57" s="1" t="s">
        <v>4177</v>
      </c>
      <c r="BR57" s="1" t="s">
        <v>4178</v>
      </c>
      <c r="BS57" s="1" t="s">
        <v>4179</v>
      </c>
      <c r="BT57" s="1" t="s">
        <v>79</v>
      </c>
      <c r="BU57" s="1">
        <v>1</v>
      </c>
      <c r="BV57" s="1">
        <v>3</v>
      </c>
      <c r="BW57" s="1">
        <v>1</v>
      </c>
      <c r="BX57" s="1">
        <v>0</v>
      </c>
      <c r="BY57" s="1">
        <v>0</v>
      </c>
      <c r="BZ57" s="1">
        <v>0</v>
      </c>
      <c r="CA57" s="1">
        <v>0</v>
      </c>
      <c r="CB57" s="1">
        <v>0</v>
      </c>
      <c r="CC57" s="1">
        <v>0</v>
      </c>
      <c r="CD57" s="1">
        <v>0</v>
      </c>
      <c r="CE57" s="1">
        <v>0</v>
      </c>
      <c r="CF57" s="1">
        <v>0</v>
      </c>
      <c r="CG57" s="1">
        <v>0</v>
      </c>
      <c r="CH57" s="1">
        <v>0</v>
      </c>
      <c r="CI57" s="1">
        <v>0</v>
      </c>
      <c r="CJ57" s="1">
        <v>4</v>
      </c>
      <c r="CK57" s="1">
        <v>4</v>
      </c>
      <c r="CL57" s="1">
        <v>3</v>
      </c>
      <c r="CM57" s="1">
        <v>4</v>
      </c>
      <c r="CN57" s="1">
        <v>4</v>
      </c>
      <c r="CO57" s="1">
        <v>4</v>
      </c>
      <c r="CP57" s="1">
        <v>4</v>
      </c>
      <c r="CU57" s="1">
        <v>1</v>
      </c>
    </row>
    <row r="58" spans="1:99" x14ac:dyDescent="0.35">
      <c r="A58" s="1" t="s">
        <v>4180</v>
      </c>
      <c r="B58" s="1">
        <v>171511051</v>
      </c>
      <c r="C58" s="1">
        <v>0</v>
      </c>
      <c r="D58" s="1">
        <v>1</v>
      </c>
      <c r="E58" s="1">
        <v>0</v>
      </c>
      <c r="F58" s="1">
        <v>0</v>
      </c>
      <c r="G58" s="1">
        <v>0</v>
      </c>
      <c r="H58" s="1">
        <v>0</v>
      </c>
      <c r="I58" s="1">
        <v>0</v>
      </c>
      <c r="J58" s="1">
        <v>0</v>
      </c>
      <c r="K58" s="1">
        <v>0</v>
      </c>
      <c r="L58" s="1">
        <v>0</v>
      </c>
      <c r="M58" s="1">
        <v>0</v>
      </c>
      <c r="N58" s="1">
        <v>0</v>
      </c>
      <c r="O58" s="1">
        <v>0</v>
      </c>
      <c r="P58" s="1">
        <v>10</v>
      </c>
      <c r="Q58" s="1">
        <v>3</v>
      </c>
      <c r="R58" s="1">
        <v>3</v>
      </c>
      <c r="S58" s="1">
        <v>1</v>
      </c>
      <c r="T58" s="1">
        <v>1</v>
      </c>
      <c r="U58" s="1">
        <v>4</v>
      </c>
      <c r="V58" s="1">
        <v>4</v>
      </c>
      <c r="W58" s="1">
        <v>3</v>
      </c>
      <c r="X58" s="1">
        <v>4</v>
      </c>
      <c r="Y58" s="1">
        <v>4</v>
      </c>
      <c r="Z58" s="1">
        <v>4</v>
      </c>
      <c r="AA58" s="1">
        <v>4</v>
      </c>
      <c r="AC58" s="1">
        <v>1</v>
      </c>
      <c r="AD58" s="1">
        <v>0</v>
      </c>
      <c r="AF58" s="3">
        <v>27000000</v>
      </c>
      <c r="AG58" s="1">
        <v>11</v>
      </c>
      <c r="AR58" s="1" t="s">
        <v>118</v>
      </c>
      <c r="BP58" s="1">
        <v>6</v>
      </c>
      <c r="BQ58" s="1" t="s">
        <v>4181</v>
      </c>
      <c r="BR58" s="1" t="s">
        <v>4182</v>
      </c>
      <c r="BS58" s="1" t="s">
        <v>78</v>
      </c>
      <c r="BT58" s="1" t="s">
        <v>79</v>
      </c>
      <c r="BU58" s="1">
        <v>1</v>
      </c>
      <c r="BV58" s="1">
        <v>1</v>
      </c>
      <c r="BW58" s="1">
        <v>1</v>
      </c>
      <c r="BX58" s="1">
        <v>0</v>
      </c>
      <c r="BY58" s="1">
        <v>0</v>
      </c>
      <c r="BZ58" s="1">
        <v>0</v>
      </c>
      <c r="CA58" s="1">
        <v>0</v>
      </c>
      <c r="CB58" s="1">
        <v>0</v>
      </c>
      <c r="CC58" s="1">
        <v>0</v>
      </c>
      <c r="CD58" s="1">
        <v>0</v>
      </c>
      <c r="CE58" s="1">
        <v>0</v>
      </c>
      <c r="CF58" s="1">
        <v>0</v>
      </c>
      <c r="CG58" s="1">
        <v>0</v>
      </c>
      <c r="CH58" s="1">
        <v>0</v>
      </c>
      <c r="CI58" s="1">
        <v>0</v>
      </c>
      <c r="CJ58" s="1">
        <v>4</v>
      </c>
      <c r="CK58" s="1">
        <v>4</v>
      </c>
      <c r="CL58" s="1">
        <v>4</v>
      </c>
      <c r="CM58" s="1">
        <v>4</v>
      </c>
      <c r="CN58" s="1">
        <v>4</v>
      </c>
      <c r="CO58" s="1">
        <v>4</v>
      </c>
      <c r="CP58" s="1">
        <v>4</v>
      </c>
      <c r="CU58" s="1">
        <v>1</v>
      </c>
    </row>
    <row r="59" spans="1:99" x14ac:dyDescent="0.35">
      <c r="A59" s="1" t="s">
        <v>4183</v>
      </c>
      <c r="B59" s="1">
        <v>171511056</v>
      </c>
      <c r="C59" s="1">
        <v>0</v>
      </c>
      <c r="D59" s="1">
        <v>1</v>
      </c>
      <c r="E59" s="1">
        <v>0</v>
      </c>
      <c r="F59" s="1">
        <v>0</v>
      </c>
      <c r="G59" s="1">
        <v>0</v>
      </c>
      <c r="H59" s="1">
        <v>0</v>
      </c>
      <c r="I59" s="1">
        <v>0</v>
      </c>
      <c r="J59" s="1">
        <v>0</v>
      </c>
      <c r="K59" s="1">
        <v>1</v>
      </c>
      <c r="L59" s="1">
        <v>0</v>
      </c>
      <c r="M59" s="1">
        <v>0</v>
      </c>
      <c r="N59" s="1">
        <v>0</v>
      </c>
      <c r="O59" s="1">
        <v>0</v>
      </c>
      <c r="P59" s="1">
        <v>20</v>
      </c>
      <c r="Q59" s="1">
        <v>3</v>
      </c>
      <c r="R59" s="1">
        <v>2</v>
      </c>
      <c r="S59" s="1">
        <v>1</v>
      </c>
      <c r="T59" s="1">
        <v>1</v>
      </c>
      <c r="U59" s="1">
        <v>4</v>
      </c>
      <c r="V59" s="1">
        <v>3</v>
      </c>
      <c r="W59" s="1">
        <v>2</v>
      </c>
      <c r="X59" s="1">
        <v>2</v>
      </c>
      <c r="Y59" s="1">
        <v>4</v>
      </c>
      <c r="Z59" s="1">
        <v>4</v>
      </c>
      <c r="AA59" s="1">
        <v>4</v>
      </c>
      <c r="AC59" s="1">
        <v>2</v>
      </c>
      <c r="AE59" s="1">
        <v>5</v>
      </c>
      <c r="AF59" s="3">
        <v>2700000</v>
      </c>
      <c r="AG59" s="1">
        <v>13</v>
      </c>
      <c r="AT59" s="1" t="s">
        <v>86</v>
      </c>
      <c r="BP59" s="1">
        <v>3</v>
      </c>
      <c r="BQ59" s="1" t="s">
        <v>4184</v>
      </c>
      <c r="BR59" s="1" t="s">
        <v>4185</v>
      </c>
      <c r="BS59" s="1" t="s">
        <v>4186</v>
      </c>
      <c r="BT59" s="1" t="s">
        <v>107</v>
      </c>
      <c r="BU59" s="1">
        <v>1</v>
      </c>
      <c r="BV59" s="1">
        <v>2</v>
      </c>
      <c r="BW59" s="1">
        <v>1</v>
      </c>
      <c r="BX59" s="1">
        <v>0</v>
      </c>
      <c r="BY59" s="1">
        <v>0</v>
      </c>
      <c r="BZ59" s="1">
        <v>0</v>
      </c>
      <c r="CA59" s="1">
        <v>0</v>
      </c>
      <c r="CB59" s="1">
        <v>0</v>
      </c>
      <c r="CC59" s="1">
        <v>0</v>
      </c>
      <c r="CD59" s="1">
        <v>0</v>
      </c>
      <c r="CE59" s="1">
        <v>0</v>
      </c>
      <c r="CF59" s="1">
        <v>0</v>
      </c>
      <c r="CG59" s="1">
        <v>0</v>
      </c>
      <c r="CH59" s="1">
        <v>0</v>
      </c>
      <c r="CI59" s="1">
        <v>0</v>
      </c>
      <c r="CJ59" s="1">
        <v>4</v>
      </c>
      <c r="CK59" s="1">
        <v>3</v>
      </c>
      <c r="CL59" s="1">
        <v>2</v>
      </c>
      <c r="CM59" s="1">
        <v>3</v>
      </c>
      <c r="CN59" s="1">
        <v>4</v>
      </c>
      <c r="CO59" s="1">
        <v>4</v>
      </c>
      <c r="CP59" s="1">
        <v>4</v>
      </c>
      <c r="CU59" s="1">
        <v>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819B6-C623-4D26-851B-6701584C81A5}">
  <dimension ref="A1:CU85"/>
  <sheetViews>
    <sheetView topLeftCell="T1" zoomScale="40" zoomScaleNormal="40" workbookViewId="0">
      <pane ySplit="1" topLeftCell="A2" activePane="bottomLeft" state="frozen"/>
      <selection pane="bottomLeft" activeCell="T43" sqref="T43"/>
    </sheetView>
  </sheetViews>
  <sheetFormatPr defaultColWidth="8.90625" defaultRowHeight="14.5" x14ac:dyDescent="0.35"/>
  <cols>
    <col min="1" max="1" width="47.6328125" style="1" bestFit="1" customWidth="1"/>
    <col min="2" max="2" width="11.7265625" style="1" customWidth="1"/>
    <col min="3" max="9" width="76" style="1" bestFit="1" customWidth="1"/>
    <col min="10" max="10" width="76.7265625" style="1" bestFit="1" customWidth="1"/>
    <col min="11" max="11" width="76.26953125" style="1" bestFit="1" customWidth="1"/>
    <col min="12" max="14" width="76.7265625" style="1" bestFit="1" customWidth="1"/>
    <col min="15" max="15" width="80.08984375" style="1" bestFit="1" customWidth="1"/>
    <col min="16" max="16" width="129.453125" style="1" bestFit="1" customWidth="1"/>
    <col min="17" max="17" width="76" style="1" bestFit="1" customWidth="1"/>
    <col min="18" max="18" width="86.26953125" style="1" bestFit="1" customWidth="1"/>
    <col min="19" max="19" width="30.81640625" style="1" bestFit="1" customWidth="1"/>
    <col min="20" max="20" width="49" style="1" bestFit="1" customWidth="1"/>
    <col min="21" max="21" width="80.36328125" style="1" bestFit="1" customWidth="1"/>
    <col min="22" max="22" width="107.81640625" style="1" bestFit="1" customWidth="1"/>
    <col min="23" max="23" width="89.90625" style="1" bestFit="1" customWidth="1"/>
    <col min="24" max="24" width="108.08984375" style="1" bestFit="1" customWidth="1"/>
    <col min="25" max="25" width="87.1796875" style="1" bestFit="1" customWidth="1"/>
    <col min="26" max="26" width="89.90625" style="1" bestFit="1" customWidth="1"/>
    <col min="27" max="27" width="94.6328125" style="1" bestFit="1" customWidth="1"/>
    <col min="28" max="28" width="50.36328125" style="1" bestFit="1" customWidth="1"/>
    <col min="29" max="29" width="86.90625" style="1" bestFit="1" customWidth="1"/>
    <col min="30" max="30" width="51" style="1" bestFit="1" customWidth="1"/>
    <col min="31" max="31" width="59.1796875" style="1" bestFit="1" customWidth="1"/>
    <col min="32" max="32" width="142.81640625" style="1" bestFit="1" customWidth="1"/>
    <col min="33" max="33" width="47.1796875" style="1" bestFit="1" customWidth="1"/>
    <col min="34" max="35" width="54.90625" style="1" bestFit="1" customWidth="1"/>
    <col min="36" max="37" width="55.36328125" style="1" bestFit="1" customWidth="1"/>
    <col min="38" max="38" width="54.90625" style="1" bestFit="1" customWidth="1"/>
    <col min="39" max="52" width="55.36328125" style="1" bestFit="1" customWidth="1"/>
    <col min="53" max="55" width="54.90625" style="1" bestFit="1" customWidth="1"/>
    <col min="56" max="64" width="55.36328125" style="1" bestFit="1" customWidth="1"/>
    <col min="65" max="67" width="54.90625" style="1" bestFit="1" customWidth="1"/>
    <col min="68" max="68" width="69.6328125" style="1" bestFit="1" customWidth="1"/>
    <col min="69" max="69" width="81.26953125" style="1" bestFit="1" customWidth="1"/>
    <col min="70" max="71" width="54.6328125" style="1" bestFit="1" customWidth="1"/>
    <col min="72" max="72" width="67.1796875" style="1" bestFit="1" customWidth="1"/>
    <col min="73" max="73" width="255.6328125" style="1" bestFit="1" customWidth="1"/>
    <col min="74" max="74" width="76.90625" style="1" bestFit="1" customWidth="1"/>
    <col min="75" max="75" width="138.08984375" style="1" bestFit="1" customWidth="1"/>
    <col min="76" max="83" width="138.54296875" style="1" bestFit="1" customWidth="1"/>
    <col min="84" max="84" width="139.453125" style="1" bestFit="1" customWidth="1"/>
    <col min="85" max="85" width="138.7265625" style="1" bestFit="1" customWidth="1"/>
    <col min="86" max="86" width="139.453125" style="1" bestFit="1" customWidth="1"/>
    <col min="87" max="87" width="142.6328125" style="1" bestFit="1" customWidth="1"/>
    <col min="88" max="88" width="90.54296875" style="1" bestFit="1" customWidth="1"/>
    <col min="89" max="89" width="118.08984375" style="1" bestFit="1" customWidth="1"/>
    <col min="90" max="90" width="100.08984375" style="1" bestFit="1" customWidth="1"/>
    <col min="91" max="91" width="118.26953125" style="1" bestFit="1" customWidth="1"/>
    <col min="92" max="92" width="97.36328125" style="1" bestFit="1" customWidth="1"/>
    <col min="93" max="93" width="100.08984375" style="1" bestFit="1" customWidth="1"/>
    <col min="94" max="94" width="104.90625" style="1" bestFit="1" customWidth="1"/>
    <col min="95" max="95" width="47.6328125" style="1" bestFit="1" customWidth="1"/>
    <col min="96" max="96" width="64.453125" style="1" bestFit="1" customWidth="1"/>
    <col min="97" max="97" width="29.6328125" style="1" bestFit="1" customWidth="1"/>
    <col min="98" max="98" width="30.54296875" style="1" bestFit="1" customWidth="1"/>
    <col min="99" max="99" width="90.81640625" style="1" bestFit="1" customWidth="1"/>
    <col min="100" max="16384" width="8.90625" style="1"/>
  </cols>
  <sheetData>
    <row r="1" spans="1:99" s="6" customFormat="1" x14ac:dyDescent="0.35">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6" t="s">
        <v>15</v>
      </c>
      <c r="Q1" s="6" t="s">
        <v>16</v>
      </c>
      <c r="R1" s="6" t="s">
        <v>17</v>
      </c>
      <c r="S1" s="6" t="s">
        <v>18</v>
      </c>
      <c r="T1" s="6" t="s">
        <v>19</v>
      </c>
      <c r="U1" s="6" t="s">
        <v>20</v>
      </c>
      <c r="V1" s="6" t="s">
        <v>21</v>
      </c>
      <c r="W1" s="6" t="s">
        <v>22</v>
      </c>
      <c r="X1" s="6" t="s">
        <v>23</v>
      </c>
      <c r="Y1" s="6" t="s">
        <v>24</v>
      </c>
      <c r="Z1" s="6" t="s">
        <v>25</v>
      </c>
      <c r="AA1" s="6" t="s">
        <v>26</v>
      </c>
      <c r="AB1" s="6" t="s">
        <v>27</v>
      </c>
      <c r="AC1" s="6" t="s">
        <v>28</v>
      </c>
      <c r="AD1" s="6" t="s">
        <v>29</v>
      </c>
      <c r="AE1" s="6" t="s">
        <v>30</v>
      </c>
      <c r="AF1" s="6" t="s">
        <v>31</v>
      </c>
      <c r="AG1" s="6" t="s">
        <v>32</v>
      </c>
      <c r="AH1" s="6" t="s">
        <v>33</v>
      </c>
      <c r="AI1" s="6" t="s">
        <v>33</v>
      </c>
      <c r="AJ1" s="6" t="s">
        <v>34</v>
      </c>
      <c r="AK1" s="6" t="s">
        <v>34</v>
      </c>
      <c r="AL1" s="6" t="s">
        <v>33</v>
      </c>
      <c r="AM1" s="6" t="s">
        <v>34</v>
      </c>
      <c r="AN1" s="6" t="s">
        <v>34</v>
      </c>
      <c r="AO1" s="6" t="s">
        <v>34</v>
      </c>
      <c r="AP1" s="6" t="s">
        <v>34</v>
      </c>
      <c r="AQ1" s="6" t="s">
        <v>34</v>
      </c>
      <c r="AR1" s="6" t="s">
        <v>34</v>
      </c>
      <c r="AS1" s="6" t="s">
        <v>34</v>
      </c>
      <c r="AT1" s="6" t="s">
        <v>34</v>
      </c>
      <c r="AU1" s="6" t="s">
        <v>34</v>
      </c>
      <c r="AV1" s="6" t="s">
        <v>34</v>
      </c>
      <c r="AW1" s="6" t="s">
        <v>34</v>
      </c>
      <c r="AX1" s="6" t="s">
        <v>34</v>
      </c>
      <c r="AY1" s="6" t="s">
        <v>34</v>
      </c>
      <c r="AZ1" s="6" t="s">
        <v>34</v>
      </c>
      <c r="BA1" s="6" t="s">
        <v>33</v>
      </c>
      <c r="BB1" s="6" t="s">
        <v>33</v>
      </c>
      <c r="BC1" s="6" t="s">
        <v>33</v>
      </c>
      <c r="BD1" s="6" t="s">
        <v>34</v>
      </c>
      <c r="BE1" s="6" t="s">
        <v>34</v>
      </c>
      <c r="BF1" s="6" t="s">
        <v>34</v>
      </c>
      <c r="BG1" s="6" t="s">
        <v>34</v>
      </c>
      <c r="BH1" s="6" t="s">
        <v>34</v>
      </c>
      <c r="BI1" s="6" t="s">
        <v>34</v>
      </c>
      <c r="BJ1" s="6" t="s">
        <v>34</v>
      </c>
      <c r="BK1" s="6" t="s">
        <v>34</v>
      </c>
      <c r="BL1" s="6" t="s">
        <v>34</v>
      </c>
      <c r="BM1" s="6" t="s">
        <v>33</v>
      </c>
      <c r="BN1" s="6" t="s">
        <v>33</v>
      </c>
      <c r="BO1" s="6" t="s">
        <v>33</v>
      </c>
      <c r="BP1" s="6" t="s">
        <v>35</v>
      </c>
      <c r="BQ1" s="6" t="s">
        <v>36</v>
      </c>
      <c r="BR1" s="6" t="s">
        <v>37</v>
      </c>
      <c r="BS1" s="6" t="s">
        <v>38</v>
      </c>
      <c r="BT1" s="6" t="s">
        <v>39</v>
      </c>
      <c r="BU1" s="6" t="s">
        <v>40</v>
      </c>
      <c r="BV1" s="6" t="s">
        <v>41</v>
      </c>
      <c r="BW1" s="6" t="s">
        <v>42</v>
      </c>
      <c r="BX1" s="6" t="s">
        <v>43</v>
      </c>
      <c r="BY1" s="6" t="s">
        <v>44</v>
      </c>
      <c r="BZ1" s="6" t="s">
        <v>45</v>
      </c>
      <c r="CA1" s="6" t="s">
        <v>46</v>
      </c>
      <c r="CB1" s="6" t="s">
        <v>47</v>
      </c>
      <c r="CC1" s="6" t="s">
        <v>48</v>
      </c>
      <c r="CD1" s="6" t="s">
        <v>49</v>
      </c>
      <c r="CE1" s="6" t="s">
        <v>50</v>
      </c>
      <c r="CF1" s="6" t="s">
        <v>51</v>
      </c>
      <c r="CG1" s="6" t="s">
        <v>52</v>
      </c>
      <c r="CH1" s="6" t="s">
        <v>53</v>
      </c>
      <c r="CI1" s="6" t="s">
        <v>54</v>
      </c>
      <c r="CJ1" s="6" t="s">
        <v>55</v>
      </c>
      <c r="CK1" s="6" t="s">
        <v>56</v>
      </c>
      <c r="CL1" s="6" t="s">
        <v>57</v>
      </c>
      <c r="CM1" s="6" t="s">
        <v>58</v>
      </c>
      <c r="CN1" s="6" t="s">
        <v>59</v>
      </c>
      <c r="CO1" s="6" t="s">
        <v>60</v>
      </c>
      <c r="CP1" s="6" t="s">
        <v>61</v>
      </c>
      <c r="CQ1" s="6" t="s">
        <v>62</v>
      </c>
      <c r="CR1" s="6" t="s">
        <v>63</v>
      </c>
      <c r="CS1" s="6" t="s">
        <v>64</v>
      </c>
      <c r="CT1" s="6" t="s">
        <v>65</v>
      </c>
      <c r="CU1" s="6" t="s">
        <v>66</v>
      </c>
    </row>
    <row r="2" spans="1:99" x14ac:dyDescent="0.35">
      <c r="A2" s="1" t="s">
        <v>1267</v>
      </c>
      <c r="B2" s="1">
        <v>181411001</v>
      </c>
      <c r="C2" s="1">
        <v>1</v>
      </c>
      <c r="D2" s="1">
        <v>1</v>
      </c>
      <c r="E2" s="1">
        <v>1</v>
      </c>
      <c r="F2" s="1">
        <v>0</v>
      </c>
      <c r="G2" s="1">
        <v>0</v>
      </c>
      <c r="H2" s="1">
        <v>1</v>
      </c>
      <c r="I2" s="1">
        <v>1</v>
      </c>
      <c r="J2" s="1">
        <v>0</v>
      </c>
      <c r="K2" s="1">
        <v>0</v>
      </c>
      <c r="L2" s="1">
        <v>0</v>
      </c>
      <c r="M2" s="1">
        <v>0</v>
      </c>
      <c r="N2" s="1">
        <v>0</v>
      </c>
      <c r="O2" s="1">
        <v>0</v>
      </c>
      <c r="P2" s="1" t="s">
        <v>545</v>
      </c>
      <c r="Q2" s="1" t="s">
        <v>1268</v>
      </c>
      <c r="R2" s="1">
        <v>4</v>
      </c>
      <c r="S2" s="1">
        <v>1</v>
      </c>
      <c r="T2" s="1">
        <v>1</v>
      </c>
      <c r="U2" s="1">
        <v>4</v>
      </c>
      <c r="V2" s="1">
        <v>3</v>
      </c>
      <c r="W2" s="1">
        <v>4</v>
      </c>
      <c r="X2" s="1">
        <v>4</v>
      </c>
      <c r="Y2" s="1">
        <v>3</v>
      </c>
      <c r="Z2" s="1">
        <v>4</v>
      </c>
      <c r="AA2" s="1">
        <v>3</v>
      </c>
      <c r="AC2" s="1">
        <v>1</v>
      </c>
      <c r="AD2" s="1">
        <v>6</v>
      </c>
      <c r="AF2" s="3">
        <v>5500000</v>
      </c>
      <c r="AG2" s="1">
        <v>13</v>
      </c>
      <c r="AT2" s="1" t="s">
        <v>75</v>
      </c>
      <c r="BP2" s="1">
        <v>3</v>
      </c>
      <c r="BQ2" s="1" t="s">
        <v>1269</v>
      </c>
      <c r="BR2" s="1" t="s">
        <v>1270</v>
      </c>
      <c r="BT2" s="1" t="s">
        <v>73</v>
      </c>
      <c r="BU2" s="1">
        <v>2</v>
      </c>
      <c r="BV2" s="1">
        <v>2</v>
      </c>
      <c r="BW2" s="1">
        <v>1</v>
      </c>
      <c r="BX2" s="1">
        <v>0</v>
      </c>
      <c r="BY2" s="1">
        <v>0</v>
      </c>
      <c r="BZ2" s="1">
        <v>0</v>
      </c>
      <c r="CA2" s="1">
        <v>0</v>
      </c>
      <c r="CB2" s="1">
        <v>0</v>
      </c>
      <c r="CC2" s="1">
        <v>0</v>
      </c>
      <c r="CD2" s="1">
        <v>0</v>
      </c>
      <c r="CE2" s="1">
        <v>0</v>
      </c>
      <c r="CF2" s="1">
        <v>1</v>
      </c>
      <c r="CG2" s="1">
        <v>0</v>
      </c>
      <c r="CH2" s="1">
        <v>0</v>
      </c>
      <c r="CI2" s="1">
        <v>0</v>
      </c>
      <c r="CJ2" s="1">
        <v>4</v>
      </c>
      <c r="CK2" s="1">
        <v>3</v>
      </c>
      <c r="CL2" s="1">
        <v>3</v>
      </c>
      <c r="CM2" s="1">
        <v>3</v>
      </c>
      <c r="CN2" s="1">
        <v>4</v>
      </c>
      <c r="CO2" s="1">
        <v>4</v>
      </c>
      <c r="CP2" s="1">
        <v>4</v>
      </c>
      <c r="CU2" s="1">
        <v>1</v>
      </c>
    </row>
    <row r="3" spans="1:99" x14ac:dyDescent="0.35">
      <c r="A3" s="1" t="s">
        <v>1271</v>
      </c>
      <c r="B3" s="1">
        <v>181411002</v>
      </c>
      <c r="C3" s="1">
        <v>0</v>
      </c>
      <c r="D3" s="1">
        <v>0</v>
      </c>
      <c r="E3" s="1">
        <v>0</v>
      </c>
      <c r="F3" s="1">
        <v>0</v>
      </c>
      <c r="G3" s="1">
        <v>0</v>
      </c>
      <c r="H3" s="1">
        <v>0</v>
      </c>
      <c r="I3" s="1">
        <v>0</v>
      </c>
      <c r="J3" s="1">
        <v>0</v>
      </c>
      <c r="K3" s="1">
        <v>0</v>
      </c>
      <c r="L3" s="1">
        <v>1</v>
      </c>
      <c r="M3" s="1">
        <v>0</v>
      </c>
      <c r="N3" s="1">
        <v>0</v>
      </c>
      <c r="O3" s="1">
        <v>0</v>
      </c>
      <c r="P3" s="1">
        <v>5</v>
      </c>
      <c r="Q3" s="1">
        <v>2</v>
      </c>
      <c r="R3" s="1">
        <v>1</v>
      </c>
      <c r="S3" s="1">
        <v>1</v>
      </c>
      <c r="T3" s="1">
        <v>1</v>
      </c>
      <c r="U3" s="1">
        <v>4</v>
      </c>
      <c r="V3" s="1">
        <v>4</v>
      </c>
      <c r="W3" s="1">
        <v>4</v>
      </c>
      <c r="X3" s="1">
        <v>4</v>
      </c>
      <c r="Y3" s="1">
        <v>4</v>
      </c>
      <c r="Z3" s="1">
        <v>4</v>
      </c>
      <c r="AA3" s="1">
        <v>4</v>
      </c>
      <c r="AC3" s="1">
        <v>2</v>
      </c>
      <c r="AE3" s="1">
        <v>12</v>
      </c>
      <c r="AF3" s="3">
        <v>3300000</v>
      </c>
      <c r="AG3" s="1">
        <v>13</v>
      </c>
      <c r="AT3" s="1" t="s">
        <v>1272</v>
      </c>
      <c r="BP3" s="1">
        <v>4</v>
      </c>
      <c r="BQ3" s="1" t="s">
        <v>1273</v>
      </c>
      <c r="BR3" s="1" t="s">
        <v>1274</v>
      </c>
      <c r="BT3" s="1" t="s">
        <v>79</v>
      </c>
      <c r="BU3" s="1">
        <v>2</v>
      </c>
      <c r="BV3" s="1">
        <v>2</v>
      </c>
      <c r="BW3" s="1">
        <v>1</v>
      </c>
      <c r="BX3" s="1">
        <v>0</v>
      </c>
      <c r="BY3" s="1">
        <v>0</v>
      </c>
      <c r="BZ3" s="1">
        <v>0</v>
      </c>
      <c r="CA3" s="1">
        <v>0</v>
      </c>
      <c r="CB3" s="1">
        <v>0</v>
      </c>
      <c r="CC3" s="1">
        <v>0</v>
      </c>
      <c r="CD3" s="1">
        <v>0</v>
      </c>
      <c r="CE3" s="1">
        <v>0</v>
      </c>
      <c r="CF3" s="1">
        <v>0</v>
      </c>
      <c r="CG3" s="1">
        <v>0</v>
      </c>
      <c r="CH3" s="1">
        <v>0</v>
      </c>
      <c r="CI3" s="1">
        <v>0</v>
      </c>
      <c r="CJ3" s="1">
        <v>3</v>
      </c>
      <c r="CK3" s="1">
        <v>3</v>
      </c>
      <c r="CL3" s="1">
        <v>3</v>
      </c>
      <c r="CM3" s="1">
        <v>4</v>
      </c>
      <c r="CN3" s="1">
        <v>4</v>
      </c>
      <c r="CO3" s="1">
        <v>4</v>
      </c>
      <c r="CP3" s="1">
        <v>4</v>
      </c>
      <c r="CU3" s="1">
        <v>1</v>
      </c>
    </row>
    <row r="4" spans="1:99" x14ac:dyDescent="0.35">
      <c r="A4" s="1" t="s">
        <v>1275</v>
      </c>
      <c r="B4" s="1">
        <v>181411003</v>
      </c>
      <c r="C4" s="1">
        <v>0</v>
      </c>
      <c r="D4" s="1">
        <v>1</v>
      </c>
      <c r="E4" s="1">
        <v>0</v>
      </c>
      <c r="F4" s="1">
        <v>0</v>
      </c>
      <c r="G4" s="1">
        <v>0</v>
      </c>
      <c r="H4" s="1">
        <v>0</v>
      </c>
      <c r="I4" s="1">
        <v>0</v>
      </c>
      <c r="J4" s="1">
        <v>1</v>
      </c>
      <c r="K4" s="1">
        <v>1</v>
      </c>
      <c r="L4" s="1">
        <v>0</v>
      </c>
      <c r="M4" s="1">
        <v>0</v>
      </c>
      <c r="N4" s="1">
        <v>0</v>
      </c>
      <c r="O4" s="1">
        <v>0</v>
      </c>
      <c r="P4" s="1">
        <v>30</v>
      </c>
      <c r="Q4" s="1">
        <v>10</v>
      </c>
      <c r="R4" s="1">
        <v>5</v>
      </c>
      <c r="S4" s="1">
        <v>1</v>
      </c>
      <c r="T4" s="1">
        <v>1</v>
      </c>
      <c r="U4" s="1">
        <v>4</v>
      </c>
      <c r="V4" s="1">
        <v>3</v>
      </c>
      <c r="W4" s="1">
        <v>3</v>
      </c>
      <c r="X4" s="1">
        <v>4</v>
      </c>
      <c r="Y4" s="1">
        <v>4</v>
      </c>
      <c r="Z4" s="1">
        <v>4</v>
      </c>
      <c r="AA4" s="1">
        <v>4</v>
      </c>
      <c r="AC4" s="1">
        <v>1</v>
      </c>
      <c r="AD4" s="1">
        <v>2</v>
      </c>
      <c r="AF4" s="3">
        <v>6000000</v>
      </c>
      <c r="AG4" s="1">
        <v>13</v>
      </c>
      <c r="AT4" s="1" t="s">
        <v>75</v>
      </c>
      <c r="BP4" s="1">
        <v>3</v>
      </c>
      <c r="BQ4" s="1" t="s">
        <v>1276</v>
      </c>
      <c r="BT4" s="1" t="s">
        <v>73</v>
      </c>
      <c r="BU4" s="1">
        <v>3</v>
      </c>
      <c r="BV4" s="1">
        <v>3</v>
      </c>
      <c r="BW4" s="1">
        <v>0</v>
      </c>
      <c r="BX4" s="1">
        <v>1</v>
      </c>
      <c r="BY4" s="1">
        <v>0</v>
      </c>
      <c r="BZ4" s="1">
        <v>0</v>
      </c>
      <c r="CA4" s="1">
        <v>0</v>
      </c>
      <c r="CB4" s="1">
        <v>1</v>
      </c>
      <c r="CC4" s="1">
        <v>1</v>
      </c>
      <c r="CD4" s="1">
        <v>0</v>
      </c>
      <c r="CE4" s="1">
        <v>0</v>
      </c>
      <c r="CF4" s="1">
        <v>0</v>
      </c>
      <c r="CG4" s="1">
        <v>1</v>
      </c>
      <c r="CH4" s="1">
        <v>0</v>
      </c>
      <c r="CI4" s="1">
        <v>0</v>
      </c>
      <c r="CJ4" s="1">
        <v>4</v>
      </c>
      <c r="CK4" s="1">
        <v>4</v>
      </c>
      <c r="CL4" s="1">
        <v>4</v>
      </c>
      <c r="CM4" s="1">
        <v>4</v>
      </c>
      <c r="CN4" s="1">
        <v>4</v>
      </c>
      <c r="CO4" s="1">
        <v>4</v>
      </c>
      <c r="CP4" s="1">
        <v>4</v>
      </c>
      <c r="CU4" s="1">
        <v>1</v>
      </c>
    </row>
    <row r="5" spans="1:99" x14ac:dyDescent="0.35">
      <c r="A5" s="1" t="s">
        <v>1277</v>
      </c>
      <c r="B5" s="1">
        <v>181411004</v>
      </c>
      <c r="C5" s="1">
        <v>0</v>
      </c>
      <c r="D5" s="1">
        <v>1</v>
      </c>
      <c r="E5" s="1">
        <v>0</v>
      </c>
      <c r="F5" s="1">
        <v>0</v>
      </c>
      <c r="G5" s="1">
        <v>0</v>
      </c>
      <c r="H5" s="1">
        <v>1</v>
      </c>
      <c r="I5" s="1">
        <v>0</v>
      </c>
      <c r="J5" s="1">
        <v>0</v>
      </c>
      <c r="K5" s="1">
        <v>1</v>
      </c>
      <c r="L5" s="1">
        <v>0</v>
      </c>
      <c r="M5" s="1">
        <v>1</v>
      </c>
      <c r="N5" s="1">
        <v>0</v>
      </c>
      <c r="O5" s="1">
        <v>0</v>
      </c>
      <c r="P5" s="1">
        <v>4</v>
      </c>
      <c r="Q5" s="1">
        <v>2</v>
      </c>
      <c r="R5" s="1">
        <v>1</v>
      </c>
      <c r="S5" s="1">
        <v>1</v>
      </c>
      <c r="T5" s="1">
        <v>1</v>
      </c>
      <c r="U5" s="1">
        <v>3</v>
      </c>
      <c r="V5" s="1">
        <v>2</v>
      </c>
      <c r="W5" s="1">
        <v>3</v>
      </c>
      <c r="X5" s="1">
        <v>3</v>
      </c>
      <c r="Y5" s="1">
        <v>3</v>
      </c>
      <c r="Z5" s="1">
        <v>3</v>
      </c>
      <c r="AA5" s="1">
        <v>3</v>
      </c>
      <c r="AC5" s="1">
        <v>1</v>
      </c>
      <c r="AD5" s="1">
        <v>2</v>
      </c>
      <c r="AF5" s="3">
        <v>5000000</v>
      </c>
      <c r="AG5" s="1">
        <v>11</v>
      </c>
      <c r="AR5" s="1" t="s">
        <v>130</v>
      </c>
      <c r="BP5" s="1">
        <v>3</v>
      </c>
      <c r="BQ5" s="1" t="s">
        <v>1278</v>
      </c>
      <c r="BR5" s="1" t="s">
        <v>1279</v>
      </c>
      <c r="BS5" s="1" t="s">
        <v>1280</v>
      </c>
      <c r="BT5" s="1" t="s">
        <v>73</v>
      </c>
      <c r="BU5" s="1">
        <v>5</v>
      </c>
      <c r="BV5" s="1">
        <v>2</v>
      </c>
      <c r="BW5" s="1">
        <v>0</v>
      </c>
      <c r="BX5" s="1">
        <v>0</v>
      </c>
      <c r="BY5" s="1">
        <v>0</v>
      </c>
      <c r="BZ5" s="1">
        <v>0</v>
      </c>
      <c r="CA5" s="1">
        <v>0</v>
      </c>
      <c r="CB5" s="1">
        <v>1</v>
      </c>
      <c r="CC5" s="1">
        <v>0</v>
      </c>
      <c r="CD5" s="1">
        <v>0</v>
      </c>
      <c r="CE5" s="1">
        <v>0</v>
      </c>
      <c r="CF5" s="1">
        <v>0</v>
      </c>
      <c r="CG5" s="1">
        <v>1</v>
      </c>
      <c r="CH5" s="1">
        <v>0</v>
      </c>
      <c r="CI5" s="1">
        <v>0</v>
      </c>
      <c r="CJ5" s="1">
        <v>4</v>
      </c>
      <c r="CK5" s="1">
        <v>2</v>
      </c>
      <c r="CL5" s="1">
        <v>4</v>
      </c>
      <c r="CM5" s="1">
        <v>4</v>
      </c>
      <c r="CN5" s="1">
        <v>4</v>
      </c>
      <c r="CO5" s="1">
        <v>4</v>
      </c>
      <c r="CP5" s="1">
        <v>3</v>
      </c>
      <c r="CU5" s="1">
        <v>1</v>
      </c>
    </row>
    <row r="6" spans="1:99" x14ac:dyDescent="0.35">
      <c r="A6" s="1" t="s">
        <v>1281</v>
      </c>
      <c r="B6" s="1">
        <v>181411005</v>
      </c>
      <c r="C6" s="1">
        <v>0</v>
      </c>
      <c r="D6" s="1">
        <v>1</v>
      </c>
      <c r="E6" s="1">
        <v>0</v>
      </c>
      <c r="F6" s="1">
        <v>0</v>
      </c>
      <c r="G6" s="1">
        <v>0</v>
      </c>
      <c r="H6" s="1">
        <v>0</v>
      </c>
      <c r="I6" s="1">
        <v>0</v>
      </c>
      <c r="J6" s="1">
        <v>0</v>
      </c>
      <c r="K6" s="1">
        <v>0</v>
      </c>
      <c r="L6" s="1">
        <v>1</v>
      </c>
      <c r="M6" s="1">
        <v>0</v>
      </c>
      <c r="N6" s="1">
        <v>0</v>
      </c>
      <c r="O6" s="1">
        <v>0</v>
      </c>
      <c r="P6" s="1">
        <v>15</v>
      </c>
      <c r="Q6" s="1">
        <v>3</v>
      </c>
      <c r="R6" s="1">
        <v>3</v>
      </c>
      <c r="S6" s="1">
        <v>3</v>
      </c>
      <c r="T6" s="1">
        <v>1</v>
      </c>
      <c r="U6" s="1">
        <v>3</v>
      </c>
      <c r="V6" s="1">
        <v>3</v>
      </c>
      <c r="W6" s="1">
        <v>2</v>
      </c>
      <c r="X6" s="1">
        <v>3</v>
      </c>
      <c r="Y6" s="1">
        <v>4</v>
      </c>
      <c r="Z6" s="1">
        <v>3</v>
      </c>
      <c r="AA6" s="1">
        <v>3</v>
      </c>
      <c r="AB6" s="1">
        <v>1</v>
      </c>
      <c r="AC6" s="1">
        <v>2</v>
      </c>
      <c r="AE6" s="1">
        <v>1</v>
      </c>
      <c r="AF6" s="3">
        <v>2000000</v>
      </c>
      <c r="AG6" s="1">
        <v>14</v>
      </c>
      <c r="AU6" s="1" t="s">
        <v>1282</v>
      </c>
      <c r="BP6" s="1">
        <v>4</v>
      </c>
      <c r="BQ6" s="1" t="s">
        <v>1283</v>
      </c>
      <c r="BR6" s="1" t="s">
        <v>1284</v>
      </c>
      <c r="BS6" s="1" t="s">
        <v>1285</v>
      </c>
      <c r="BT6" s="1" t="s">
        <v>107</v>
      </c>
      <c r="BU6" s="1">
        <v>4</v>
      </c>
      <c r="BV6" s="1">
        <v>3</v>
      </c>
      <c r="BW6" s="1">
        <v>0</v>
      </c>
      <c r="BX6" s="1">
        <v>1</v>
      </c>
      <c r="BY6" s="1">
        <v>0</v>
      </c>
      <c r="BZ6" s="1">
        <v>0</v>
      </c>
      <c r="CA6" s="1">
        <v>0</v>
      </c>
      <c r="CB6" s="1">
        <v>0</v>
      </c>
      <c r="CC6" s="1">
        <v>0</v>
      </c>
      <c r="CD6" s="1">
        <v>1</v>
      </c>
      <c r="CE6" s="1">
        <v>1</v>
      </c>
      <c r="CF6" s="1">
        <v>1</v>
      </c>
      <c r="CG6" s="1">
        <v>0</v>
      </c>
      <c r="CH6" s="1">
        <v>0</v>
      </c>
      <c r="CI6" s="1">
        <v>0</v>
      </c>
      <c r="CJ6" s="1">
        <v>3</v>
      </c>
      <c r="CK6" s="1">
        <v>3</v>
      </c>
      <c r="CL6" s="1">
        <v>2</v>
      </c>
      <c r="CM6" s="1">
        <v>3</v>
      </c>
      <c r="CN6" s="1">
        <v>4</v>
      </c>
      <c r="CO6" s="1">
        <v>3</v>
      </c>
      <c r="CP6" s="1">
        <v>3</v>
      </c>
      <c r="CU6" s="1">
        <v>2</v>
      </c>
    </row>
    <row r="7" spans="1:99" x14ac:dyDescent="0.35">
      <c r="A7" s="1" t="s">
        <v>1286</v>
      </c>
      <c r="B7" s="1">
        <v>181411006</v>
      </c>
      <c r="C7" s="1">
        <v>0</v>
      </c>
      <c r="D7" s="1">
        <v>1</v>
      </c>
      <c r="E7" s="1">
        <v>0</v>
      </c>
      <c r="F7" s="1">
        <v>0</v>
      </c>
      <c r="G7" s="1">
        <v>0</v>
      </c>
      <c r="H7" s="1">
        <v>0</v>
      </c>
      <c r="I7" s="1">
        <v>0</v>
      </c>
      <c r="J7" s="1">
        <v>0</v>
      </c>
      <c r="K7" s="1">
        <v>1</v>
      </c>
      <c r="L7" s="1">
        <v>0</v>
      </c>
      <c r="M7" s="1">
        <v>0</v>
      </c>
      <c r="N7" s="1">
        <v>0</v>
      </c>
      <c r="O7" s="1">
        <v>0</v>
      </c>
      <c r="P7" s="1" t="s">
        <v>1287</v>
      </c>
      <c r="Q7" s="1">
        <v>3</v>
      </c>
      <c r="R7" s="1">
        <v>1</v>
      </c>
      <c r="S7" s="1">
        <v>1</v>
      </c>
      <c r="T7" s="1">
        <v>1</v>
      </c>
      <c r="U7" s="1">
        <v>4</v>
      </c>
      <c r="V7" s="1">
        <v>2</v>
      </c>
      <c r="W7" s="1">
        <v>2</v>
      </c>
      <c r="X7" s="1">
        <v>3</v>
      </c>
      <c r="Y7" s="1">
        <v>2</v>
      </c>
      <c r="Z7" s="1">
        <v>3</v>
      </c>
      <c r="AA7" s="1">
        <v>2</v>
      </c>
      <c r="AC7" s="1">
        <v>1</v>
      </c>
      <c r="AD7" s="1">
        <v>2</v>
      </c>
      <c r="AF7" s="3">
        <v>5500000</v>
      </c>
      <c r="AG7" s="1">
        <v>13</v>
      </c>
      <c r="AT7" s="1" t="s">
        <v>75</v>
      </c>
      <c r="BP7" s="1">
        <v>3</v>
      </c>
      <c r="BQ7" s="1" t="s">
        <v>1288</v>
      </c>
      <c r="BR7" s="1" t="s">
        <v>1289</v>
      </c>
      <c r="BT7" s="1" t="s">
        <v>73</v>
      </c>
      <c r="BU7" s="1">
        <v>4</v>
      </c>
      <c r="BV7" s="1">
        <v>2</v>
      </c>
      <c r="BW7" s="1">
        <v>0</v>
      </c>
      <c r="BX7" s="1">
        <v>1</v>
      </c>
      <c r="BY7" s="1">
        <v>0</v>
      </c>
      <c r="BZ7" s="1">
        <v>0</v>
      </c>
      <c r="CA7" s="1">
        <v>0</v>
      </c>
      <c r="CB7" s="1">
        <v>1</v>
      </c>
      <c r="CC7" s="1">
        <v>0</v>
      </c>
      <c r="CD7" s="1">
        <v>0</v>
      </c>
      <c r="CE7" s="1">
        <v>0</v>
      </c>
      <c r="CF7" s="1">
        <v>0</v>
      </c>
      <c r="CG7" s="1">
        <v>1</v>
      </c>
      <c r="CH7" s="1">
        <v>1</v>
      </c>
      <c r="CI7" s="1">
        <v>0</v>
      </c>
      <c r="CJ7" s="1">
        <v>3</v>
      </c>
      <c r="CK7" s="1">
        <v>2</v>
      </c>
      <c r="CL7" s="1">
        <v>2</v>
      </c>
      <c r="CM7" s="1">
        <v>2</v>
      </c>
      <c r="CN7" s="1">
        <v>4</v>
      </c>
      <c r="CO7" s="1">
        <v>4</v>
      </c>
      <c r="CP7" s="1">
        <v>4</v>
      </c>
      <c r="CU7" s="1">
        <v>4</v>
      </c>
    </row>
    <row r="8" spans="1:99" x14ac:dyDescent="0.35">
      <c r="A8" s="1" t="s">
        <v>1290</v>
      </c>
      <c r="B8" s="1">
        <v>181411007</v>
      </c>
      <c r="C8" s="1">
        <v>0</v>
      </c>
      <c r="D8" s="1">
        <v>1</v>
      </c>
      <c r="E8" s="1">
        <v>0</v>
      </c>
      <c r="F8" s="1">
        <v>0</v>
      </c>
      <c r="G8" s="1">
        <v>0</v>
      </c>
      <c r="H8" s="1">
        <v>0</v>
      </c>
      <c r="I8" s="1">
        <v>1</v>
      </c>
      <c r="J8" s="1">
        <v>0</v>
      </c>
      <c r="K8" s="1">
        <v>1</v>
      </c>
      <c r="L8" s="1">
        <v>0</v>
      </c>
      <c r="M8" s="1">
        <v>0</v>
      </c>
      <c r="N8" s="1">
        <v>0</v>
      </c>
      <c r="O8" s="1">
        <v>0</v>
      </c>
      <c r="P8" s="1">
        <v>4</v>
      </c>
      <c r="Q8" s="1">
        <v>3</v>
      </c>
      <c r="R8" s="1">
        <v>3</v>
      </c>
      <c r="S8" s="1">
        <v>2</v>
      </c>
      <c r="T8" s="1">
        <v>1</v>
      </c>
      <c r="U8" s="1">
        <v>4</v>
      </c>
      <c r="V8" s="1">
        <v>3</v>
      </c>
      <c r="W8" s="1">
        <v>3</v>
      </c>
      <c r="X8" s="1">
        <v>3</v>
      </c>
      <c r="Y8" s="1">
        <v>4</v>
      </c>
      <c r="Z8" s="1">
        <v>4</v>
      </c>
      <c r="AA8" s="1">
        <v>4</v>
      </c>
      <c r="CU8" s="1">
        <v>1</v>
      </c>
    </row>
    <row r="9" spans="1:99" x14ac:dyDescent="0.35">
      <c r="A9" s="1" t="s">
        <v>1291</v>
      </c>
      <c r="B9" s="1">
        <v>181411008</v>
      </c>
      <c r="C9" s="1">
        <v>0</v>
      </c>
      <c r="D9" s="1">
        <v>1</v>
      </c>
      <c r="E9" s="1">
        <v>0</v>
      </c>
      <c r="F9" s="1">
        <v>0</v>
      </c>
      <c r="G9" s="1">
        <v>0</v>
      </c>
      <c r="H9" s="1">
        <v>0</v>
      </c>
      <c r="I9" s="1">
        <v>0</v>
      </c>
      <c r="J9" s="1">
        <v>1</v>
      </c>
      <c r="K9" s="1">
        <v>1</v>
      </c>
      <c r="L9" s="1">
        <v>0</v>
      </c>
      <c r="M9" s="1">
        <v>0</v>
      </c>
      <c r="N9" s="1">
        <v>0</v>
      </c>
      <c r="O9" s="1">
        <v>0</v>
      </c>
      <c r="P9" s="1">
        <v>25</v>
      </c>
      <c r="Q9" s="1">
        <v>5</v>
      </c>
      <c r="R9" s="1">
        <v>1</v>
      </c>
      <c r="S9" s="1">
        <v>1</v>
      </c>
      <c r="T9" s="1">
        <v>1</v>
      </c>
      <c r="U9" s="1">
        <v>4</v>
      </c>
      <c r="V9" s="1">
        <v>3</v>
      </c>
      <c r="W9" s="1">
        <v>3</v>
      </c>
      <c r="X9" s="1">
        <v>3</v>
      </c>
      <c r="Y9" s="1">
        <v>3</v>
      </c>
      <c r="Z9" s="1">
        <v>4</v>
      </c>
      <c r="AA9" s="1">
        <v>4</v>
      </c>
      <c r="AC9" s="1">
        <v>2</v>
      </c>
      <c r="AE9" s="1">
        <v>1</v>
      </c>
      <c r="AF9" s="3">
        <v>3000000</v>
      </c>
      <c r="AG9" s="1">
        <v>13</v>
      </c>
      <c r="AT9" s="1" t="s">
        <v>427</v>
      </c>
      <c r="BP9" s="1" t="s">
        <v>1292</v>
      </c>
      <c r="BQ9" s="1" t="s">
        <v>1293</v>
      </c>
      <c r="BT9" s="1" t="s">
        <v>79</v>
      </c>
      <c r="BU9" s="1">
        <v>3</v>
      </c>
      <c r="BV9" s="1">
        <v>2</v>
      </c>
      <c r="BW9" s="1">
        <v>1</v>
      </c>
      <c r="BX9" s="1">
        <v>0</v>
      </c>
      <c r="BY9" s="1">
        <v>0</v>
      </c>
      <c r="BZ9" s="1">
        <v>0</v>
      </c>
      <c r="CA9" s="1">
        <v>0</v>
      </c>
      <c r="CB9" s="1">
        <v>0</v>
      </c>
      <c r="CC9" s="1">
        <v>0</v>
      </c>
      <c r="CD9" s="1">
        <v>0</v>
      </c>
      <c r="CE9" s="1">
        <v>0</v>
      </c>
      <c r="CF9" s="1">
        <v>0</v>
      </c>
      <c r="CG9" s="1">
        <v>0</v>
      </c>
      <c r="CH9" s="1">
        <v>0</v>
      </c>
      <c r="CI9" s="1">
        <v>0</v>
      </c>
      <c r="CJ9" s="1">
        <v>4</v>
      </c>
      <c r="CK9" s="1">
        <v>3</v>
      </c>
      <c r="CL9" s="1">
        <v>2</v>
      </c>
      <c r="CM9" s="1">
        <v>3</v>
      </c>
      <c r="CN9" s="1">
        <v>3</v>
      </c>
      <c r="CO9" s="1">
        <v>3</v>
      </c>
      <c r="CP9" s="1">
        <v>3</v>
      </c>
    </row>
    <row r="10" spans="1:99" x14ac:dyDescent="0.35">
      <c r="A10" s="1" t="s">
        <v>1294</v>
      </c>
      <c r="B10" s="1">
        <v>181411009</v>
      </c>
      <c r="C10" s="1">
        <v>0</v>
      </c>
      <c r="D10" s="1">
        <v>1</v>
      </c>
      <c r="E10" s="1">
        <v>0</v>
      </c>
      <c r="F10" s="1">
        <v>0</v>
      </c>
      <c r="G10" s="1">
        <v>0</v>
      </c>
      <c r="H10" s="1">
        <v>1</v>
      </c>
      <c r="I10" s="1">
        <v>0</v>
      </c>
      <c r="J10" s="1">
        <v>0</v>
      </c>
      <c r="K10" s="1">
        <v>0</v>
      </c>
      <c r="L10" s="1">
        <v>0</v>
      </c>
      <c r="M10" s="1">
        <v>0</v>
      </c>
      <c r="N10" s="1">
        <v>0</v>
      </c>
      <c r="O10" s="1">
        <v>0</v>
      </c>
      <c r="P10" s="1">
        <v>2</v>
      </c>
      <c r="Q10" s="1">
        <v>2</v>
      </c>
      <c r="R10" s="1">
        <v>1</v>
      </c>
      <c r="S10" s="1">
        <v>1</v>
      </c>
      <c r="T10" s="1">
        <v>6</v>
      </c>
      <c r="U10" s="1">
        <v>4</v>
      </c>
      <c r="V10" s="1">
        <v>3</v>
      </c>
      <c r="W10" s="1">
        <v>3</v>
      </c>
      <c r="X10" s="1">
        <v>3</v>
      </c>
      <c r="Y10" s="1">
        <v>3</v>
      </c>
      <c r="Z10" s="1">
        <v>4</v>
      </c>
      <c r="AA10" s="1">
        <v>4</v>
      </c>
      <c r="AC10" s="1">
        <v>1</v>
      </c>
      <c r="AD10" s="1">
        <v>0</v>
      </c>
      <c r="AF10" s="3">
        <v>6800000</v>
      </c>
      <c r="AG10" s="1">
        <v>13</v>
      </c>
      <c r="AT10" s="1" t="s">
        <v>75</v>
      </c>
      <c r="BP10" s="1">
        <v>3</v>
      </c>
      <c r="BQ10" s="1" t="s">
        <v>1295</v>
      </c>
      <c r="BR10" s="1" t="s">
        <v>1296</v>
      </c>
      <c r="BS10" s="1" t="s">
        <v>1297</v>
      </c>
      <c r="BT10" s="1" t="s">
        <v>73</v>
      </c>
      <c r="BU10" s="1">
        <v>3</v>
      </c>
      <c r="BV10" s="1">
        <v>2</v>
      </c>
      <c r="BW10" s="1">
        <v>0</v>
      </c>
      <c r="BX10" s="1">
        <v>0</v>
      </c>
      <c r="BY10" s="1">
        <v>1</v>
      </c>
      <c r="BZ10" s="1">
        <v>1</v>
      </c>
      <c r="CA10" s="1">
        <v>0</v>
      </c>
      <c r="CB10" s="1">
        <v>1</v>
      </c>
      <c r="CC10" s="1">
        <v>1</v>
      </c>
      <c r="CD10" s="1">
        <v>0</v>
      </c>
      <c r="CE10" s="1">
        <v>0</v>
      </c>
      <c r="CF10" s="1">
        <v>0</v>
      </c>
      <c r="CG10" s="1">
        <v>1</v>
      </c>
      <c r="CH10" s="1">
        <v>0</v>
      </c>
      <c r="CI10" s="1">
        <v>0</v>
      </c>
      <c r="CJ10" s="1">
        <v>3</v>
      </c>
      <c r="CK10" s="1">
        <v>2</v>
      </c>
      <c r="CL10" s="1">
        <v>4</v>
      </c>
      <c r="CM10" s="1">
        <v>4</v>
      </c>
      <c r="CN10" s="1">
        <v>4</v>
      </c>
      <c r="CO10" s="1">
        <v>4</v>
      </c>
      <c r="CP10" s="1">
        <v>4</v>
      </c>
      <c r="CU10" s="1">
        <v>1</v>
      </c>
    </row>
    <row r="11" spans="1:99" x14ac:dyDescent="0.35">
      <c r="A11" s="1" t="s">
        <v>1298</v>
      </c>
      <c r="B11" s="1">
        <v>181411010</v>
      </c>
      <c r="C11" s="1">
        <v>0</v>
      </c>
      <c r="D11" s="1">
        <v>1</v>
      </c>
      <c r="E11" s="1">
        <v>0</v>
      </c>
      <c r="F11" s="1">
        <v>0</v>
      </c>
      <c r="G11" s="1">
        <v>0</v>
      </c>
      <c r="H11" s="1">
        <v>0</v>
      </c>
      <c r="I11" s="1">
        <v>0</v>
      </c>
      <c r="J11" s="1">
        <v>0</v>
      </c>
      <c r="K11" s="1">
        <v>0</v>
      </c>
      <c r="L11" s="1">
        <v>0</v>
      </c>
      <c r="M11" s="1">
        <v>1</v>
      </c>
      <c r="N11" s="1">
        <v>0</v>
      </c>
      <c r="O11" s="1">
        <v>0</v>
      </c>
      <c r="P11" s="1" t="s">
        <v>1299</v>
      </c>
      <c r="Q11" s="1" t="s">
        <v>1300</v>
      </c>
      <c r="R11" s="1" t="s">
        <v>1300</v>
      </c>
      <c r="S11" s="1">
        <v>1</v>
      </c>
      <c r="T11" s="1">
        <v>1</v>
      </c>
      <c r="U11" s="1">
        <v>4</v>
      </c>
      <c r="V11" s="1">
        <v>3</v>
      </c>
      <c r="W11" s="1">
        <v>3</v>
      </c>
      <c r="X11" s="1">
        <v>4</v>
      </c>
      <c r="Y11" s="1">
        <v>4</v>
      </c>
      <c r="Z11" s="1">
        <v>4</v>
      </c>
      <c r="AA11" s="1">
        <v>4</v>
      </c>
      <c r="AC11" s="1">
        <v>1</v>
      </c>
      <c r="AD11" s="1">
        <v>0</v>
      </c>
      <c r="AF11" s="3">
        <v>3750000</v>
      </c>
      <c r="AG11" s="1">
        <v>12</v>
      </c>
      <c r="AS11" s="1" t="s">
        <v>824</v>
      </c>
      <c r="BP11" s="1">
        <v>3</v>
      </c>
      <c r="BQ11" s="1" t="s">
        <v>1301</v>
      </c>
      <c r="BT11" s="1" t="s">
        <v>73</v>
      </c>
      <c r="BU11" s="1">
        <v>1</v>
      </c>
      <c r="BV11" s="1">
        <v>1</v>
      </c>
      <c r="BW11" s="1">
        <v>1</v>
      </c>
      <c r="BX11" s="1">
        <v>0</v>
      </c>
      <c r="BY11" s="1">
        <v>0</v>
      </c>
      <c r="BZ11" s="1">
        <v>0</v>
      </c>
      <c r="CA11" s="1">
        <v>0</v>
      </c>
      <c r="CB11" s="1">
        <v>0</v>
      </c>
      <c r="CC11" s="1">
        <v>0</v>
      </c>
      <c r="CD11" s="1">
        <v>0</v>
      </c>
      <c r="CE11" s="1">
        <v>0</v>
      </c>
      <c r="CF11" s="1">
        <v>0</v>
      </c>
      <c r="CG11" s="1">
        <v>0</v>
      </c>
      <c r="CH11" s="1">
        <v>0</v>
      </c>
      <c r="CI11" s="1">
        <v>0</v>
      </c>
      <c r="CJ11" s="1">
        <v>4</v>
      </c>
      <c r="CK11" s="1">
        <v>4</v>
      </c>
      <c r="CL11" s="1">
        <v>4</v>
      </c>
      <c r="CM11" s="1">
        <v>4</v>
      </c>
      <c r="CN11" s="1">
        <v>4</v>
      </c>
      <c r="CO11" s="1">
        <v>4</v>
      </c>
      <c r="CP11" s="1">
        <v>4</v>
      </c>
      <c r="CU11" s="1">
        <v>4</v>
      </c>
    </row>
    <row r="12" spans="1:99" x14ac:dyDescent="0.35">
      <c r="A12" s="1" t="s">
        <v>1302</v>
      </c>
      <c r="B12" s="1">
        <v>181411012</v>
      </c>
      <c r="C12" s="1">
        <v>0</v>
      </c>
      <c r="D12" s="1">
        <v>1</v>
      </c>
      <c r="E12" s="1">
        <v>0</v>
      </c>
      <c r="F12" s="1">
        <v>0</v>
      </c>
      <c r="G12" s="1">
        <v>0</v>
      </c>
      <c r="H12" s="1">
        <v>1</v>
      </c>
      <c r="I12" s="1">
        <v>0</v>
      </c>
      <c r="J12" s="1">
        <v>0</v>
      </c>
      <c r="K12" s="1">
        <v>0</v>
      </c>
      <c r="L12" s="1">
        <v>0</v>
      </c>
      <c r="M12" s="1">
        <v>0</v>
      </c>
      <c r="N12" s="1">
        <v>0</v>
      </c>
      <c r="O12" s="1">
        <v>0</v>
      </c>
      <c r="P12" s="1" t="s">
        <v>1051</v>
      </c>
      <c r="Q12" s="1">
        <v>7</v>
      </c>
      <c r="R12" s="1">
        <v>3</v>
      </c>
      <c r="S12" s="1">
        <v>1</v>
      </c>
      <c r="T12" s="1">
        <v>1</v>
      </c>
      <c r="U12" s="1">
        <v>4</v>
      </c>
      <c r="V12" s="1">
        <v>3</v>
      </c>
      <c r="W12" s="1">
        <v>2</v>
      </c>
      <c r="X12" s="1">
        <v>3</v>
      </c>
      <c r="Y12" s="1">
        <v>3</v>
      </c>
      <c r="Z12" s="1">
        <v>3</v>
      </c>
      <c r="AA12" s="1">
        <v>3</v>
      </c>
      <c r="AC12" s="1">
        <v>1</v>
      </c>
      <c r="AD12" s="1">
        <v>4</v>
      </c>
      <c r="AF12" s="3">
        <v>5792000</v>
      </c>
      <c r="AG12" s="1">
        <v>13</v>
      </c>
      <c r="AT12" s="1" t="s">
        <v>75</v>
      </c>
      <c r="BP12" s="1">
        <v>3</v>
      </c>
      <c r="BQ12" s="1" t="s">
        <v>1303</v>
      </c>
      <c r="BR12" s="1" t="s">
        <v>1304</v>
      </c>
      <c r="BT12" s="1" t="s">
        <v>73</v>
      </c>
      <c r="BU12" s="1">
        <v>2</v>
      </c>
      <c r="BV12" s="1">
        <v>3</v>
      </c>
      <c r="BW12" s="1">
        <v>1</v>
      </c>
      <c r="BX12" s="1">
        <v>0</v>
      </c>
      <c r="BY12" s="1">
        <v>0</v>
      </c>
      <c r="BZ12" s="1">
        <v>0</v>
      </c>
      <c r="CA12" s="1">
        <v>0</v>
      </c>
      <c r="CB12" s="1">
        <v>0</v>
      </c>
      <c r="CC12" s="1">
        <v>0</v>
      </c>
      <c r="CD12" s="1">
        <v>0</v>
      </c>
      <c r="CE12" s="1">
        <v>0</v>
      </c>
      <c r="CF12" s="1">
        <v>0</v>
      </c>
      <c r="CG12" s="1">
        <v>0</v>
      </c>
      <c r="CH12" s="1">
        <v>0</v>
      </c>
      <c r="CI12" s="1">
        <v>0</v>
      </c>
      <c r="CJ12" s="1">
        <v>4</v>
      </c>
      <c r="CK12" s="1">
        <v>2</v>
      </c>
      <c r="CL12" s="1">
        <v>2</v>
      </c>
      <c r="CM12" s="1">
        <v>4</v>
      </c>
      <c r="CN12" s="1">
        <v>4</v>
      </c>
      <c r="CO12" s="1">
        <v>4</v>
      </c>
      <c r="CP12" s="1">
        <v>4</v>
      </c>
      <c r="CU12" s="1">
        <v>1</v>
      </c>
    </row>
    <row r="13" spans="1:99" x14ac:dyDescent="0.35">
      <c r="A13" s="1" t="s">
        <v>1305</v>
      </c>
      <c r="B13" s="1">
        <v>181411014</v>
      </c>
      <c r="C13" s="1">
        <v>0</v>
      </c>
      <c r="D13" s="1">
        <v>1</v>
      </c>
      <c r="E13" s="1">
        <v>0</v>
      </c>
      <c r="F13" s="1">
        <v>0</v>
      </c>
      <c r="G13" s="1">
        <v>0</v>
      </c>
      <c r="H13" s="1">
        <v>1</v>
      </c>
      <c r="I13" s="1">
        <v>0</v>
      </c>
      <c r="J13" s="1">
        <v>0</v>
      </c>
      <c r="K13" s="1">
        <v>0</v>
      </c>
      <c r="L13" s="1">
        <v>0</v>
      </c>
      <c r="M13" s="1">
        <v>0</v>
      </c>
      <c r="N13" s="1">
        <v>0</v>
      </c>
      <c r="O13" s="1">
        <v>0</v>
      </c>
      <c r="P13" s="1">
        <v>40</v>
      </c>
      <c r="Q13" s="1">
        <v>6</v>
      </c>
      <c r="R13" s="1">
        <v>5</v>
      </c>
      <c r="S13" s="1">
        <v>1</v>
      </c>
      <c r="T13" s="1">
        <v>1</v>
      </c>
      <c r="U13" s="1">
        <v>4</v>
      </c>
      <c r="V13" s="1">
        <v>3</v>
      </c>
      <c r="W13" s="1">
        <v>3</v>
      </c>
      <c r="X13" s="1">
        <v>4</v>
      </c>
      <c r="Y13" s="1">
        <v>4</v>
      </c>
      <c r="Z13" s="1">
        <v>4</v>
      </c>
      <c r="AA13" s="1">
        <v>3</v>
      </c>
      <c r="AC13" s="1">
        <v>1</v>
      </c>
      <c r="AD13" s="1">
        <v>5</v>
      </c>
      <c r="AF13" s="3">
        <v>3700000</v>
      </c>
      <c r="AG13" s="1">
        <v>13</v>
      </c>
      <c r="AT13" s="1" t="s">
        <v>93</v>
      </c>
      <c r="BP13" s="1">
        <v>3</v>
      </c>
      <c r="BQ13" s="1" t="s">
        <v>1306</v>
      </c>
      <c r="BR13" s="1" t="s">
        <v>1307</v>
      </c>
      <c r="BS13" s="1" t="s">
        <v>4324</v>
      </c>
      <c r="BT13" s="1" t="s">
        <v>79</v>
      </c>
      <c r="BU13" s="1">
        <v>3</v>
      </c>
      <c r="BV13" s="1">
        <v>2</v>
      </c>
      <c r="BW13" s="1">
        <v>0</v>
      </c>
      <c r="BX13" s="1">
        <v>1</v>
      </c>
      <c r="BY13" s="1">
        <v>0</v>
      </c>
      <c r="BZ13" s="1">
        <v>0</v>
      </c>
      <c r="CA13" s="1">
        <v>0</v>
      </c>
      <c r="CB13" s="1">
        <v>0</v>
      </c>
      <c r="CC13" s="1">
        <v>0</v>
      </c>
      <c r="CD13" s="1">
        <v>0</v>
      </c>
      <c r="CE13" s="1">
        <v>0</v>
      </c>
      <c r="CF13" s="1">
        <v>0</v>
      </c>
      <c r="CG13" s="1">
        <v>0</v>
      </c>
      <c r="CH13" s="1">
        <v>0</v>
      </c>
      <c r="CI13" s="1">
        <v>0</v>
      </c>
      <c r="CJ13" s="1">
        <v>4</v>
      </c>
      <c r="CK13" s="1">
        <v>2</v>
      </c>
      <c r="CL13" s="1">
        <v>3</v>
      </c>
      <c r="CM13" s="1">
        <v>2</v>
      </c>
      <c r="CN13" s="1">
        <v>4</v>
      </c>
      <c r="CO13" s="1">
        <v>4</v>
      </c>
      <c r="CP13" s="1">
        <v>4</v>
      </c>
      <c r="CU13" s="1">
        <v>2</v>
      </c>
    </row>
    <row r="14" spans="1:99" x14ac:dyDescent="0.35">
      <c r="A14" s="1" t="s">
        <v>1308</v>
      </c>
      <c r="B14" s="1">
        <v>181411015</v>
      </c>
      <c r="C14" s="1">
        <v>0</v>
      </c>
      <c r="D14" s="1">
        <v>1</v>
      </c>
      <c r="E14" s="1">
        <v>0</v>
      </c>
      <c r="F14" s="1">
        <v>0</v>
      </c>
      <c r="G14" s="1">
        <v>0</v>
      </c>
      <c r="H14" s="1">
        <v>1</v>
      </c>
      <c r="I14" s="1">
        <v>0</v>
      </c>
      <c r="J14" s="1">
        <v>0</v>
      </c>
      <c r="K14" s="1">
        <v>0</v>
      </c>
      <c r="L14" s="1">
        <v>0</v>
      </c>
      <c r="M14" s="1">
        <v>1</v>
      </c>
      <c r="N14" s="1">
        <v>0</v>
      </c>
      <c r="O14" s="1">
        <v>0</v>
      </c>
      <c r="P14" s="1">
        <v>5</v>
      </c>
      <c r="Q14" s="1">
        <v>3</v>
      </c>
      <c r="R14" s="1">
        <v>3</v>
      </c>
      <c r="S14" s="1">
        <v>1</v>
      </c>
      <c r="T14" s="1" t="s">
        <v>1309</v>
      </c>
      <c r="U14" s="1">
        <v>4</v>
      </c>
      <c r="V14" s="1">
        <v>3</v>
      </c>
      <c r="W14" s="1">
        <v>2</v>
      </c>
      <c r="X14" s="1">
        <v>4</v>
      </c>
      <c r="Y14" s="1">
        <v>4</v>
      </c>
      <c r="Z14" s="1">
        <v>4</v>
      </c>
      <c r="AA14" s="1">
        <v>4</v>
      </c>
      <c r="AC14" s="1">
        <v>1</v>
      </c>
      <c r="AD14" s="1">
        <v>0</v>
      </c>
      <c r="AF14" s="3">
        <v>5000000</v>
      </c>
      <c r="AG14" s="1">
        <v>13</v>
      </c>
      <c r="AT14" s="1" t="s">
        <v>402</v>
      </c>
      <c r="BP14" s="1">
        <v>3</v>
      </c>
      <c r="BQ14" s="1" t="s">
        <v>1310</v>
      </c>
      <c r="BR14" s="1" t="s">
        <v>1311</v>
      </c>
      <c r="BS14" s="1" t="s">
        <v>1312</v>
      </c>
      <c r="BT14" s="1" t="s">
        <v>73</v>
      </c>
      <c r="BU14" s="1">
        <v>4</v>
      </c>
      <c r="BV14" s="1">
        <v>2</v>
      </c>
      <c r="BW14" s="1">
        <v>0</v>
      </c>
      <c r="BX14" s="1">
        <v>0</v>
      </c>
      <c r="BY14" s="1">
        <v>0</v>
      </c>
      <c r="BZ14" s="1">
        <v>0</v>
      </c>
      <c r="CA14" s="1">
        <v>0</v>
      </c>
      <c r="CB14" s="1">
        <v>0</v>
      </c>
      <c r="CC14" s="1">
        <v>1</v>
      </c>
      <c r="CD14" s="1">
        <v>1</v>
      </c>
      <c r="CE14" s="1">
        <v>0</v>
      </c>
      <c r="CF14" s="1">
        <v>0</v>
      </c>
      <c r="CG14" s="1">
        <v>0</v>
      </c>
      <c r="CH14" s="1">
        <v>0</v>
      </c>
      <c r="CI14" s="1" t="s">
        <v>1313</v>
      </c>
      <c r="CJ14" s="1">
        <v>4</v>
      </c>
      <c r="CK14" s="1">
        <v>3</v>
      </c>
      <c r="CL14" s="1">
        <v>3</v>
      </c>
      <c r="CM14" s="1">
        <v>4</v>
      </c>
      <c r="CN14" s="1">
        <v>4</v>
      </c>
      <c r="CO14" s="1">
        <v>4</v>
      </c>
      <c r="CP14" s="1">
        <v>4</v>
      </c>
      <c r="CU14" s="1">
        <v>1</v>
      </c>
    </row>
    <row r="15" spans="1:99" x14ac:dyDescent="0.35">
      <c r="A15" s="1" t="s">
        <v>1314</v>
      </c>
      <c r="B15" s="1">
        <v>181411016</v>
      </c>
      <c r="C15" s="1">
        <v>0</v>
      </c>
      <c r="D15" s="1">
        <v>1</v>
      </c>
      <c r="E15" s="1">
        <v>0</v>
      </c>
      <c r="F15" s="1">
        <v>0</v>
      </c>
      <c r="G15" s="1">
        <v>0</v>
      </c>
      <c r="H15" s="1">
        <v>0</v>
      </c>
      <c r="I15" s="1">
        <v>0</v>
      </c>
      <c r="J15" s="1">
        <v>0</v>
      </c>
      <c r="K15" s="1">
        <v>0</v>
      </c>
      <c r="L15" s="1">
        <v>0</v>
      </c>
      <c r="M15" s="1">
        <v>1</v>
      </c>
      <c r="N15" s="1">
        <v>0</v>
      </c>
      <c r="O15" s="1">
        <v>0</v>
      </c>
      <c r="P15" s="1">
        <v>10</v>
      </c>
      <c r="Q15" s="1">
        <v>4</v>
      </c>
      <c r="R15" s="1">
        <v>3</v>
      </c>
      <c r="S15" s="1">
        <v>1</v>
      </c>
      <c r="T15" s="1">
        <v>3</v>
      </c>
      <c r="U15" s="1">
        <v>3</v>
      </c>
      <c r="V15" s="1">
        <v>3</v>
      </c>
      <c r="W15" s="1">
        <v>3</v>
      </c>
      <c r="X15" s="1">
        <v>3</v>
      </c>
      <c r="Y15" s="1">
        <v>3</v>
      </c>
      <c r="Z15" s="1">
        <v>3</v>
      </c>
      <c r="AA15" s="1">
        <v>3</v>
      </c>
      <c r="AC15" s="1">
        <v>1</v>
      </c>
      <c r="AD15" s="1">
        <v>1</v>
      </c>
      <c r="AF15" s="3">
        <v>8000000</v>
      </c>
      <c r="AG15" s="1">
        <v>12</v>
      </c>
      <c r="AS15" s="1" t="s">
        <v>244</v>
      </c>
      <c r="BP15" s="1">
        <v>3</v>
      </c>
      <c r="BQ15" s="1" t="s">
        <v>1301</v>
      </c>
      <c r="BT15" s="1" t="s">
        <v>73</v>
      </c>
      <c r="BU15" s="1">
        <v>1</v>
      </c>
      <c r="BV15" s="1">
        <v>2</v>
      </c>
      <c r="BW15" s="1">
        <v>1</v>
      </c>
      <c r="BX15" s="1">
        <v>0</v>
      </c>
      <c r="BY15" s="1">
        <v>0</v>
      </c>
      <c r="BZ15" s="1">
        <v>0</v>
      </c>
      <c r="CA15" s="1">
        <v>0</v>
      </c>
      <c r="CB15" s="1">
        <v>0</v>
      </c>
      <c r="CC15" s="1">
        <v>0</v>
      </c>
      <c r="CD15" s="1">
        <v>0</v>
      </c>
      <c r="CE15" s="1">
        <v>0</v>
      </c>
      <c r="CF15" s="1">
        <v>0</v>
      </c>
      <c r="CG15" s="1">
        <v>0</v>
      </c>
      <c r="CH15" s="1">
        <v>0</v>
      </c>
      <c r="CI15" s="1">
        <v>0</v>
      </c>
      <c r="CJ15" s="1">
        <v>3</v>
      </c>
      <c r="CK15" s="1">
        <v>3</v>
      </c>
      <c r="CL15" s="1">
        <v>3</v>
      </c>
      <c r="CM15" s="1">
        <v>3</v>
      </c>
      <c r="CN15" s="1">
        <v>3</v>
      </c>
      <c r="CO15" s="1">
        <v>3</v>
      </c>
      <c r="CP15" s="1">
        <v>3</v>
      </c>
      <c r="CU15" s="1">
        <v>1</v>
      </c>
    </row>
    <row r="16" spans="1:99" x14ac:dyDescent="0.35">
      <c r="A16" s="1" t="s">
        <v>1315</v>
      </c>
      <c r="B16" s="1">
        <v>181411017</v>
      </c>
      <c r="C16" s="1">
        <v>0</v>
      </c>
      <c r="D16" s="1">
        <v>1</v>
      </c>
      <c r="E16" s="1">
        <v>0</v>
      </c>
      <c r="F16" s="1">
        <v>0</v>
      </c>
      <c r="G16" s="1">
        <v>0</v>
      </c>
      <c r="H16" s="1">
        <v>0</v>
      </c>
      <c r="I16" s="1">
        <v>0</v>
      </c>
      <c r="J16" s="1">
        <v>0</v>
      </c>
      <c r="K16" s="1">
        <v>0</v>
      </c>
      <c r="L16" s="1">
        <v>0</v>
      </c>
      <c r="M16" s="1">
        <v>0</v>
      </c>
      <c r="N16" s="1">
        <v>0</v>
      </c>
      <c r="O16" s="1">
        <v>0</v>
      </c>
      <c r="P16" s="1" t="s">
        <v>289</v>
      </c>
      <c r="Q16" s="1" t="s">
        <v>570</v>
      </c>
      <c r="R16" s="1" t="s">
        <v>1316</v>
      </c>
      <c r="S16" s="1">
        <v>5</v>
      </c>
      <c r="T16" s="1">
        <v>1</v>
      </c>
      <c r="U16" s="1">
        <v>4</v>
      </c>
      <c r="V16" s="1">
        <v>2</v>
      </c>
      <c r="W16" s="1">
        <v>3</v>
      </c>
      <c r="X16" s="1">
        <v>3</v>
      </c>
      <c r="Y16" s="1">
        <v>3</v>
      </c>
      <c r="Z16" s="1">
        <v>3</v>
      </c>
      <c r="AA16" s="1">
        <v>3</v>
      </c>
      <c r="CU16" s="1">
        <v>4</v>
      </c>
    </row>
    <row r="17" spans="1:99" x14ac:dyDescent="0.35">
      <c r="A17" s="1" t="s">
        <v>1317</v>
      </c>
      <c r="B17" s="1">
        <v>181411018</v>
      </c>
      <c r="C17" s="1">
        <v>0</v>
      </c>
      <c r="D17" s="1">
        <v>1</v>
      </c>
      <c r="E17" s="1">
        <v>0</v>
      </c>
      <c r="F17" s="1">
        <v>0</v>
      </c>
      <c r="G17" s="1">
        <v>0</v>
      </c>
      <c r="H17" s="1">
        <v>1</v>
      </c>
      <c r="I17" s="1">
        <v>0</v>
      </c>
      <c r="J17" s="1">
        <v>1</v>
      </c>
      <c r="K17" s="1">
        <v>1</v>
      </c>
      <c r="L17" s="1">
        <v>0</v>
      </c>
      <c r="M17" s="1">
        <v>0</v>
      </c>
      <c r="N17" s="1">
        <v>0</v>
      </c>
      <c r="O17" s="1">
        <v>0</v>
      </c>
      <c r="P17" s="1" t="s">
        <v>1318</v>
      </c>
      <c r="Q17" s="1">
        <v>25</v>
      </c>
      <c r="R17" s="1">
        <v>10</v>
      </c>
      <c r="S17" s="1">
        <v>1</v>
      </c>
      <c r="T17" s="1">
        <v>1</v>
      </c>
      <c r="U17" s="1">
        <v>4</v>
      </c>
      <c r="V17" s="1">
        <v>2</v>
      </c>
      <c r="W17" s="1">
        <v>2</v>
      </c>
      <c r="X17" s="1">
        <v>3</v>
      </c>
      <c r="Y17" s="1">
        <v>4</v>
      </c>
      <c r="Z17" s="1">
        <v>4</v>
      </c>
      <c r="AA17" s="1">
        <v>4</v>
      </c>
      <c r="AC17" s="1">
        <v>1</v>
      </c>
      <c r="AD17" s="1">
        <v>1</v>
      </c>
      <c r="AF17" s="3">
        <v>8500000</v>
      </c>
      <c r="AG17" s="1">
        <v>12</v>
      </c>
      <c r="AS17" s="1" t="s">
        <v>69</v>
      </c>
      <c r="BP17" s="1">
        <v>3</v>
      </c>
      <c r="BQ17" s="1" t="s">
        <v>1319</v>
      </c>
      <c r="BR17" s="1" t="s">
        <v>1320</v>
      </c>
      <c r="BS17" s="1" t="s">
        <v>1321</v>
      </c>
      <c r="BT17" s="1" t="s">
        <v>79</v>
      </c>
      <c r="BU17" s="1">
        <v>4</v>
      </c>
      <c r="BV17" s="1">
        <v>2</v>
      </c>
      <c r="BW17" s="1">
        <v>0</v>
      </c>
      <c r="BX17" s="1">
        <v>1</v>
      </c>
      <c r="BY17" s="1">
        <v>0</v>
      </c>
      <c r="BZ17" s="1">
        <v>0</v>
      </c>
      <c r="CA17" s="1">
        <v>0</v>
      </c>
      <c r="CB17" s="1">
        <v>1</v>
      </c>
      <c r="CC17" s="1">
        <v>0</v>
      </c>
      <c r="CD17" s="1">
        <v>0</v>
      </c>
      <c r="CE17" s="1">
        <v>0</v>
      </c>
      <c r="CF17" s="1">
        <v>1</v>
      </c>
      <c r="CG17" s="1">
        <v>0</v>
      </c>
      <c r="CH17" s="1">
        <v>1</v>
      </c>
      <c r="CI17" s="1">
        <v>0</v>
      </c>
      <c r="CJ17" s="1">
        <v>4</v>
      </c>
      <c r="CK17" s="1">
        <v>2</v>
      </c>
      <c r="CL17" s="1">
        <v>2</v>
      </c>
      <c r="CM17" s="1">
        <v>3</v>
      </c>
      <c r="CN17" s="1">
        <v>4</v>
      </c>
      <c r="CO17" s="1">
        <v>4</v>
      </c>
      <c r="CP17" s="1">
        <v>4</v>
      </c>
      <c r="CU17" s="1">
        <v>1</v>
      </c>
    </row>
    <row r="18" spans="1:99" x14ac:dyDescent="0.35">
      <c r="A18" s="1" t="s">
        <v>1322</v>
      </c>
      <c r="B18" s="1">
        <v>181411019</v>
      </c>
      <c r="C18" s="1">
        <v>0</v>
      </c>
      <c r="D18" s="1">
        <v>1</v>
      </c>
      <c r="E18" s="1">
        <v>0</v>
      </c>
      <c r="F18" s="1">
        <v>0</v>
      </c>
      <c r="G18" s="1">
        <v>0</v>
      </c>
      <c r="H18" s="1">
        <v>1</v>
      </c>
      <c r="I18" s="1">
        <v>0</v>
      </c>
      <c r="J18" s="1">
        <v>0</v>
      </c>
      <c r="K18" s="1">
        <v>1</v>
      </c>
      <c r="L18" s="1">
        <v>0</v>
      </c>
      <c r="M18" s="1">
        <v>0</v>
      </c>
      <c r="N18" s="1">
        <v>0</v>
      </c>
      <c r="O18" s="1">
        <v>0</v>
      </c>
      <c r="P18" s="1" t="s">
        <v>1323</v>
      </c>
      <c r="Q18" s="1">
        <v>15</v>
      </c>
      <c r="R18" s="1">
        <v>10</v>
      </c>
      <c r="S18" s="1">
        <v>1</v>
      </c>
      <c r="T18" s="1">
        <v>3</v>
      </c>
      <c r="U18" s="1">
        <v>4</v>
      </c>
      <c r="V18" s="1">
        <v>4</v>
      </c>
      <c r="W18" s="1">
        <v>3</v>
      </c>
      <c r="X18" s="1">
        <v>3</v>
      </c>
      <c r="Y18" s="1">
        <v>4</v>
      </c>
      <c r="Z18" s="1">
        <v>4</v>
      </c>
      <c r="AA18" s="1">
        <v>4</v>
      </c>
      <c r="AC18" s="1">
        <v>1</v>
      </c>
      <c r="AD18" s="1">
        <v>1</v>
      </c>
      <c r="AF18" s="3">
        <v>5500000</v>
      </c>
      <c r="AG18" s="1">
        <v>30</v>
      </c>
      <c r="BK18" s="1" t="s">
        <v>1324</v>
      </c>
      <c r="BP18" s="1">
        <v>3</v>
      </c>
      <c r="BQ18" s="1" t="s">
        <v>1325</v>
      </c>
      <c r="BR18" s="1" t="s">
        <v>1326</v>
      </c>
      <c r="BT18" s="1" t="s">
        <v>79</v>
      </c>
      <c r="BU18" s="1">
        <v>3</v>
      </c>
      <c r="BV18" s="1">
        <v>2</v>
      </c>
      <c r="BW18" s="1">
        <v>0</v>
      </c>
      <c r="BX18" s="1">
        <v>1</v>
      </c>
      <c r="BY18" s="1">
        <v>0</v>
      </c>
      <c r="BZ18" s="1">
        <v>0</v>
      </c>
      <c r="CA18" s="1">
        <v>1</v>
      </c>
      <c r="CB18" s="1">
        <v>0</v>
      </c>
      <c r="CC18" s="1">
        <v>0</v>
      </c>
      <c r="CD18" s="1">
        <v>0</v>
      </c>
      <c r="CE18" s="1">
        <v>0</v>
      </c>
      <c r="CF18" s="1">
        <v>0</v>
      </c>
      <c r="CG18" s="1">
        <v>1</v>
      </c>
      <c r="CH18" s="1">
        <v>0</v>
      </c>
      <c r="CI18" s="1">
        <v>0</v>
      </c>
      <c r="CJ18" s="1">
        <v>4</v>
      </c>
      <c r="CK18" s="1">
        <v>3</v>
      </c>
      <c r="CL18" s="1">
        <v>3</v>
      </c>
      <c r="CM18" s="1">
        <v>3</v>
      </c>
      <c r="CN18" s="1">
        <v>4</v>
      </c>
      <c r="CO18" s="1">
        <v>4</v>
      </c>
      <c r="CP18" s="1">
        <v>4</v>
      </c>
      <c r="CU18" s="1">
        <v>4</v>
      </c>
    </row>
    <row r="19" spans="1:99" x14ac:dyDescent="0.35">
      <c r="A19" s="1" t="s">
        <v>1327</v>
      </c>
      <c r="B19" s="1">
        <v>181411020</v>
      </c>
      <c r="C19" s="1">
        <v>0</v>
      </c>
      <c r="D19" s="1">
        <v>0</v>
      </c>
      <c r="E19" s="1">
        <v>0</v>
      </c>
      <c r="F19" s="1">
        <v>0</v>
      </c>
      <c r="G19" s="1">
        <v>0</v>
      </c>
      <c r="H19" s="1">
        <v>0</v>
      </c>
      <c r="I19" s="1">
        <v>0</v>
      </c>
      <c r="J19" s="1">
        <v>0</v>
      </c>
      <c r="K19" s="1">
        <v>1</v>
      </c>
      <c r="L19" s="1">
        <v>0</v>
      </c>
      <c r="M19" s="1">
        <v>0</v>
      </c>
      <c r="N19" s="1">
        <v>0</v>
      </c>
      <c r="O19" s="1">
        <v>0</v>
      </c>
      <c r="P19" s="1" t="s">
        <v>1328</v>
      </c>
      <c r="Q19" s="1" t="s">
        <v>399</v>
      </c>
      <c r="R19" s="1" t="s">
        <v>1329</v>
      </c>
      <c r="S19" s="1">
        <v>1</v>
      </c>
      <c r="T19" s="1">
        <v>1</v>
      </c>
      <c r="U19" s="1">
        <v>3</v>
      </c>
      <c r="V19" s="1">
        <v>3</v>
      </c>
      <c r="W19" s="1">
        <v>2</v>
      </c>
      <c r="X19" s="1">
        <v>2</v>
      </c>
      <c r="Y19" s="1">
        <v>1</v>
      </c>
      <c r="Z19" s="1">
        <v>3</v>
      </c>
      <c r="AA19" s="1">
        <v>2</v>
      </c>
      <c r="AC19" s="1">
        <v>2</v>
      </c>
      <c r="AE19" s="1">
        <v>4</v>
      </c>
      <c r="AF19" s="3">
        <v>5000000</v>
      </c>
      <c r="AG19" s="1">
        <v>11</v>
      </c>
      <c r="AR19" s="1" t="s">
        <v>144</v>
      </c>
      <c r="BP19" s="1">
        <v>3</v>
      </c>
      <c r="BQ19" s="1" t="s">
        <v>1330</v>
      </c>
      <c r="BR19" s="1" t="s">
        <v>1331</v>
      </c>
      <c r="BS19" s="1" t="s">
        <v>1332</v>
      </c>
      <c r="BT19" s="1" t="s">
        <v>79</v>
      </c>
      <c r="BU19" s="1">
        <v>2</v>
      </c>
      <c r="BV19" s="1">
        <v>1</v>
      </c>
      <c r="BW19" s="1">
        <v>1</v>
      </c>
      <c r="BX19" s="1">
        <v>0</v>
      </c>
      <c r="BY19" s="1">
        <v>0</v>
      </c>
      <c r="BZ19" s="1">
        <v>0</v>
      </c>
      <c r="CA19" s="1">
        <v>0</v>
      </c>
      <c r="CB19" s="1">
        <v>0</v>
      </c>
      <c r="CC19" s="1">
        <v>0</v>
      </c>
      <c r="CD19" s="1">
        <v>0</v>
      </c>
      <c r="CE19" s="1">
        <v>0</v>
      </c>
      <c r="CF19" s="1">
        <v>0</v>
      </c>
      <c r="CG19" s="1">
        <v>0</v>
      </c>
      <c r="CH19" s="1">
        <v>0</v>
      </c>
      <c r="CI19" s="1">
        <v>0</v>
      </c>
      <c r="CJ19" s="1">
        <v>4</v>
      </c>
      <c r="CK19" s="1">
        <v>4</v>
      </c>
      <c r="CL19" s="1">
        <v>4</v>
      </c>
      <c r="CM19" s="1">
        <v>4</v>
      </c>
      <c r="CN19" s="1">
        <v>4</v>
      </c>
      <c r="CO19" s="1">
        <v>4</v>
      </c>
      <c r="CP19" s="1">
        <v>4</v>
      </c>
      <c r="CU19" s="1">
        <v>1</v>
      </c>
    </row>
    <row r="20" spans="1:99" x14ac:dyDescent="0.35">
      <c r="A20" s="1" t="s">
        <v>1333</v>
      </c>
      <c r="B20" s="1">
        <v>181411021</v>
      </c>
      <c r="C20" s="1">
        <v>0</v>
      </c>
      <c r="D20" s="1">
        <v>1</v>
      </c>
      <c r="E20" s="1">
        <v>1</v>
      </c>
      <c r="F20" s="1">
        <v>0</v>
      </c>
      <c r="G20" s="1">
        <v>0</v>
      </c>
      <c r="H20" s="1">
        <v>1</v>
      </c>
      <c r="I20" s="1">
        <v>0</v>
      </c>
      <c r="J20" s="1">
        <v>1</v>
      </c>
      <c r="K20" s="1">
        <v>1</v>
      </c>
      <c r="L20" s="1">
        <v>1</v>
      </c>
      <c r="M20" s="1">
        <v>1</v>
      </c>
      <c r="N20" s="1">
        <v>0</v>
      </c>
      <c r="O20" s="1">
        <v>0</v>
      </c>
      <c r="P20" s="1">
        <v>20</v>
      </c>
      <c r="Q20" s="1">
        <v>2</v>
      </c>
      <c r="R20" s="1">
        <v>2</v>
      </c>
      <c r="S20" s="1">
        <v>1</v>
      </c>
      <c r="T20" s="1">
        <v>1</v>
      </c>
      <c r="U20" s="1">
        <v>2</v>
      </c>
      <c r="V20" s="1">
        <v>3</v>
      </c>
      <c r="W20" s="1">
        <v>2</v>
      </c>
      <c r="X20" s="1">
        <v>3</v>
      </c>
      <c r="Y20" s="1">
        <v>4</v>
      </c>
      <c r="Z20" s="1">
        <v>4</v>
      </c>
      <c r="AA20" s="1">
        <v>4</v>
      </c>
      <c r="AC20" s="1">
        <v>1</v>
      </c>
      <c r="AD20" s="1">
        <v>3</v>
      </c>
      <c r="AF20" s="3">
        <v>3700000</v>
      </c>
      <c r="AG20" s="1">
        <v>13</v>
      </c>
      <c r="AT20" s="1" t="s">
        <v>86</v>
      </c>
      <c r="BP20" s="1">
        <v>3</v>
      </c>
      <c r="BQ20" s="1" t="s">
        <v>1334</v>
      </c>
      <c r="BR20" s="1" t="s">
        <v>1335</v>
      </c>
      <c r="BS20" s="1" t="s">
        <v>1336</v>
      </c>
      <c r="BT20" s="1" t="s">
        <v>107</v>
      </c>
      <c r="BU20" s="1">
        <v>4</v>
      </c>
      <c r="BV20" s="1">
        <v>3</v>
      </c>
      <c r="BW20" s="1">
        <v>0</v>
      </c>
      <c r="BX20" s="1">
        <v>1</v>
      </c>
      <c r="BY20" s="1">
        <v>0</v>
      </c>
      <c r="BZ20" s="1">
        <v>0</v>
      </c>
      <c r="CA20" s="1">
        <v>0</v>
      </c>
      <c r="CB20" s="1">
        <v>0</v>
      </c>
      <c r="CC20" s="1">
        <v>0</v>
      </c>
      <c r="CD20" s="1">
        <v>0</v>
      </c>
      <c r="CE20" s="1">
        <v>0</v>
      </c>
      <c r="CF20" s="1">
        <v>0</v>
      </c>
      <c r="CG20" s="1">
        <v>0</v>
      </c>
      <c r="CH20" s="1">
        <v>0</v>
      </c>
      <c r="CI20" s="1" t="s">
        <v>1337</v>
      </c>
      <c r="CJ20" s="1">
        <v>4</v>
      </c>
      <c r="CK20" s="1">
        <v>2</v>
      </c>
      <c r="CL20" s="1">
        <v>2</v>
      </c>
      <c r="CM20" s="1">
        <v>2</v>
      </c>
      <c r="CN20" s="1">
        <v>4</v>
      </c>
      <c r="CO20" s="1">
        <v>4</v>
      </c>
      <c r="CP20" s="1">
        <v>4</v>
      </c>
      <c r="CU20" s="1">
        <v>1</v>
      </c>
    </row>
    <row r="21" spans="1:99" x14ac:dyDescent="0.35">
      <c r="A21" s="1" t="s">
        <v>1338</v>
      </c>
      <c r="B21" s="1">
        <v>181411023</v>
      </c>
      <c r="C21" s="1">
        <v>0</v>
      </c>
      <c r="D21" s="1">
        <v>1</v>
      </c>
      <c r="E21" s="1">
        <v>0</v>
      </c>
      <c r="F21" s="1">
        <v>0</v>
      </c>
      <c r="G21" s="1">
        <v>0</v>
      </c>
      <c r="H21" s="1">
        <v>0</v>
      </c>
      <c r="I21" s="1">
        <v>0</v>
      </c>
      <c r="J21" s="1">
        <v>0</v>
      </c>
      <c r="K21" s="1">
        <v>0</v>
      </c>
      <c r="L21" s="1">
        <v>0</v>
      </c>
      <c r="M21" s="1">
        <v>0</v>
      </c>
      <c r="N21" s="1">
        <v>0</v>
      </c>
      <c r="O21" s="1">
        <v>0</v>
      </c>
      <c r="P21" s="1" t="s">
        <v>1339</v>
      </c>
      <c r="Q21" s="1" t="s">
        <v>1340</v>
      </c>
      <c r="R21" s="1" t="s">
        <v>1340</v>
      </c>
      <c r="S21" s="1">
        <v>1</v>
      </c>
      <c r="T21" s="1">
        <v>1</v>
      </c>
      <c r="U21" s="1">
        <v>3</v>
      </c>
      <c r="V21" s="1">
        <v>2</v>
      </c>
      <c r="W21" s="1">
        <v>1</v>
      </c>
      <c r="X21" s="1">
        <v>3</v>
      </c>
      <c r="Y21" s="1">
        <v>3</v>
      </c>
      <c r="Z21" s="1">
        <v>3</v>
      </c>
      <c r="AA21" s="1">
        <v>2</v>
      </c>
      <c r="AC21" s="1">
        <v>1</v>
      </c>
      <c r="AD21" s="1">
        <v>5</v>
      </c>
      <c r="AF21" s="3">
        <v>4700000</v>
      </c>
      <c r="AG21" s="1">
        <v>11</v>
      </c>
      <c r="AR21" s="1" t="s">
        <v>144</v>
      </c>
      <c r="BP21" s="1">
        <v>3</v>
      </c>
      <c r="BQ21" s="1" t="s">
        <v>1341</v>
      </c>
      <c r="BT21" s="1" t="s">
        <v>73</v>
      </c>
      <c r="BU21" s="1">
        <v>4</v>
      </c>
      <c r="BV21" s="1">
        <v>2</v>
      </c>
      <c r="BW21" s="1">
        <v>0</v>
      </c>
      <c r="BX21" s="1">
        <v>1</v>
      </c>
      <c r="BY21" s="1">
        <v>0</v>
      </c>
      <c r="BZ21" s="1">
        <v>0</v>
      </c>
      <c r="CA21" s="1">
        <v>0</v>
      </c>
      <c r="CB21" s="1">
        <v>0</v>
      </c>
      <c r="CC21" s="1">
        <v>0</v>
      </c>
      <c r="CD21" s="1">
        <v>0</v>
      </c>
      <c r="CE21" s="1">
        <v>0</v>
      </c>
      <c r="CF21" s="1">
        <v>0</v>
      </c>
      <c r="CG21" s="1">
        <v>0</v>
      </c>
      <c r="CH21" s="1">
        <v>0</v>
      </c>
      <c r="CI21" s="1">
        <v>0</v>
      </c>
      <c r="CJ21" s="1">
        <v>4</v>
      </c>
      <c r="CK21" s="1">
        <v>3</v>
      </c>
      <c r="CL21" s="1">
        <v>4</v>
      </c>
      <c r="CM21" s="1">
        <v>4</v>
      </c>
      <c r="CN21" s="1">
        <v>4</v>
      </c>
      <c r="CO21" s="1">
        <v>4</v>
      </c>
      <c r="CP21" s="1">
        <v>4</v>
      </c>
      <c r="CU21" s="1">
        <v>1</v>
      </c>
    </row>
    <row r="22" spans="1:99" x14ac:dyDescent="0.35">
      <c r="A22" s="1" t="s">
        <v>1342</v>
      </c>
      <c r="B22" s="1">
        <v>181411024</v>
      </c>
      <c r="S22" s="1">
        <v>4</v>
      </c>
      <c r="T22" s="1">
        <v>1</v>
      </c>
      <c r="U22" s="1">
        <v>3</v>
      </c>
      <c r="V22" s="1">
        <v>3</v>
      </c>
      <c r="W22" s="1">
        <v>2</v>
      </c>
      <c r="X22" s="1">
        <v>3</v>
      </c>
      <c r="Y22" s="1">
        <v>3</v>
      </c>
      <c r="Z22" s="1">
        <v>3</v>
      </c>
      <c r="AA22" s="1">
        <v>3</v>
      </c>
      <c r="CQ22" s="1">
        <v>1</v>
      </c>
      <c r="CR22" s="1" t="s">
        <v>1343</v>
      </c>
      <c r="CS22" s="1" t="s">
        <v>1344</v>
      </c>
      <c r="CT22" s="5">
        <v>44835</v>
      </c>
      <c r="CU22" s="1">
        <v>4</v>
      </c>
    </row>
    <row r="23" spans="1:99" x14ac:dyDescent="0.35">
      <c r="A23" s="1" t="s">
        <v>1345</v>
      </c>
      <c r="B23" s="1">
        <v>181411025</v>
      </c>
      <c r="C23" s="1">
        <v>0</v>
      </c>
      <c r="D23" s="1">
        <v>1</v>
      </c>
      <c r="E23" s="1">
        <v>0</v>
      </c>
      <c r="F23" s="1">
        <v>0</v>
      </c>
      <c r="G23" s="1">
        <v>0</v>
      </c>
      <c r="H23" s="1">
        <v>0</v>
      </c>
      <c r="I23" s="1">
        <v>0</v>
      </c>
      <c r="J23" s="1">
        <v>0</v>
      </c>
      <c r="K23" s="1">
        <v>0</v>
      </c>
      <c r="L23" s="1">
        <v>0</v>
      </c>
      <c r="M23" s="1">
        <v>0</v>
      </c>
      <c r="N23" s="1">
        <v>0</v>
      </c>
      <c r="O23" s="1">
        <v>0</v>
      </c>
      <c r="P23" s="1">
        <v>0</v>
      </c>
      <c r="Q23" s="1">
        <v>0</v>
      </c>
      <c r="R23" s="1">
        <v>1</v>
      </c>
      <c r="S23" s="1">
        <v>1</v>
      </c>
      <c r="T23" s="1">
        <v>1</v>
      </c>
      <c r="U23" s="1">
        <v>3</v>
      </c>
      <c r="V23" s="1">
        <v>3</v>
      </c>
      <c r="W23" s="1">
        <v>3</v>
      </c>
      <c r="X23" s="1">
        <v>3</v>
      </c>
      <c r="Y23" s="1">
        <v>3</v>
      </c>
      <c r="Z23" s="1">
        <v>4</v>
      </c>
      <c r="AA23" s="1">
        <v>4</v>
      </c>
      <c r="AC23" s="1">
        <v>1</v>
      </c>
      <c r="AD23" s="1">
        <v>0</v>
      </c>
      <c r="AF23" s="3">
        <v>5000000</v>
      </c>
      <c r="AG23" s="1">
        <v>13</v>
      </c>
      <c r="AT23" s="1" t="s">
        <v>427</v>
      </c>
      <c r="BP23" s="1">
        <v>3</v>
      </c>
      <c r="BQ23" s="1" t="s">
        <v>1346</v>
      </c>
      <c r="BR23" s="1" t="s">
        <v>1347</v>
      </c>
      <c r="BS23" s="1" t="s">
        <v>4325</v>
      </c>
      <c r="BT23" s="1" t="s">
        <v>79</v>
      </c>
      <c r="BU23" s="1">
        <v>3</v>
      </c>
      <c r="BV23" s="1">
        <v>1</v>
      </c>
      <c r="BW23" s="1">
        <v>0</v>
      </c>
      <c r="BX23" s="1">
        <v>0</v>
      </c>
      <c r="BY23" s="1">
        <v>0</v>
      </c>
      <c r="BZ23" s="1">
        <v>0</v>
      </c>
      <c r="CA23" s="1">
        <v>0</v>
      </c>
      <c r="CB23" s="1">
        <v>0</v>
      </c>
      <c r="CC23" s="1">
        <v>1</v>
      </c>
      <c r="CD23" s="1">
        <v>0</v>
      </c>
      <c r="CE23" s="1">
        <v>0</v>
      </c>
      <c r="CF23" s="1">
        <v>0</v>
      </c>
      <c r="CG23" s="1">
        <v>1</v>
      </c>
      <c r="CH23" s="1">
        <v>1</v>
      </c>
      <c r="CI23" s="1">
        <v>0</v>
      </c>
      <c r="CJ23" s="1">
        <v>4</v>
      </c>
      <c r="CK23" s="1">
        <v>4</v>
      </c>
      <c r="CL23" s="1">
        <v>3</v>
      </c>
      <c r="CM23" s="1">
        <v>3</v>
      </c>
      <c r="CN23" s="1">
        <v>4</v>
      </c>
      <c r="CO23" s="1">
        <v>4</v>
      </c>
      <c r="CP23" s="1">
        <v>4</v>
      </c>
      <c r="CU23" s="1">
        <v>1</v>
      </c>
    </row>
    <row r="24" spans="1:99" x14ac:dyDescent="0.35">
      <c r="A24" s="1" t="s">
        <v>1348</v>
      </c>
      <c r="B24" s="1">
        <v>181411026</v>
      </c>
      <c r="C24" s="1">
        <v>1</v>
      </c>
      <c r="D24" s="1">
        <v>1</v>
      </c>
      <c r="E24" s="1">
        <v>1</v>
      </c>
      <c r="F24" s="1">
        <v>0</v>
      </c>
      <c r="G24" s="1">
        <v>0</v>
      </c>
      <c r="H24" s="1">
        <v>1</v>
      </c>
      <c r="I24" s="1">
        <v>1</v>
      </c>
      <c r="J24" s="1">
        <v>1</v>
      </c>
      <c r="K24" s="1">
        <v>1</v>
      </c>
      <c r="L24" s="1">
        <v>0</v>
      </c>
      <c r="M24" s="1">
        <v>0</v>
      </c>
      <c r="N24" s="1">
        <v>0</v>
      </c>
      <c r="O24" s="1">
        <v>0</v>
      </c>
      <c r="P24" s="1">
        <v>20</v>
      </c>
      <c r="Q24" s="1">
        <v>5</v>
      </c>
      <c r="R24" s="1">
        <v>2</v>
      </c>
      <c r="S24" s="1">
        <v>1</v>
      </c>
      <c r="T24" s="1">
        <v>1</v>
      </c>
      <c r="U24" s="1">
        <v>3</v>
      </c>
      <c r="V24" s="1">
        <v>3</v>
      </c>
      <c r="W24" s="1">
        <v>2</v>
      </c>
      <c r="X24" s="1">
        <v>4</v>
      </c>
      <c r="Y24" s="1">
        <v>3</v>
      </c>
      <c r="Z24" s="1">
        <v>4</v>
      </c>
      <c r="AA24" s="1">
        <v>3</v>
      </c>
      <c r="AC24" s="1">
        <v>2</v>
      </c>
      <c r="AE24" s="1">
        <v>1</v>
      </c>
      <c r="AF24" s="3">
        <v>3450000</v>
      </c>
      <c r="AG24" s="1">
        <v>13</v>
      </c>
      <c r="AT24" s="1" t="s">
        <v>209</v>
      </c>
      <c r="BP24" s="1">
        <v>3</v>
      </c>
      <c r="BQ24" s="1" t="s">
        <v>1349</v>
      </c>
      <c r="BR24" s="1" t="s">
        <v>1350</v>
      </c>
      <c r="BT24" s="1" t="s">
        <v>107</v>
      </c>
      <c r="BU24" s="1">
        <v>4</v>
      </c>
      <c r="BV24" s="1">
        <v>2</v>
      </c>
      <c r="BW24" s="1">
        <v>0</v>
      </c>
      <c r="BX24" s="1">
        <v>1</v>
      </c>
      <c r="BY24" s="1">
        <v>0</v>
      </c>
      <c r="BZ24" s="1">
        <v>0</v>
      </c>
      <c r="CA24" s="1">
        <v>0</v>
      </c>
      <c r="CB24" s="1">
        <v>0</v>
      </c>
      <c r="CC24" s="1">
        <v>0</v>
      </c>
      <c r="CD24" s="1">
        <v>0</v>
      </c>
      <c r="CE24" s="1">
        <v>0</v>
      </c>
      <c r="CF24" s="1">
        <v>0</v>
      </c>
      <c r="CG24" s="1">
        <v>0</v>
      </c>
      <c r="CH24" s="1">
        <v>1</v>
      </c>
      <c r="CI24" s="1">
        <v>0</v>
      </c>
      <c r="CJ24" s="1">
        <v>4</v>
      </c>
      <c r="CK24" s="1">
        <v>3</v>
      </c>
      <c r="CL24" s="1">
        <v>2</v>
      </c>
      <c r="CM24" s="1">
        <v>4</v>
      </c>
      <c r="CN24" s="1">
        <v>4</v>
      </c>
      <c r="CO24" s="1">
        <v>4</v>
      </c>
      <c r="CP24" s="1">
        <v>4</v>
      </c>
      <c r="CU24" s="1">
        <v>1</v>
      </c>
    </row>
    <row r="25" spans="1:99" x14ac:dyDescent="0.35">
      <c r="A25" s="1" t="s">
        <v>1351</v>
      </c>
      <c r="B25" s="1">
        <v>181411027</v>
      </c>
      <c r="C25" s="1">
        <v>0</v>
      </c>
      <c r="D25" s="1">
        <v>0</v>
      </c>
      <c r="E25" s="1">
        <v>0</v>
      </c>
      <c r="F25" s="1">
        <v>0</v>
      </c>
      <c r="G25" s="1">
        <v>0</v>
      </c>
      <c r="H25" s="1">
        <v>0</v>
      </c>
      <c r="I25" s="1">
        <v>0</v>
      </c>
      <c r="J25" s="1">
        <v>0</v>
      </c>
      <c r="K25" s="1">
        <v>1</v>
      </c>
      <c r="L25" s="1">
        <v>0</v>
      </c>
      <c r="M25" s="1">
        <v>0</v>
      </c>
      <c r="N25" s="1">
        <v>0</v>
      </c>
      <c r="O25" s="1">
        <v>0</v>
      </c>
      <c r="P25" s="1">
        <v>2</v>
      </c>
      <c r="Q25" s="1">
        <v>2</v>
      </c>
      <c r="R25" s="1">
        <v>2</v>
      </c>
      <c r="S25" s="1">
        <v>1</v>
      </c>
      <c r="T25" s="1">
        <v>1</v>
      </c>
      <c r="U25" s="1">
        <v>3</v>
      </c>
      <c r="V25" s="1">
        <v>3</v>
      </c>
      <c r="W25" s="1">
        <v>3</v>
      </c>
      <c r="X25" s="1">
        <v>3</v>
      </c>
      <c r="Y25" s="1">
        <v>3</v>
      </c>
      <c r="Z25" s="1">
        <v>3</v>
      </c>
      <c r="AA25" s="1">
        <v>3</v>
      </c>
      <c r="AC25" s="1">
        <v>2</v>
      </c>
      <c r="AE25" s="1">
        <v>8</v>
      </c>
      <c r="AF25" s="3">
        <v>5600000</v>
      </c>
      <c r="AG25" s="1">
        <v>13</v>
      </c>
      <c r="AT25" s="1" t="s">
        <v>75</v>
      </c>
      <c r="BP25" s="1">
        <v>3</v>
      </c>
      <c r="BQ25" s="1" t="s">
        <v>1352</v>
      </c>
      <c r="BT25" s="1" t="s">
        <v>107</v>
      </c>
      <c r="BU25" s="1">
        <v>3</v>
      </c>
      <c r="BV25" s="1">
        <v>2</v>
      </c>
      <c r="BW25" s="1">
        <v>0</v>
      </c>
      <c r="BX25" s="1">
        <v>0</v>
      </c>
      <c r="BY25" s="1">
        <v>0</v>
      </c>
      <c r="BZ25" s="1">
        <v>0</v>
      </c>
      <c r="CA25" s="1">
        <v>0</v>
      </c>
      <c r="CB25" s="1">
        <v>1</v>
      </c>
      <c r="CC25" s="1">
        <v>1</v>
      </c>
      <c r="CD25" s="1">
        <v>0</v>
      </c>
      <c r="CE25" s="1">
        <v>0</v>
      </c>
      <c r="CF25" s="1">
        <v>0</v>
      </c>
      <c r="CG25" s="1">
        <v>0</v>
      </c>
      <c r="CH25" s="1">
        <v>0</v>
      </c>
      <c r="CI25" s="1">
        <v>0</v>
      </c>
      <c r="CJ25" s="1">
        <v>4</v>
      </c>
      <c r="CK25" s="1">
        <v>3</v>
      </c>
      <c r="CL25" s="1">
        <v>3</v>
      </c>
      <c r="CM25" s="1">
        <v>3</v>
      </c>
      <c r="CN25" s="1">
        <v>4</v>
      </c>
      <c r="CO25" s="1">
        <v>4</v>
      </c>
      <c r="CP25" s="1">
        <v>4</v>
      </c>
      <c r="CU25" s="1">
        <v>1</v>
      </c>
    </row>
    <row r="26" spans="1:99" x14ac:dyDescent="0.35">
      <c r="A26" s="1" t="s">
        <v>1353</v>
      </c>
      <c r="B26" s="1">
        <v>181411028</v>
      </c>
      <c r="C26" s="1">
        <v>1</v>
      </c>
      <c r="D26" s="1">
        <v>1</v>
      </c>
      <c r="E26" s="1">
        <v>1</v>
      </c>
      <c r="F26" s="1">
        <v>0</v>
      </c>
      <c r="G26" s="1">
        <v>1</v>
      </c>
      <c r="H26" s="1">
        <v>1</v>
      </c>
      <c r="I26" s="1">
        <v>0</v>
      </c>
      <c r="J26" s="1">
        <v>0</v>
      </c>
      <c r="K26" s="1">
        <v>1</v>
      </c>
      <c r="L26" s="1">
        <v>0</v>
      </c>
      <c r="M26" s="1">
        <v>0</v>
      </c>
      <c r="N26" s="1">
        <v>0</v>
      </c>
      <c r="O26" s="1">
        <v>0</v>
      </c>
      <c r="P26" s="1" t="s">
        <v>117</v>
      </c>
      <c r="Q26" s="1">
        <v>5</v>
      </c>
      <c r="R26" s="1">
        <v>3</v>
      </c>
      <c r="S26" s="1">
        <v>5</v>
      </c>
      <c r="T26" s="1">
        <v>6</v>
      </c>
      <c r="U26" s="1">
        <v>4</v>
      </c>
      <c r="V26" s="1">
        <v>4</v>
      </c>
      <c r="W26" s="1">
        <v>4</v>
      </c>
      <c r="X26" s="1">
        <v>4</v>
      </c>
      <c r="Y26" s="1">
        <v>4</v>
      </c>
      <c r="Z26" s="1">
        <v>4</v>
      </c>
      <c r="AA26" s="1">
        <v>4</v>
      </c>
      <c r="CU26" s="1">
        <v>4</v>
      </c>
    </row>
    <row r="27" spans="1:99" x14ac:dyDescent="0.35">
      <c r="A27" s="1" t="s">
        <v>1354</v>
      </c>
      <c r="B27" s="1">
        <v>181411029</v>
      </c>
      <c r="C27" s="1">
        <v>0</v>
      </c>
      <c r="D27" s="1">
        <v>1</v>
      </c>
      <c r="E27" s="1">
        <v>0</v>
      </c>
      <c r="F27" s="1">
        <v>0</v>
      </c>
      <c r="G27" s="1">
        <v>0</v>
      </c>
      <c r="H27" s="1">
        <v>0</v>
      </c>
      <c r="I27" s="1">
        <v>0</v>
      </c>
      <c r="J27" s="1">
        <v>0</v>
      </c>
      <c r="K27" s="1">
        <v>0</v>
      </c>
      <c r="L27" s="1">
        <v>0</v>
      </c>
      <c r="M27" s="1">
        <v>0</v>
      </c>
      <c r="N27" s="1">
        <v>0</v>
      </c>
      <c r="O27" s="1">
        <v>0</v>
      </c>
      <c r="P27" s="1">
        <v>30</v>
      </c>
      <c r="Q27" s="1">
        <v>10</v>
      </c>
      <c r="R27" s="1">
        <v>5</v>
      </c>
      <c r="S27" s="1">
        <v>1</v>
      </c>
      <c r="T27" s="1">
        <v>1</v>
      </c>
      <c r="U27" s="1">
        <v>4</v>
      </c>
      <c r="V27" s="1">
        <v>4</v>
      </c>
      <c r="W27" s="1">
        <v>3</v>
      </c>
      <c r="X27" s="1">
        <v>4</v>
      </c>
      <c r="Y27" s="1">
        <v>4</v>
      </c>
      <c r="Z27" s="1">
        <v>4</v>
      </c>
      <c r="AA27" s="1">
        <v>4</v>
      </c>
      <c r="AC27" s="1">
        <v>1</v>
      </c>
      <c r="AD27" s="1">
        <v>6</v>
      </c>
      <c r="AF27" s="3">
        <v>4000000</v>
      </c>
      <c r="AG27" s="1">
        <v>8</v>
      </c>
      <c r="AO27" s="1" t="s">
        <v>1355</v>
      </c>
      <c r="BP27" s="1">
        <v>1</v>
      </c>
      <c r="BQ27" s="1" t="s">
        <v>1356</v>
      </c>
      <c r="BR27" s="1" t="s">
        <v>1357</v>
      </c>
      <c r="BT27" s="1" t="s">
        <v>79</v>
      </c>
      <c r="BU27" s="1">
        <v>4</v>
      </c>
      <c r="BV27" s="1">
        <v>1</v>
      </c>
      <c r="BW27" s="1">
        <v>0</v>
      </c>
      <c r="BX27" s="1">
        <v>1</v>
      </c>
      <c r="BY27" s="1">
        <v>0</v>
      </c>
      <c r="BZ27" s="1">
        <v>0</v>
      </c>
      <c r="CA27" s="1">
        <v>0</v>
      </c>
      <c r="CB27" s="1">
        <v>0</v>
      </c>
      <c r="CC27" s="1">
        <v>0</v>
      </c>
      <c r="CD27" s="1">
        <v>0</v>
      </c>
      <c r="CE27" s="1">
        <v>1</v>
      </c>
      <c r="CF27" s="1">
        <v>1</v>
      </c>
      <c r="CG27" s="1">
        <v>0</v>
      </c>
      <c r="CH27" s="1">
        <v>0</v>
      </c>
      <c r="CI27" s="1">
        <v>0</v>
      </c>
      <c r="CJ27" s="1">
        <v>2</v>
      </c>
      <c r="CK27" s="1">
        <v>3</v>
      </c>
      <c r="CL27" s="1">
        <v>4</v>
      </c>
      <c r="CM27" s="1">
        <v>4</v>
      </c>
      <c r="CN27" s="1">
        <v>4</v>
      </c>
      <c r="CO27" s="1">
        <v>4</v>
      </c>
      <c r="CP27" s="1">
        <v>4</v>
      </c>
      <c r="CU27" s="1">
        <v>4</v>
      </c>
    </row>
    <row r="28" spans="1:99" x14ac:dyDescent="0.35">
      <c r="A28" s="1" t="s">
        <v>1358</v>
      </c>
      <c r="B28" s="1">
        <v>181411030</v>
      </c>
      <c r="C28" s="1">
        <v>0</v>
      </c>
      <c r="D28" s="1">
        <v>1</v>
      </c>
      <c r="E28" s="1">
        <v>0</v>
      </c>
      <c r="F28" s="1">
        <v>0</v>
      </c>
      <c r="G28" s="1">
        <v>0</v>
      </c>
      <c r="H28" s="1">
        <v>0</v>
      </c>
      <c r="I28" s="1">
        <v>0</v>
      </c>
      <c r="J28" s="1">
        <v>0</v>
      </c>
      <c r="K28" s="1">
        <v>1</v>
      </c>
      <c r="L28" s="1">
        <v>0</v>
      </c>
      <c r="M28" s="1">
        <v>0</v>
      </c>
      <c r="N28" s="1">
        <v>0</v>
      </c>
      <c r="O28" s="1">
        <v>0</v>
      </c>
      <c r="P28" s="1">
        <v>10</v>
      </c>
      <c r="Q28" s="1">
        <v>2</v>
      </c>
      <c r="R28" s="1">
        <v>2</v>
      </c>
      <c r="S28" s="1">
        <v>1</v>
      </c>
      <c r="T28" s="1">
        <v>1</v>
      </c>
      <c r="U28" s="1">
        <v>3</v>
      </c>
      <c r="V28" s="1">
        <v>3</v>
      </c>
      <c r="W28" s="1">
        <v>2</v>
      </c>
      <c r="X28" s="1">
        <v>3</v>
      </c>
      <c r="Y28" s="1">
        <v>2</v>
      </c>
      <c r="Z28" s="1">
        <v>3</v>
      </c>
      <c r="AA28" s="1">
        <v>3</v>
      </c>
      <c r="AC28" s="1">
        <v>1</v>
      </c>
      <c r="AD28" s="1">
        <v>6</v>
      </c>
      <c r="AF28" s="3">
        <v>5000000</v>
      </c>
      <c r="AG28" s="1">
        <v>13</v>
      </c>
      <c r="AT28" s="1" t="s">
        <v>75</v>
      </c>
      <c r="BP28" s="1">
        <v>3</v>
      </c>
      <c r="BQ28" s="1" t="s">
        <v>1303</v>
      </c>
      <c r="BR28" s="1" t="s">
        <v>1270</v>
      </c>
      <c r="BT28" s="1" t="s">
        <v>73</v>
      </c>
      <c r="BU28" s="1">
        <v>3</v>
      </c>
      <c r="BV28" s="1">
        <v>2</v>
      </c>
      <c r="BW28" s="1">
        <v>1</v>
      </c>
      <c r="BX28" s="1">
        <v>0</v>
      </c>
      <c r="BY28" s="1">
        <v>0</v>
      </c>
      <c r="BZ28" s="1">
        <v>0</v>
      </c>
      <c r="CA28" s="1">
        <v>0</v>
      </c>
      <c r="CB28" s="1">
        <v>0</v>
      </c>
      <c r="CC28" s="1">
        <v>0</v>
      </c>
      <c r="CD28" s="1">
        <v>0</v>
      </c>
      <c r="CE28" s="1">
        <v>0</v>
      </c>
      <c r="CF28" s="1">
        <v>0</v>
      </c>
      <c r="CG28" s="1">
        <v>0</v>
      </c>
      <c r="CH28" s="1">
        <v>0</v>
      </c>
      <c r="CI28" s="1">
        <v>0</v>
      </c>
      <c r="CJ28" s="1">
        <v>3</v>
      </c>
      <c r="CK28" s="1">
        <v>3</v>
      </c>
      <c r="CL28" s="1">
        <v>3</v>
      </c>
      <c r="CM28" s="1">
        <v>3</v>
      </c>
      <c r="CN28" s="1">
        <v>3</v>
      </c>
      <c r="CO28" s="1">
        <v>3</v>
      </c>
      <c r="CP28" s="1">
        <v>3</v>
      </c>
      <c r="CU28" s="1">
        <v>1</v>
      </c>
    </row>
    <row r="29" spans="1:99" x14ac:dyDescent="0.35">
      <c r="A29" s="1" t="s">
        <v>1359</v>
      </c>
      <c r="B29" s="1">
        <v>181411031</v>
      </c>
      <c r="C29" s="1">
        <v>0</v>
      </c>
      <c r="D29" s="1">
        <v>1</v>
      </c>
      <c r="E29" s="1">
        <v>0</v>
      </c>
      <c r="F29" s="1">
        <v>0</v>
      </c>
      <c r="G29" s="1">
        <v>0</v>
      </c>
      <c r="H29" s="1">
        <v>0</v>
      </c>
      <c r="I29" s="1">
        <v>0</v>
      </c>
      <c r="J29" s="1">
        <v>0</v>
      </c>
      <c r="K29" s="1">
        <v>0</v>
      </c>
      <c r="L29" s="1">
        <v>0</v>
      </c>
      <c r="M29" s="1">
        <v>0</v>
      </c>
      <c r="N29" s="1">
        <v>0</v>
      </c>
      <c r="O29" s="1">
        <v>0</v>
      </c>
      <c r="P29" s="1">
        <v>13</v>
      </c>
      <c r="Q29" s="1">
        <v>2</v>
      </c>
      <c r="R29" s="1">
        <v>2</v>
      </c>
      <c r="S29" s="1">
        <v>1</v>
      </c>
      <c r="T29" s="1">
        <v>1</v>
      </c>
      <c r="U29" s="1">
        <v>4</v>
      </c>
      <c r="V29" s="1">
        <v>3</v>
      </c>
      <c r="W29" s="1">
        <v>3</v>
      </c>
      <c r="X29" s="1">
        <v>4</v>
      </c>
      <c r="Y29" s="1">
        <v>3</v>
      </c>
      <c r="Z29" s="1">
        <v>4</v>
      </c>
      <c r="AA29" s="1">
        <v>4</v>
      </c>
      <c r="AC29" s="1">
        <v>1</v>
      </c>
      <c r="AD29" s="1">
        <v>4</v>
      </c>
      <c r="AF29" s="3">
        <v>4500000</v>
      </c>
      <c r="AG29" s="1">
        <v>13</v>
      </c>
      <c r="AT29" s="1" t="s">
        <v>75</v>
      </c>
      <c r="BP29" s="1">
        <v>3</v>
      </c>
      <c r="BQ29" s="1" t="s">
        <v>1360</v>
      </c>
      <c r="BR29" s="1" t="s">
        <v>1361</v>
      </c>
      <c r="BT29" s="1" t="s">
        <v>73</v>
      </c>
      <c r="BU29" s="1">
        <v>3</v>
      </c>
      <c r="BV29" s="1">
        <v>2</v>
      </c>
      <c r="BW29" s="1">
        <v>1</v>
      </c>
      <c r="BX29" s="1">
        <v>1</v>
      </c>
      <c r="BY29" s="1">
        <v>0</v>
      </c>
      <c r="BZ29" s="1">
        <v>0</v>
      </c>
      <c r="CA29" s="1">
        <v>0</v>
      </c>
      <c r="CB29" s="1">
        <v>0</v>
      </c>
      <c r="CC29" s="1">
        <v>0</v>
      </c>
      <c r="CD29" s="1">
        <v>0</v>
      </c>
      <c r="CE29" s="1">
        <v>0</v>
      </c>
      <c r="CF29" s="1">
        <v>0</v>
      </c>
      <c r="CG29" s="1">
        <v>1</v>
      </c>
      <c r="CH29" s="1">
        <v>0</v>
      </c>
      <c r="CI29" s="1">
        <v>0</v>
      </c>
      <c r="CJ29" s="1">
        <v>4</v>
      </c>
      <c r="CK29" s="1">
        <v>4</v>
      </c>
      <c r="CL29" s="1">
        <v>3</v>
      </c>
      <c r="CM29" s="1">
        <v>3</v>
      </c>
      <c r="CN29" s="1">
        <v>4</v>
      </c>
      <c r="CO29" s="1">
        <v>4</v>
      </c>
      <c r="CP29" s="1">
        <v>4</v>
      </c>
      <c r="CU29" s="1">
        <v>1</v>
      </c>
    </row>
    <row r="30" spans="1:99" x14ac:dyDescent="0.35">
      <c r="A30" s="1" t="s">
        <v>1362</v>
      </c>
      <c r="B30" s="1">
        <v>181411032</v>
      </c>
      <c r="C30" s="1">
        <v>0</v>
      </c>
      <c r="D30" s="1">
        <v>1</v>
      </c>
      <c r="E30" s="1">
        <v>0</v>
      </c>
      <c r="F30" s="1">
        <v>0</v>
      </c>
      <c r="G30" s="1">
        <v>0</v>
      </c>
      <c r="H30" s="1">
        <v>0</v>
      </c>
      <c r="I30" s="1">
        <v>0</v>
      </c>
      <c r="J30" s="1">
        <v>0</v>
      </c>
      <c r="K30" s="1">
        <v>0</v>
      </c>
      <c r="L30" s="1">
        <v>0</v>
      </c>
      <c r="M30" s="1">
        <v>0</v>
      </c>
      <c r="N30" s="1">
        <v>0</v>
      </c>
      <c r="O30" s="1">
        <v>0</v>
      </c>
      <c r="P30" s="1" t="s">
        <v>1363</v>
      </c>
      <c r="Q30" s="1" t="s">
        <v>399</v>
      </c>
      <c r="R30" s="1" t="s">
        <v>1329</v>
      </c>
      <c r="S30" s="1">
        <v>1</v>
      </c>
      <c r="T30" s="1">
        <v>1</v>
      </c>
      <c r="U30" s="1">
        <v>4</v>
      </c>
      <c r="V30" s="1">
        <v>2</v>
      </c>
      <c r="W30" s="1">
        <v>2</v>
      </c>
      <c r="X30" s="1">
        <v>4</v>
      </c>
      <c r="Y30" s="1">
        <v>4</v>
      </c>
      <c r="Z30" s="1">
        <v>4</v>
      </c>
      <c r="AA30" s="1">
        <v>3</v>
      </c>
      <c r="AC30" s="1">
        <v>1</v>
      </c>
      <c r="AD30" s="1">
        <v>6</v>
      </c>
      <c r="AF30" s="3">
        <v>3800000</v>
      </c>
      <c r="AG30" s="1">
        <v>13</v>
      </c>
      <c r="AT30" s="1" t="s">
        <v>93</v>
      </c>
      <c r="BP30" s="1">
        <v>3</v>
      </c>
      <c r="BQ30" s="1" t="s">
        <v>1306</v>
      </c>
      <c r="BR30" s="1" t="s">
        <v>1364</v>
      </c>
      <c r="BT30" s="1" t="s">
        <v>79</v>
      </c>
      <c r="BU30" s="1">
        <v>3</v>
      </c>
      <c r="BV30" s="1">
        <v>2</v>
      </c>
      <c r="BW30" s="1">
        <v>0</v>
      </c>
      <c r="BX30" s="1">
        <v>1</v>
      </c>
      <c r="BY30" s="1">
        <v>0</v>
      </c>
      <c r="BZ30" s="1">
        <v>1</v>
      </c>
      <c r="CA30" s="1">
        <v>0</v>
      </c>
      <c r="CB30" s="1">
        <v>0</v>
      </c>
      <c r="CC30" s="1">
        <v>0</v>
      </c>
      <c r="CD30" s="1">
        <v>0</v>
      </c>
      <c r="CE30" s="1">
        <v>0</v>
      </c>
      <c r="CF30" s="1">
        <v>0</v>
      </c>
      <c r="CG30" s="1">
        <v>0</v>
      </c>
      <c r="CH30" s="1">
        <v>1</v>
      </c>
      <c r="CI30" s="1">
        <v>0</v>
      </c>
      <c r="CJ30" s="1">
        <v>4</v>
      </c>
      <c r="CK30" s="1">
        <v>3</v>
      </c>
      <c r="CL30" s="1">
        <v>4</v>
      </c>
      <c r="CM30" s="1">
        <v>4</v>
      </c>
      <c r="CN30" s="1">
        <v>4</v>
      </c>
      <c r="CO30" s="1">
        <v>4</v>
      </c>
      <c r="CP30" s="1">
        <v>4</v>
      </c>
      <c r="CU30" s="1">
        <v>4</v>
      </c>
    </row>
    <row r="31" spans="1:99" x14ac:dyDescent="0.35">
      <c r="A31" s="1" t="s">
        <v>1365</v>
      </c>
      <c r="B31" s="1">
        <v>181411033</v>
      </c>
      <c r="C31" s="1">
        <v>0</v>
      </c>
      <c r="D31" s="1">
        <v>1</v>
      </c>
      <c r="E31" s="1">
        <v>0</v>
      </c>
      <c r="F31" s="1">
        <v>0</v>
      </c>
      <c r="G31" s="1">
        <v>0</v>
      </c>
      <c r="H31" s="1">
        <v>0</v>
      </c>
      <c r="I31" s="1">
        <v>0</v>
      </c>
      <c r="J31" s="1">
        <v>0</v>
      </c>
      <c r="K31" s="1">
        <v>1</v>
      </c>
      <c r="L31" s="1">
        <v>0</v>
      </c>
      <c r="M31" s="1">
        <v>0</v>
      </c>
      <c r="N31" s="1">
        <v>0</v>
      </c>
      <c r="O31" s="1">
        <v>0</v>
      </c>
      <c r="P31" s="1">
        <v>7</v>
      </c>
      <c r="Q31" s="1">
        <v>3</v>
      </c>
      <c r="R31" s="1">
        <v>3</v>
      </c>
      <c r="S31" s="1">
        <v>1</v>
      </c>
      <c r="T31" s="1">
        <v>1</v>
      </c>
      <c r="U31" s="1">
        <v>4</v>
      </c>
      <c r="V31" s="1">
        <v>3</v>
      </c>
      <c r="W31" s="1">
        <v>2</v>
      </c>
      <c r="X31" s="1">
        <v>3</v>
      </c>
      <c r="Y31" s="1">
        <v>3</v>
      </c>
      <c r="Z31" s="1">
        <v>4</v>
      </c>
      <c r="AA31" s="1">
        <v>3</v>
      </c>
      <c r="AC31" s="1">
        <v>1</v>
      </c>
      <c r="AD31" s="1">
        <v>1</v>
      </c>
      <c r="AF31" s="3">
        <v>1500000</v>
      </c>
      <c r="AG31" s="1">
        <v>13</v>
      </c>
      <c r="AT31" s="1" t="s">
        <v>271</v>
      </c>
      <c r="BP31" s="1">
        <v>3</v>
      </c>
      <c r="BQ31" s="1" t="s">
        <v>1366</v>
      </c>
      <c r="BR31" s="1" t="s">
        <v>1367</v>
      </c>
      <c r="BT31" s="1" t="s">
        <v>107</v>
      </c>
      <c r="BU31" s="1">
        <v>3</v>
      </c>
      <c r="BV31" s="1">
        <v>1</v>
      </c>
      <c r="BW31" s="1">
        <v>0</v>
      </c>
      <c r="BX31" s="1">
        <v>0</v>
      </c>
      <c r="BY31" s="1">
        <v>0</v>
      </c>
      <c r="BZ31" s="1">
        <v>1</v>
      </c>
      <c r="CA31" s="1">
        <v>0</v>
      </c>
      <c r="CB31" s="1">
        <v>0</v>
      </c>
      <c r="CC31" s="1">
        <v>1</v>
      </c>
      <c r="CD31" s="1">
        <v>1</v>
      </c>
      <c r="CE31" s="1">
        <v>1</v>
      </c>
      <c r="CF31" s="1">
        <v>0</v>
      </c>
      <c r="CG31" s="1">
        <v>0</v>
      </c>
      <c r="CH31" s="1">
        <v>1</v>
      </c>
      <c r="CI31" s="1">
        <v>0</v>
      </c>
      <c r="CJ31" s="1">
        <v>4</v>
      </c>
      <c r="CK31" s="1">
        <v>4</v>
      </c>
      <c r="CL31" s="1">
        <v>4</v>
      </c>
      <c r="CM31" s="1">
        <v>4</v>
      </c>
      <c r="CN31" s="1">
        <v>4</v>
      </c>
      <c r="CO31" s="1">
        <v>4</v>
      </c>
      <c r="CP31" s="1">
        <v>4</v>
      </c>
      <c r="CU31" s="1">
        <v>1</v>
      </c>
    </row>
    <row r="32" spans="1:99" x14ac:dyDescent="0.35">
      <c r="A32" s="1" t="s">
        <v>1368</v>
      </c>
      <c r="B32" s="1">
        <v>181411034</v>
      </c>
      <c r="C32" s="1">
        <v>0</v>
      </c>
      <c r="D32" s="1">
        <v>1</v>
      </c>
      <c r="E32" s="1">
        <v>0</v>
      </c>
      <c r="F32" s="1">
        <v>0</v>
      </c>
      <c r="G32" s="1">
        <v>0</v>
      </c>
      <c r="H32" s="1">
        <v>0</v>
      </c>
      <c r="I32" s="1">
        <v>0</v>
      </c>
      <c r="J32" s="1">
        <v>0</v>
      </c>
      <c r="K32" s="1">
        <v>0</v>
      </c>
      <c r="L32" s="1">
        <v>0</v>
      </c>
      <c r="M32" s="1">
        <v>0</v>
      </c>
      <c r="N32" s="1">
        <v>0</v>
      </c>
      <c r="O32" s="1">
        <v>0</v>
      </c>
      <c r="P32" s="1">
        <v>10</v>
      </c>
      <c r="Q32" s="1">
        <v>1</v>
      </c>
      <c r="R32" s="1">
        <v>1</v>
      </c>
      <c r="S32" s="1">
        <v>4</v>
      </c>
      <c r="T32" s="1">
        <v>1</v>
      </c>
      <c r="U32" s="1">
        <v>2</v>
      </c>
      <c r="V32" s="1">
        <v>4</v>
      </c>
      <c r="W32" s="1">
        <v>4</v>
      </c>
      <c r="X32" s="1">
        <v>4</v>
      </c>
      <c r="Y32" s="1">
        <v>2</v>
      </c>
      <c r="Z32" s="1">
        <v>4</v>
      </c>
      <c r="AA32" s="1">
        <v>4</v>
      </c>
      <c r="CQ32" s="1">
        <v>1</v>
      </c>
      <c r="CR32" s="1" t="s">
        <v>205</v>
      </c>
      <c r="CS32" s="1" t="s">
        <v>1369</v>
      </c>
      <c r="CT32" s="5">
        <v>44802</v>
      </c>
      <c r="CU32" s="1">
        <v>1</v>
      </c>
    </row>
    <row r="33" spans="1:99" x14ac:dyDescent="0.35">
      <c r="A33" s="1" t="s">
        <v>1370</v>
      </c>
      <c r="B33" s="1">
        <v>181411035</v>
      </c>
      <c r="C33" s="1">
        <v>0</v>
      </c>
      <c r="D33" s="1">
        <v>1</v>
      </c>
      <c r="E33" s="1">
        <v>0</v>
      </c>
      <c r="F33" s="1">
        <v>0</v>
      </c>
      <c r="G33" s="1">
        <v>0</v>
      </c>
      <c r="H33" s="1">
        <v>0</v>
      </c>
      <c r="I33" s="1">
        <v>0</v>
      </c>
      <c r="J33" s="1">
        <v>0</v>
      </c>
      <c r="K33" s="1">
        <v>0</v>
      </c>
      <c r="L33" s="1">
        <v>0</v>
      </c>
      <c r="M33" s="1">
        <v>0</v>
      </c>
      <c r="N33" s="1">
        <v>0</v>
      </c>
      <c r="O33" s="1">
        <v>0</v>
      </c>
      <c r="P33" s="1">
        <v>50</v>
      </c>
      <c r="Q33" s="1">
        <v>7</v>
      </c>
      <c r="R33" s="1">
        <v>4</v>
      </c>
      <c r="S33" s="1">
        <v>1</v>
      </c>
      <c r="T33" s="1">
        <v>1</v>
      </c>
      <c r="U33" s="1">
        <v>3</v>
      </c>
      <c r="V33" s="1">
        <v>3</v>
      </c>
      <c r="W33" s="1">
        <v>3</v>
      </c>
      <c r="X33" s="1">
        <v>4</v>
      </c>
      <c r="Y33" s="1">
        <v>3</v>
      </c>
      <c r="Z33" s="1">
        <v>3</v>
      </c>
      <c r="AA33" s="1">
        <v>3</v>
      </c>
      <c r="AC33" s="1">
        <v>1</v>
      </c>
      <c r="AD33" s="1">
        <v>5</v>
      </c>
      <c r="AF33" s="3">
        <v>5000000</v>
      </c>
      <c r="AG33" s="1">
        <v>13</v>
      </c>
      <c r="AT33" s="1" t="s">
        <v>427</v>
      </c>
      <c r="BP33" s="1">
        <v>3</v>
      </c>
      <c r="BQ33" s="1" t="s">
        <v>1371</v>
      </c>
      <c r="BR33" s="1" t="s">
        <v>1372</v>
      </c>
      <c r="BT33" s="1" t="s">
        <v>73</v>
      </c>
      <c r="BU33" s="1">
        <v>4</v>
      </c>
      <c r="BV33" s="1">
        <v>1</v>
      </c>
      <c r="BW33" s="1">
        <v>0</v>
      </c>
      <c r="BX33" s="1">
        <v>0</v>
      </c>
      <c r="BY33" s="1">
        <v>0</v>
      </c>
      <c r="BZ33" s="1">
        <v>0</v>
      </c>
      <c r="CA33" s="1">
        <v>0</v>
      </c>
      <c r="CB33" s="1">
        <v>0</v>
      </c>
      <c r="CC33" s="1">
        <v>0</v>
      </c>
      <c r="CD33" s="1">
        <v>0</v>
      </c>
      <c r="CE33" s="1">
        <v>0</v>
      </c>
      <c r="CF33" s="1">
        <v>1</v>
      </c>
      <c r="CG33" s="1">
        <v>0</v>
      </c>
      <c r="CH33" s="1">
        <v>0</v>
      </c>
      <c r="CI33" s="1" t="s">
        <v>1373</v>
      </c>
      <c r="CJ33" s="1">
        <v>4</v>
      </c>
      <c r="CK33" s="1">
        <v>2</v>
      </c>
      <c r="CL33" s="1">
        <v>4</v>
      </c>
      <c r="CM33" s="1">
        <v>4</v>
      </c>
      <c r="CN33" s="1">
        <v>4</v>
      </c>
      <c r="CO33" s="1">
        <v>4</v>
      </c>
      <c r="CP33" s="1">
        <v>4</v>
      </c>
      <c r="CU33" s="1">
        <v>1</v>
      </c>
    </row>
    <row r="34" spans="1:99" x14ac:dyDescent="0.35">
      <c r="A34" s="1" t="s">
        <v>1374</v>
      </c>
      <c r="B34" s="1">
        <v>181411036</v>
      </c>
      <c r="C34" s="1">
        <v>0</v>
      </c>
      <c r="D34" s="1">
        <v>1</v>
      </c>
      <c r="E34" s="1">
        <v>0</v>
      </c>
      <c r="F34" s="1">
        <v>0</v>
      </c>
      <c r="G34" s="1">
        <v>0</v>
      </c>
      <c r="H34" s="1">
        <v>0</v>
      </c>
      <c r="I34" s="1">
        <v>0</v>
      </c>
      <c r="J34" s="1">
        <v>0</v>
      </c>
      <c r="K34" s="1">
        <v>1</v>
      </c>
      <c r="L34" s="1">
        <v>0</v>
      </c>
      <c r="M34" s="1">
        <v>0</v>
      </c>
      <c r="N34" s="1">
        <v>0</v>
      </c>
      <c r="O34" s="1">
        <v>0</v>
      </c>
      <c r="P34" s="1">
        <v>6</v>
      </c>
      <c r="Q34" s="1">
        <v>4</v>
      </c>
      <c r="R34" s="1">
        <v>1</v>
      </c>
      <c r="S34" s="1">
        <v>1</v>
      </c>
      <c r="T34" s="1">
        <v>1</v>
      </c>
      <c r="U34" s="1">
        <v>4</v>
      </c>
      <c r="V34" s="1">
        <v>3</v>
      </c>
      <c r="W34" s="1">
        <v>2</v>
      </c>
      <c r="X34" s="1">
        <v>3</v>
      </c>
      <c r="Y34" s="1">
        <v>3</v>
      </c>
      <c r="Z34" s="1">
        <v>3</v>
      </c>
      <c r="AA34" s="1">
        <v>3</v>
      </c>
      <c r="AC34" s="1">
        <v>2</v>
      </c>
      <c r="AE34" s="1">
        <v>10</v>
      </c>
      <c r="AF34" s="3">
        <v>3800000</v>
      </c>
      <c r="AG34" s="1">
        <v>25</v>
      </c>
      <c r="BF34" s="1" t="s">
        <v>1375</v>
      </c>
      <c r="BP34" s="1">
        <v>3</v>
      </c>
      <c r="BQ34" s="1" t="s">
        <v>1376</v>
      </c>
      <c r="BT34" s="1" t="s">
        <v>73</v>
      </c>
      <c r="BU34" s="1">
        <v>1</v>
      </c>
      <c r="BV34" s="1">
        <v>2</v>
      </c>
      <c r="BW34" s="1">
        <v>1</v>
      </c>
      <c r="BX34" s="1">
        <v>0</v>
      </c>
      <c r="BY34" s="1">
        <v>0</v>
      </c>
      <c r="BZ34" s="1">
        <v>0</v>
      </c>
      <c r="CA34" s="1">
        <v>0</v>
      </c>
      <c r="CB34" s="1">
        <v>0</v>
      </c>
      <c r="CC34" s="1">
        <v>0</v>
      </c>
      <c r="CD34" s="1">
        <v>0</v>
      </c>
      <c r="CE34" s="1">
        <v>0</v>
      </c>
      <c r="CF34" s="1">
        <v>0</v>
      </c>
      <c r="CG34" s="1">
        <v>0</v>
      </c>
      <c r="CH34" s="1">
        <v>0</v>
      </c>
      <c r="CI34" s="1">
        <v>0</v>
      </c>
      <c r="CJ34" s="1">
        <v>4</v>
      </c>
      <c r="CK34" s="1">
        <v>3</v>
      </c>
      <c r="CL34" s="1">
        <v>4</v>
      </c>
      <c r="CM34" s="1">
        <v>3</v>
      </c>
      <c r="CN34" s="1">
        <v>4</v>
      </c>
      <c r="CO34" s="1">
        <v>4</v>
      </c>
      <c r="CP34" s="1">
        <v>4</v>
      </c>
      <c r="CU34" s="1">
        <v>1</v>
      </c>
    </row>
    <row r="35" spans="1:99" x14ac:dyDescent="0.35">
      <c r="A35" s="1" t="s">
        <v>1377</v>
      </c>
      <c r="B35" s="1">
        <v>181411037</v>
      </c>
      <c r="C35" s="1">
        <v>0</v>
      </c>
      <c r="D35" s="1">
        <v>1</v>
      </c>
      <c r="E35" s="1">
        <v>1</v>
      </c>
      <c r="F35" s="1">
        <v>0</v>
      </c>
      <c r="G35" s="1">
        <v>0</v>
      </c>
      <c r="H35" s="1">
        <v>1</v>
      </c>
      <c r="I35" s="1">
        <v>0</v>
      </c>
      <c r="J35" s="1">
        <v>1</v>
      </c>
      <c r="K35" s="1">
        <v>1</v>
      </c>
      <c r="L35" s="1">
        <v>0</v>
      </c>
      <c r="M35" s="1">
        <v>0</v>
      </c>
      <c r="N35" s="1">
        <v>0</v>
      </c>
      <c r="O35" s="1">
        <v>0</v>
      </c>
      <c r="P35" s="1" t="s">
        <v>1378</v>
      </c>
      <c r="Q35" s="1" t="s">
        <v>1379</v>
      </c>
      <c r="R35" s="1" t="s">
        <v>1380</v>
      </c>
      <c r="S35" s="1">
        <v>1</v>
      </c>
      <c r="T35" s="1">
        <v>1</v>
      </c>
      <c r="U35" s="1">
        <v>4</v>
      </c>
      <c r="V35" s="1">
        <v>3</v>
      </c>
      <c r="W35" s="1">
        <v>3</v>
      </c>
      <c r="X35" s="1">
        <v>3</v>
      </c>
      <c r="Y35" s="1">
        <v>4</v>
      </c>
      <c r="Z35" s="1">
        <v>4</v>
      </c>
      <c r="AA35" s="1">
        <v>4</v>
      </c>
      <c r="AC35" s="1">
        <v>1</v>
      </c>
      <c r="AD35" s="1">
        <v>3</v>
      </c>
      <c r="AF35" s="3">
        <v>3720000</v>
      </c>
      <c r="AG35" s="1">
        <v>13</v>
      </c>
      <c r="AT35" s="1" t="s">
        <v>93</v>
      </c>
      <c r="BP35" s="1">
        <v>3</v>
      </c>
      <c r="BQ35" s="1" t="s">
        <v>1381</v>
      </c>
      <c r="BR35" s="1" t="s">
        <v>1382</v>
      </c>
      <c r="BS35" s="1" t="s">
        <v>4326</v>
      </c>
      <c r="BT35" s="1" t="s">
        <v>79</v>
      </c>
      <c r="BU35" s="1">
        <v>1</v>
      </c>
      <c r="BV35" s="1">
        <v>1</v>
      </c>
      <c r="BW35" s="1">
        <v>0</v>
      </c>
      <c r="BX35" s="1">
        <v>0</v>
      </c>
      <c r="BY35" s="1">
        <v>1</v>
      </c>
      <c r="BZ35" s="1">
        <v>0</v>
      </c>
      <c r="CA35" s="1">
        <v>0</v>
      </c>
      <c r="CB35" s="1">
        <v>0</v>
      </c>
      <c r="CC35" s="1">
        <v>0</v>
      </c>
      <c r="CD35" s="1">
        <v>1</v>
      </c>
      <c r="CE35" s="1">
        <v>0</v>
      </c>
      <c r="CF35" s="1">
        <v>0</v>
      </c>
      <c r="CG35" s="1">
        <v>0</v>
      </c>
      <c r="CH35" s="1">
        <v>0</v>
      </c>
      <c r="CI35" s="1">
        <v>0</v>
      </c>
      <c r="CJ35" s="1">
        <v>4</v>
      </c>
      <c r="CK35" s="1">
        <v>4</v>
      </c>
      <c r="CL35" s="1">
        <v>4</v>
      </c>
      <c r="CM35" s="1">
        <v>4</v>
      </c>
      <c r="CN35" s="1">
        <v>4</v>
      </c>
      <c r="CO35" s="1">
        <v>4</v>
      </c>
      <c r="CP35" s="1">
        <v>4</v>
      </c>
      <c r="CU35" s="1">
        <v>2</v>
      </c>
    </row>
    <row r="36" spans="1:99" x14ac:dyDescent="0.35">
      <c r="A36" s="1" t="s">
        <v>1383</v>
      </c>
      <c r="B36" s="1">
        <v>181411038</v>
      </c>
      <c r="C36" s="1">
        <v>1</v>
      </c>
      <c r="D36" s="1">
        <v>1</v>
      </c>
      <c r="E36" s="1">
        <v>0</v>
      </c>
      <c r="F36" s="1">
        <v>0</v>
      </c>
      <c r="G36" s="1">
        <v>0</v>
      </c>
      <c r="H36" s="1">
        <v>1</v>
      </c>
      <c r="I36" s="1">
        <v>0</v>
      </c>
      <c r="J36" s="1">
        <v>0</v>
      </c>
      <c r="K36" s="1">
        <v>1</v>
      </c>
      <c r="L36" s="1">
        <v>0</v>
      </c>
      <c r="M36" s="1">
        <v>0</v>
      </c>
      <c r="N36" s="1">
        <v>0</v>
      </c>
      <c r="O36" s="1">
        <v>0</v>
      </c>
      <c r="P36" s="1" t="s">
        <v>1384</v>
      </c>
      <c r="Q36" s="1" t="s">
        <v>1385</v>
      </c>
      <c r="R36" s="1" t="s">
        <v>1385</v>
      </c>
      <c r="S36" s="1">
        <v>1</v>
      </c>
      <c r="T36" s="1">
        <v>1</v>
      </c>
      <c r="U36" s="1">
        <v>4</v>
      </c>
      <c r="V36" s="1">
        <v>3</v>
      </c>
      <c r="W36" s="1">
        <v>3</v>
      </c>
      <c r="X36" s="1">
        <v>4</v>
      </c>
      <c r="Y36" s="1">
        <v>4</v>
      </c>
      <c r="Z36" s="1">
        <v>4</v>
      </c>
      <c r="AA36" s="1">
        <v>3</v>
      </c>
      <c r="CU36" s="1">
        <v>1</v>
      </c>
    </row>
    <row r="37" spans="1:99" x14ac:dyDescent="0.35">
      <c r="A37" s="1" t="s">
        <v>1386</v>
      </c>
      <c r="B37" s="1">
        <v>181411039</v>
      </c>
      <c r="C37" s="1">
        <v>0</v>
      </c>
      <c r="D37" s="1">
        <v>1</v>
      </c>
      <c r="E37" s="1">
        <v>1</v>
      </c>
      <c r="F37" s="1">
        <v>0</v>
      </c>
      <c r="G37" s="1">
        <v>0</v>
      </c>
      <c r="H37" s="1">
        <v>0</v>
      </c>
      <c r="I37" s="1">
        <v>0</v>
      </c>
      <c r="J37" s="1">
        <v>1</v>
      </c>
      <c r="K37" s="1">
        <v>1</v>
      </c>
      <c r="L37" s="1">
        <v>0</v>
      </c>
      <c r="M37" s="1">
        <v>0</v>
      </c>
      <c r="N37" s="1">
        <v>0</v>
      </c>
      <c r="O37" s="1">
        <v>0</v>
      </c>
      <c r="P37" s="1">
        <v>10</v>
      </c>
      <c r="Q37" s="1">
        <v>5</v>
      </c>
      <c r="R37" s="1">
        <v>3</v>
      </c>
      <c r="S37" s="1">
        <v>1</v>
      </c>
      <c r="T37" s="1">
        <v>1</v>
      </c>
      <c r="U37" s="1">
        <v>4</v>
      </c>
      <c r="V37" s="1">
        <v>4</v>
      </c>
      <c r="W37" s="1">
        <v>3</v>
      </c>
      <c r="X37" s="1">
        <v>4</v>
      </c>
      <c r="Y37" s="1">
        <v>4</v>
      </c>
      <c r="Z37" s="1">
        <v>4</v>
      </c>
      <c r="AA37" s="1">
        <v>4</v>
      </c>
      <c r="AC37" s="1">
        <v>1</v>
      </c>
      <c r="AD37" s="1">
        <v>0</v>
      </c>
      <c r="AF37" s="3">
        <v>8000000</v>
      </c>
      <c r="AG37" s="1">
        <v>12</v>
      </c>
      <c r="AS37" s="1" t="s">
        <v>244</v>
      </c>
      <c r="BP37" s="1">
        <v>3</v>
      </c>
      <c r="BQ37" s="1" t="s">
        <v>1278</v>
      </c>
      <c r="BT37" s="1" t="s">
        <v>73</v>
      </c>
      <c r="BU37" s="1">
        <v>1</v>
      </c>
      <c r="BV37" s="1">
        <v>2</v>
      </c>
      <c r="BW37" s="1">
        <v>1</v>
      </c>
      <c r="BX37" s="1">
        <v>0</v>
      </c>
      <c r="BY37" s="1">
        <v>0</v>
      </c>
      <c r="BZ37" s="1">
        <v>0</v>
      </c>
      <c r="CA37" s="1">
        <v>0</v>
      </c>
      <c r="CB37" s="1">
        <v>0</v>
      </c>
      <c r="CC37" s="1">
        <v>0</v>
      </c>
      <c r="CD37" s="1">
        <v>0</v>
      </c>
      <c r="CE37" s="1">
        <v>0</v>
      </c>
      <c r="CF37" s="1">
        <v>0</v>
      </c>
      <c r="CG37" s="1">
        <v>0</v>
      </c>
      <c r="CH37" s="1">
        <v>0</v>
      </c>
      <c r="CI37" s="1">
        <v>0</v>
      </c>
      <c r="CJ37" s="1">
        <v>4</v>
      </c>
      <c r="CK37" s="1">
        <v>4</v>
      </c>
      <c r="CL37" s="1">
        <v>4</v>
      </c>
      <c r="CM37" s="1">
        <v>4</v>
      </c>
      <c r="CN37" s="1">
        <v>4</v>
      </c>
      <c r="CO37" s="1">
        <v>4</v>
      </c>
      <c r="CP37" s="1">
        <v>4</v>
      </c>
      <c r="CU37" s="1">
        <v>1</v>
      </c>
    </row>
    <row r="38" spans="1:99" x14ac:dyDescent="0.35">
      <c r="A38" s="1" t="s">
        <v>1387</v>
      </c>
      <c r="B38" s="1">
        <v>181411040</v>
      </c>
      <c r="C38" s="1">
        <v>0</v>
      </c>
      <c r="D38" s="1">
        <v>1</v>
      </c>
      <c r="E38" s="1">
        <v>0</v>
      </c>
      <c r="F38" s="1">
        <v>0</v>
      </c>
      <c r="G38" s="1">
        <v>0</v>
      </c>
      <c r="H38" s="1">
        <v>1</v>
      </c>
      <c r="I38" s="1">
        <v>1</v>
      </c>
      <c r="J38" s="1">
        <v>1</v>
      </c>
      <c r="K38" s="1">
        <v>1</v>
      </c>
      <c r="L38" s="1">
        <v>0</v>
      </c>
      <c r="M38" s="1">
        <v>0</v>
      </c>
      <c r="N38" s="1">
        <v>0</v>
      </c>
      <c r="O38" s="1">
        <v>0</v>
      </c>
      <c r="P38" s="1">
        <v>50</v>
      </c>
      <c r="Q38" s="1">
        <v>5</v>
      </c>
      <c r="R38" s="1">
        <v>1</v>
      </c>
      <c r="S38" s="1">
        <v>1</v>
      </c>
      <c r="T38" s="1">
        <v>1</v>
      </c>
      <c r="U38" s="1">
        <v>3</v>
      </c>
      <c r="V38" s="1">
        <v>2</v>
      </c>
      <c r="W38" s="1">
        <v>3</v>
      </c>
      <c r="X38" s="1">
        <v>3</v>
      </c>
      <c r="Y38" s="1">
        <v>3</v>
      </c>
      <c r="Z38" s="1">
        <v>3</v>
      </c>
      <c r="AA38" s="1">
        <v>3</v>
      </c>
      <c r="AC38" s="1">
        <v>1</v>
      </c>
      <c r="AD38" s="1">
        <v>2</v>
      </c>
      <c r="AF38" s="3">
        <v>3200000</v>
      </c>
      <c r="AG38" s="1">
        <v>13</v>
      </c>
      <c r="AT38" s="1" t="s">
        <v>93</v>
      </c>
      <c r="BP38" s="1">
        <v>3</v>
      </c>
      <c r="BQ38" s="1" t="s">
        <v>1388</v>
      </c>
      <c r="BR38" s="1" t="s">
        <v>1389</v>
      </c>
      <c r="BT38" s="1" t="s">
        <v>79</v>
      </c>
      <c r="BU38" s="1">
        <v>3</v>
      </c>
      <c r="BV38" s="1">
        <v>2</v>
      </c>
      <c r="BW38" s="1">
        <v>1</v>
      </c>
      <c r="BX38" s="1">
        <v>0</v>
      </c>
      <c r="BY38" s="1">
        <v>0</v>
      </c>
      <c r="BZ38" s="1">
        <v>0</v>
      </c>
      <c r="CA38" s="1">
        <v>0</v>
      </c>
      <c r="CB38" s="1">
        <v>0</v>
      </c>
      <c r="CC38" s="1">
        <v>0</v>
      </c>
      <c r="CD38" s="1">
        <v>0</v>
      </c>
      <c r="CE38" s="1">
        <v>0</v>
      </c>
      <c r="CF38" s="1">
        <v>0</v>
      </c>
      <c r="CG38" s="1">
        <v>0</v>
      </c>
      <c r="CH38" s="1">
        <v>0</v>
      </c>
      <c r="CI38" s="1">
        <v>0</v>
      </c>
      <c r="CJ38" s="1">
        <v>3</v>
      </c>
      <c r="CK38" s="1">
        <v>3</v>
      </c>
      <c r="CL38" s="1">
        <v>3</v>
      </c>
      <c r="CM38" s="1">
        <v>3</v>
      </c>
      <c r="CN38" s="1">
        <v>3</v>
      </c>
      <c r="CO38" s="1">
        <v>3</v>
      </c>
      <c r="CP38" s="1">
        <v>3</v>
      </c>
      <c r="CU38" s="1">
        <v>1</v>
      </c>
    </row>
    <row r="39" spans="1:99" x14ac:dyDescent="0.35">
      <c r="A39" s="1" t="s">
        <v>1390</v>
      </c>
      <c r="B39" s="1">
        <v>181411041</v>
      </c>
      <c r="C39" s="1">
        <v>0</v>
      </c>
      <c r="D39" s="1">
        <v>1</v>
      </c>
      <c r="E39" s="1">
        <v>0</v>
      </c>
      <c r="F39" s="1">
        <v>0</v>
      </c>
      <c r="G39" s="1">
        <v>0</v>
      </c>
      <c r="H39" s="1">
        <v>1</v>
      </c>
      <c r="I39" s="1">
        <v>0</v>
      </c>
      <c r="J39" s="1">
        <v>0</v>
      </c>
      <c r="K39" s="1">
        <v>1</v>
      </c>
      <c r="L39" s="1">
        <v>0</v>
      </c>
      <c r="M39" s="1">
        <v>0</v>
      </c>
      <c r="N39" s="1">
        <v>0</v>
      </c>
      <c r="O39" s="1">
        <v>0</v>
      </c>
      <c r="P39" s="1">
        <v>5</v>
      </c>
      <c r="Q39" s="1">
        <v>3</v>
      </c>
      <c r="R39" s="1">
        <v>3</v>
      </c>
      <c r="S39" s="1">
        <v>1</v>
      </c>
      <c r="T39" s="1">
        <v>3</v>
      </c>
      <c r="U39" s="1">
        <v>3</v>
      </c>
      <c r="V39" s="1">
        <v>3</v>
      </c>
      <c r="W39" s="1">
        <v>2</v>
      </c>
      <c r="X39" s="1">
        <v>4</v>
      </c>
      <c r="Y39" s="1">
        <v>3</v>
      </c>
      <c r="Z39" s="1">
        <v>4</v>
      </c>
      <c r="AA39" s="1">
        <v>4</v>
      </c>
      <c r="AC39" s="1">
        <v>1</v>
      </c>
      <c r="AD39" s="1">
        <v>2</v>
      </c>
      <c r="AF39" s="3">
        <v>4000000</v>
      </c>
      <c r="AG39" s="1">
        <v>13</v>
      </c>
      <c r="AT39" s="1" t="s">
        <v>86</v>
      </c>
      <c r="BP39" s="1">
        <v>4</v>
      </c>
      <c r="BQ39" s="1" t="s">
        <v>1391</v>
      </c>
      <c r="BR39" s="1" t="s">
        <v>1392</v>
      </c>
      <c r="BT39" s="1" t="s">
        <v>79</v>
      </c>
      <c r="BU39" s="1">
        <v>4</v>
      </c>
      <c r="BV39" s="1">
        <v>2</v>
      </c>
      <c r="BW39" s="1">
        <v>0</v>
      </c>
      <c r="BX39" s="1">
        <v>0</v>
      </c>
      <c r="BY39" s="1">
        <v>0</v>
      </c>
      <c r="BZ39" s="1">
        <v>0</v>
      </c>
      <c r="CA39" s="1">
        <v>0</v>
      </c>
      <c r="CB39" s="1">
        <v>0</v>
      </c>
      <c r="CC39" s="1">
        <v>0</v>
      </c>
      <c r="CD39" s="1">
        <v>0</v>
      </c>
      <c r="CE39" s="1">
        <v>0</v>
      </c>
      <c r="CF39" s="1">
        <v>0</v>
      </c>
      <c r="CG39" s="1">
        <v>1</v>
      </c>
      <c r="CH39" s="1">
        <v>0</v>
      </c>
      <c r="CI39" s="1">
        <v>0</v>
      </c>
      <c r="CJ39" s="1">
        <v>3</v>
      </c>
      <c r="CK39" s="1">
        <v>2</v>
      </c>
      <c r="CL39" s="1">
        <v>2</v>
      </c>
      <c r="CM39" s="1">
        <v>3</v>
      </c>
      <c r="CN39" s="1">
        <v>4</v>
      </c>
      <c r="CO39" s="1">
        <v>4</v>
      </c>
      <c r="CP39" s="1">
        <v>3</v>
      </c>
      <c r="CU39" s="1">
        <v>1</v>
      </c>
    </row>
    <row r="40" spans="1:99" x14ac:dyDescent="0.35">
      <c r="A40" s="1" t="s">
        <v>1393</v>
      </c>
      <c r="B40" s="1">
        <v>181411042</v>
      </c>
      <c r="C40" s="1">
        <v>0</v>
      </c>
      <c r="D40" s="1">
        <v>0</v>
      </c>
      <c r="E40" s="1">
        <v>0</v>
      </c>
      <c r="F40" s="1">
        <v>0</v>
      </c>
      <c r="G40" s="1">
        <v>0</v>
      </c>
      <c r="H40" s="1">
        <v>0</v>
      </c>
      <c r="I40" s="1">
        <v>0</v>
      </c>
      <c r="J40" s="1">
        <v>0</v>
      </c>
      <c r="K40" s="1">
        <v>1</v>
      </c>
      <c r="L40" s="1">
        <v>0</v>
      </c>
      <c r="M40" s="1">
        <v>0</v>
      </c>
      <c r="N40" s="1">
        <v>0</v>
      </c>
      <c r="O40" s="1">
        <v>0</v>
      </c>
      <c r="P40" s="1">
        <v>3</v>
      </c>
      <c r="Q40" s="1">
        <v>2</v>
      </c>
      <c r="R40" s="1">
        <v>1</v>
      </c>
      <c r="S40" s="1">
        <v>1</v>
      </c>
      <c r="T40" s="1">
        <v>3</v>
      </c>
      <c r="U40" s="1">
        <v>4</v>
      </c>
      <c r="V40" s="1">
        <v>4</v>
      </c>
      <c r="W40" s="1">
        <v>2</v>
      </c>
      <c r="X40" s="1">
        <v>3</v>
      </c>
      <c r="Y40" s="1">
        <v>3</v>
      </c>
      <c r="Z40" s="1">
        <v>3</v>
      </c>
      <c r="AA40" s="1">
        <v>4</v>
      </c>
      <c r="AC40" s="1">
        <v>1</v>
      </c>
      <c r="AD40" s="1">
        <v>2</v>
      </c>
      <c r="AF40" s="3">
        <v>9000000</v>
      </c>
      <c r="AG40" s="1">
        <v>12</v>
      </c>
      <c r="AS40" s="1" t="s">
        <v>244</v>
      </c>
      <c r="BP40" s="1">
        <v>3</v>
      </c>
      <c r="BQ40" s="1" t="s">
        <v>1394</v>
      </c>
      <c r="BR40" s="1" t="s">
        <v>1395</v>
      </c>
      <c r="BT40" s="1" t="s">
        <v>73</v>
      </c>
      <c r="BU40" s="1">
        <v>1</v>
      </c>
      <c r="BV40" s="1">
        <v>2</v>
      </c>
      <c r="BW40" s="1">
        <v>1</v>
      </c>
      <c r="BX40" s="1">
        <v>0</v>
      </c>
      <c r="BY40" s="1">
        <v>1</v>
      </c>
      <c r="BZ40" s="1">
        <v>0</v>
      </c>
      <c r="CA40" s="1">
        <v>0</v>
      </c>
      <c r="CB40" s="1">
        <v>1</v>
      </c>
      <c r="CC40" s="1">
        <v>1</v>
      </c>
      <c r="CD40" s="1">
        <v>0</v>
      </c>
      <c r="CE40" s="1">
        <v>0</v>
      </c>
      <c r="CF40" s="1">
        <v>0</v>
      </c>
      <c r="CG40" s="1">
        <v>1</v>
      </c>
      <c r="CH40" s="1">
        <v>0</v>
      </c>
      <c r="CI40" s="1">
        <v>0</v>
      </c>
      <c r="CJ40" s="1">
        <v>4</v>
      </c>
      <c r="CK40" s="1">
        <v>4</v>
      </c>
      <c r="CL40" s="1">
        <v>4</v>
      </c>
      <c r="CM40" s="1">
        <v>4</v>
      </c>
      <c r="CN40" s="1">
        <v>4</v>
      </c>
      <c r="CO40" s="1">
        <v>4</v>
      </c>
      <c r="CP40" s="1">
        <v>4</v>
      </c>
      <c r="CU40" s="1">
        <v>1</v>
      </c>
    </row>
    <row r="41" spans="1:99" x14ac:dyDescent="0.35">
      <c r="A41" s="1" t="s">
        <v>1396</v>
      </c>
      <c r="B41" s="1">
        <v>181411043</v>
      </c>
      <c r="C41" s="1">
        <v>0</v>
      </c>
      <c r="D41" s="1">
        <v>1</v>
      </c>
      <c r="E41" s="1">
        <v>0</v>
      </c>
      <c r="F41" s="1">
        <v>0</v>
      </c>
      <c r="G41" s="1">
        <v>0</v>
      </c>
      <c r="H41" s="1">
        <v>0</v>
      </c>
      <c r="I41" s="1">
        <v>0</v>
      </c>
      <c r="J41" s="1">
        <v>0</v>
      </c>
      <c r="K41" s="1">
        <v>0</v>
      </c>
      <c r="L41" s="1">
        <v>0</v>
      </c>
      <c r="M41" s="1">
        <v>0</v>
      </c>
      <c r="N41" s="1">
        <v>0</v>
      </c>
      <c r="O41" s="1">
        <v>0</v>
      </c>
      <c r="P41" s="1">
        <v>3</v>
      </c>
      <c r="Q41" s="1">
        <v>2</v>
      </c>
      <c r="R41" s="1">
        <v>2</v>
      </c>
      <c r="S41" s="1">
        <v>1</v>
      </c>
      <c r="T41" s="1">
        <v>1</v>
      </c>
      <c r="U41" s="1">
        <v>4</v>
      </c>
      <c r="V41" s="1">
        <v>3</v>
      </c>
      <c r="W41" s="1">
        <v>2</v>
      </c>
      <c r="X41" s="1">
        <v>4</v>
      </c>
      <c r="Y41" s="1">
        <v>3</v>
      </c>
      <c r="Z41" s="1">
        <v>4</v>
      </c>
      <c r="AA41" s="1">
        <v>4</v>
      </c>
      <c r="AC41" s="1">
        <v>2</v>
      </c>
      <c r="AE41" s="1">
        <v>8</v>
      </c>
      <c r="AF41" s="3">
        <v>5600000</v>
      </c>
      <c r="AG41" s="1">
        <v>13</v>
      </c>
      <c r="AT41" s="1" t="s">
        <v>75</v>
      </c>
      <c r="BP41" s="1">
        <v>3</v>
      </c>
      <c r="BQ41" s="1" t="s">
        <v>1397</v>
      </c>
      <c r="BT41" s="1" t="s">
        <v>79</v>
      </c>
      <c r="BU41" s="1">
        <v>2</v>
      </c>
      <c r="BV41" s="1">
        <v>3</v>
      </c>
      <c r="BW41" s="1">
        <v>1</v>
      </c>
      <c r="BX41" s="1">
        <v>0</v>
      </c>
      <c r="BY41" s="1">
        <v>0</v>
      </c>
      <c r="BZ41" s="1">
        <v>0</v>
      </c>
      <c r="CA41" s="1">
        <v>0</v>
      </c>
      <c r="CB41" s="1">
        <v>0</v>
      </c>
      <c r="CC41" s="1">
        <v>0</v>
      </c>
      <c r="CD41" s="1">
        <v>0</v>
      </c>
      <c r="CE41" s="1">
        <v>0</v>
      </c>
      <c r="CF41" s="1">
        <v>0</v>
      </c>
      <c r="CG41" s="1">
        <v>0</v>
      </c>
      <c r="CH41" s="1">
        <v>0</v>
      </c>
      <c r="CI41" s="1">
        <v>0</v>
      </c>
      <c r="CJ41" s="1">
        <v>4</v>
      </c>
      <c r="CK41" s="1">
        <v>4</v>
      </c>
      <c r="CL41" s="1">
        <v>2</v>
      </c>
      <c r="CM41" s="1">
        <v>4</v>
      </c>
      <c r="CN41" s="1">
        <v>4</v>
      </c>
      <c r="CO41" s="1">
        <v>4</v>
      </c>
      <c r="CP41" s="1">
        <v>4</v>
      </c>
      <c r="CU41" s="1">
        <v>1</v>
      </c>
    </row>
    <row r="42" spans="1:99" x14ac:dyDescent="0.35">
      <c r="A42" s="1" t="s">
        <v>1398</v>
      </c>
      <c r="B42" s="1">
        <v>181411044</v>
      </c>
      <c r="C42" s="1">
        <v>0</v>
      </c>
      <c r="D42" s="1">
        <v>1</v>
      </c>
      <c r="E42" s="1">
        <v>1</v>
      </c>
      <c r="F42" s="1">
        <v>0</v>
      </c>
      <c r="G42" s="1">
        <v>0</v>
      </c>
      <c r="H42" s="1">
        <v>0</v>
      </c>
      <c r="I42" s="1">
        <v>0</v>
      </c>
      <c r="J42" s="1">
        <v>0</v>
      </c>
      <c r="K42" s="1">
        <v>1</v>
      </c>
      <c r="L42" s="1">
        <v>0</v>
      </c>
      <c r="M42" s="1">
        <v>0</v>
      </c>
      <c r="N42" s="1">
        <v>0</v>
      </c>
      <c r="O42" s="1">
        <v>0</v>
      </c>
      <c r="P42" s="1">
        <v>50</v>
      </c>
      <c r="Q42" s="1">
        <v>6</v>
      </c>
      <c r="R42" s="1">
        <v>3</v>
      </c>
      <c r="S42" s="1">
        <v>1</v>
      </c>
      <c r="T42" s="1">
        <v>1</v>
      </c>
      <c r="U42" s="1">
        <v>4</v>
      </c>
      <c r="V42" s="1">
        <v>3</v>
      </c>
      <c r="W42" s="1">
        <v>4</v>
      </c>
      <c r="X42" s="1">
        <v>4</v>
      </c>
      <c r="Y42" s="1">
        <v>4</v>
      </c>
      <c r="Z42" s="1">
        <v>4</v>
      </c>
      <c r="AA42" s="1">
        <v>4</v>
      </c>
      <c r="AC42" s="1">
        <v>1</v>
      </c>
      <c r="AD42" s="1">
        <v>1</v>
      </c>
      <c r="AF42" s="3">
        <v>5120000</v>
      </c>
      <c r="AG42" s="1">
        <v>11</v>
      </c>
      <c r="AR42" s="1" t="s">
        <v>118</v>
      </c>
      <c r="BP42" s="1">
        <v>3</v>
      </c>
      <c r="BQ42" s="1" t="s">
        <v>1399</v>
      </c>
      <c r="BR42" s="1" t="s">
        <v>1400</v>
      </c>
      <c r="BS42" s="1" t="s">
        <v>1401</v>
      </c>
      <c r="BT42" s="1" t="s">
        <v>79</v>
      </c>
      <c r="BU42" s="1">
        <v>2</v>
      </c>
      <c r="BV42" s="1">
        <v>1</v>
      </c>
      <c r="BW42" s="1">
        <v>1</v>
      </c>
      <c r="BX42" s="1">
        <v>0</v>
      </c>
      <c r="BY42" s="1">
        <v>0</v>
      </c>
      <c r="BZ42" s="1">
        <v>0</v>
      </c>
      <c r="CA42" s="1">
        <v>0</v>
      </c>
      <c r="CB42" s="1">
        <v>0</v>
      </c>
      <c r="CC42" s="1">
        <v>0</v>
      </c>
      <c r="CD42" s="1">
        <v>0</v>
      </c>
      <c r="CE42" s="1">
        <v>0</v>
      </c>
      <c r="CF42" s="1">
        <v>0</v>
      </c>
      <c r="CG42" s="1">
        <v>0</v>
      </c>
      <c r="CH42" s="1">
        <v>0</v>
      </c>
      <c r="CI42" s="1">
        <v>0</v>
      </c>
      <c r="CJ42" s="1">
        <v>4</v>
      </c>
      <c r="CK42" s="1">
        <v>3</v>
      </c>
      <c r="CL42" s="1">
        <v>4</v>
      </c>
      <c r="CM42" s="1">
        <v>4</v>
      </c>
      <c r="CN42" s="1">
        <v>4</v>
      </c>
      <c r="CO42" s="1">
        <v>4</v>
      </c>
      <c r="CP42" s="1">
        <v>4</v>
      </c>
      <c r="CU42" s="1">
        <v>1</v>
      </c>
    </row>
    <row r="43" spans="1:99" x14ac:dyDescent="0.35">
      <c r="A43" s="1" t="s">
        <v>1402</v>
      </c>
      <c r="B43" s="1">
        <v>181411045</v>
      </c>
      <c r="C43" s="1">
        <v>0</v>
      </c>
      <c r="D43" s="1">
        <v>1</v>
      </c>
      <c r="E43" s="1">
        <v>0</v>
      </c>
      <c r="F43" s="1">
        <v>0</v>
      </c>
      <c r="G43" s="1">
        <v>0</v>
      </c>
      <c r="H43" s="1">
        <v>1</v>
      </c>
      <c r="I43" s="1">
        <v>0</v>
      </c>
      <c r="J43" s="1">
        <v>0</v>
      </c>
      <c r="K43" s="1">
        <v>1</v>
      </c>
      <c r="L43" s="1">
        <v>0</v>
      </c>
      <c r="M43" s="1">
        <v>0</v>
      </c>
      <c r="N43" s="1">
        <v>0</v>
      </c>
      <c r="O43" s="1">
        <v>0</v>
      </c>
      <c r="P43" s="1" t="s">
        <v>1384</v>
      </c>
      <c r="Q43" s="1" t="s">
        <v>1403</v>
      </c>
      <c r="R43" s="1" t="s">
        <v>1404</v>
      </c>
      <c r="S43" s="1">
        <v>1</v>
      </c>
      <c r="T43" s="1" t="s">
        <v>1405</v>
      </c>
      <c r="U43" s="1">
        <v>4</v>
      </c>
      <c r="V43" s="1">
        <v>3</v>
      </c>
      <c r="W43" s="1">
        <v>3</v>
      </c>
      <c r="X43" s="1">
        <v>4</v>
      </c>
      <c r="Y43" s="1">
        <v>4</v>
      </c>
      <c r="Z43" s="1">
        <v>4</v>
      </c>
      <c r="AA43" s="1">
        <v>4</v>
      </c>
      <c r="AC43" s="1">
        <v>1</v>
      </c>
      <c r="AD43" s="1">
        <v>2</v>
      </c>
      <c r="AF43" s="3">
        <v>3500000</v>
      </c>
      <c r="AG43" s="1">
        <v>13</v>
      </c>
      <c r="AT43" s="1" t="s">
        <v>1406</v>
      </c>
      <c r="BP43" s="1">
        <v>6</v>
      </c>
      <c r="BQ43" s="1" t="s">
        <v>1407</v>
      </c>
      <c r="BR43" s="1" t="s">
        <v>1408</v>
      </c>
      <c r="BT43" s="1" t="s">
        <v>79</v>
      </c>
      <c r="BU43" s="1">
        <v>3</v>
      </c>
      <c r="BV43" s="1">
        <v>2</v>
      </c>
      <c r="BW43" s="1">
        <v>1</v>
      </c>
      <c r="BX43" s="1">
        <v>0</v>
      </c>
      <c r="BY43" s="1">
        <v>0</v>
      </c>
      <c r="BZ43" s="1">
        <v>0</v>
      </c>
      <c r="CA43" s="1">
        <v>0</v>
      </c>
      <c r="CB43" s="1">
        <v>0</v>
      </c>
      <c r="CC43" s="1">
        <v>0</v>
      </c>
      <c r="CD43" s="1">
        <v>0</v>
      </c>
      <c r="CE43" s="1">
        <v>0</v>
      </c>
      <c r="CF43" s="1">
        <v>0</v>
      </c>
      <c r="CG43" s="1">
        <v>0</v>
      </c>
      <c r="CH43" s="1">
        <v>0</v>
      </c>
      <c r="CI43" s="1">
        <v>0</v>
      </c>
      <c r="CJ43" s="1">
        <v>4</v>
      </c>
      <c r="CK43" s="1">
        <v>3</v>
      </c>
      <c r="CL43" s="1">
        <v>3</v>
      </c>
      <c r="CM43" s="1">
        <v>4</v>
      </c>
      <c r="CN43" s="1">
        <v>4</v>
      </c>
      <c r="CO43" s="1">
        <v>4</v>
      </c>
      <c r="CP43" s="1">
        <v>4</v>
      </c>
      <c r="CU43" s="1">
        <v>4</v>
      </c>
    </row>
    <row r="44" spans="1:99" x14ac:dyDescent="0.35">
      <c r="A44" s="1" t="s">
        <v>1409</v>
      </c>
      <c r="B44" s="1">
        <v>181411047</v>
      </c>
      <c r="C44" s="1">
        <v>0</v>
      </c>
      <c r="D44" s="1">
        <v>1</v>
      </c>
      <c r="E44" s="1">
        <v>0</v>
      </c>
      <c r="F44" s="1">
        <v>0</v>
      </c>
      <c r="G44" s="1">
        <v>0</v>
      </c>
      <c r="H44" s="1">
        <v>0</v>
      </c>
      <c r="I44" s="1">
        <v>0</v>
      </c>
      <c r="J44" s="1">
        <v>0</v>
      </c>
      <c r="K44" s="1">
        <v>0</v>
      </c>
      <c r="L44" s="1">
        <v>0</v>
      </c>
      <c r="M44" s="1">
        <v>0</v>
      </c>
      <c r="N44" s="1">
        <v>0</v>
      </c>
      <c r="O44" s="1">
        <v>0</v>
      </c>
      <c r="P44" s="1">
        <v>50</v>
      </c>
      <c r="Q44" s="1">
        <v>20</v>
      </c>
      <c r="R44" s="1">
        <v>6</v>
      </c>
      <c r="S44" s="1">
        <v>1</v>
      </c>
      <c r="T44" s="1">
        <v>1</v>
      </c>
      <c r="U44" s="1">
        <v>4</v>
      </c>
      <c r="V44" s="1">
        <v>3</v>
      </c>
      <c r="W44" s="1">
        <v>2</v>
      </c>
      <c r="X44" s="1">
        <v>3</v>
      </c>
      <c r="Y44" s="1">
        <v>4</v>
      </c>
      <c r="Z44" s="1">
        <v>4</v>
      </c>
      <c r="AA44" s="1">
        <v>4</v>
      </c>
      <c r="AC44" s="1">
        <v>1</v>
      </c>
      <c r="AD44" s="1">
        <v>3</v>
      </c>
      <c r="AF44" s="3">
        <v>5500000</v>
      </c>
      <c r="AG44" s="1">
        <v>13</v>
      </c>
      <c r="AT44" s="1" t="s">
        <v>83</v>
      </c>
      <c r="BP44" s="1">
        <v>3</v>
      </c>
      <c r="BQ44" s="1" t="s">
        <v>1410</v>
      </c>
      <c r="BT44" s="1" t="s">
        <v>73</v>
      </c>
      <c r="BU44" s="1">
        <v>5</v>
      </c>
      <c r="BV44" s="1">
        <v>1</v>
      </c>
      <c r="BW44" s="1">
        <v>0</v>
      </c>
      <c r="BX44" s="1">
        <v>1</v>
      </c>
      <c r="BY44" s="1">
        <v>0</v>
      </c>
      <c r="BZ44" s="1">
        <v>0</v>
      </c>
      <c r="CA44" s="1">
        <v>0</v>
      </c>
      <c r="CB44" s="1">
        <v>0</v>
      </c>
      <c r="CC44" s="1">
        <v>0</v>
      </c>
      <c r="CD44" s="1">
        <v>0</v>
      </c>
      <c r="CE44" s="1">
        <v>0</v>
      </c>
      <c r="CF44" s="1">
        <v>0</v>
      </c>
      <c r="CG44" s="1">
        <v>0</v>
      </c>
      <c r="CH44" s="1">
        <v>1</v>
      </c>
      <c r="CI44" s="1">
        <v>0</v>
      </c>
      <c r="CJ44" s="1">
        <v>4</v>
      </c>
      <c r="CK44" s="1">
        <v>3</v>
      </c>
      <c r="CL44" s="1">
        <v>2</v>
      </c>
      <c r="CM44" s="1">
        <v>4</v>
      </c>
      <c r="CN44" s="1">
        <v>4</v>
      </c>
      <c r="CO44" s="1">
        <v>4</v>
      </c>
      <c r="CP44" s="1">
        <v>4</v>
      </c>
      <c r="CU44" s="1">
        <v>1</v>
      </c>
    </row>
    <row r="45" spans="1:99" x14ac:dyDescent="0.35">
      <c r="A45" s="1" t="s">
        <v>1411</v>
      </c>
      <c r="B45" s="1">
        <v>181411048</v>
      </c>
      <c r="C45" s="1">
        <v>0</v>
      </c>
      <c r="D45" s="1">
        <v>1</v>
      </c>
      <c r="E45" s="1">
        <v>0</v>
      </c>
      <c r="F45" s="1">
        <v>0</v>
      </c>
      <c r="G45" s="1">
        <v>0</v>
      </c>
      <c r="H45" s="1">
        <v>0</v>
      </c>
      <c r="I45" s="1">
        <v>0</v>
      </c>
      <c r="J45" s="1">
        <v>0</v>
      </c>
      <c r="K45" s="1">
        <v>0</v>
      </c>
      <c r="L45" s="1">
        <v>0</v>
      </c>
      <c r="M45" s="1">
        <v>0</v>
      </c>
      <c r="N45" s="1">
        <v>0</v>
      </c>
      <c r="O45" s="1">
        <v>0</v>
      </c>
      <c r="P45" s="1" t="s">
        <v>78</v>
      </c>
      <c r="Q45" s="1">
        <v>10</v>
      </c>
      <c r="R45" s="1">
        <v>7</v>
      </c>
      <c r="S45" s="1">
        <v>1</v>
      </c>
      <c r="T45" s="1">
        <v>1</v>
      </c>
      <c r="U45" s="1">
        <v>4</v>
      </c>
      <c r="V45" s="1">
        <v>2</v>
      </c>
      <c r="W45" s="1">
        <v>1</v>
      </c>
      <c r="X45" s="1">
        <v>4</v>
      </c>
      <c r="Y45" s="1">
        <v>2</v>
      </c>
      <c r="Z45" s="1">
        <v>4</v>
      </c>
      <c r="AA45" s="1">
        <v>4</v>
      </c>
      <c r="AC45" s="1">
        <v>1</v>
      </c>
      <c r="AD45" s="1">
        <v>1</v>
      </c>
      <c r="AF45" s="3">
        <v>5000000</v>
      </c>
      <c r="AG45" s="1">
        <v>11</v>
      </c>
      <c r="AR45" s="1" t="s">
        <v>239</v>
      </c>
      <c r="BP45" s="1">
        <v>3</v>
      </c>
      <c r="BQ45" s="1" t="s">
        <v>1412</v>
      </c>
      <c r="BT45" s="1" t="s">
        <v>79</v>
      </c>
      <c r="BU45" s="1">
        <v>4</v>
      </c>
      <c r="BV45" s="1">
        <v>3</v>
      </c>
      <c r="BW45" s="1">
        <v>0</v>
      </c>
      <c r="BX45" s="1">
        <v>0</v>
      </c>
      <c r="BY45" s="1">
        <v>0</v>
      </c>
      <c r="BZ45" s="1">
        <v>0</v>
      </c>
      <c r="CA45" s="1">
        <v>0</v>
      </c>
      <c r="CB45" s="1">
        <v>1</v>
      </c>
      <c r="CC45" s="1">
        <v>1</v>
      </c>
      <c r="CD45" s="1">
        <v>1</v>
      </c>
      <c r="CE45" s="1">
        <v>0</v>
      </c>
      <c r="CF45" s="1">
        <v>0</v>
      </c>
      <c r="CG45" s="1">
        <v>0</v>
      </c>
      <c r="CH45" s="1">
        <v>1</v>
      </c>
      <c r="CI45" s="1">
        <v>0</v>
      </c>
      <c r="CJ45" s="1">
        <v>4</v>
      </c>
      <c r="CK45" s="1">
        <v>1</v>
      </c>
      <c r="CL45" s="1">
        <v>4</v>
      </c>
      <c r="CM45" s="1">
        <v>4</v>
      </c>
      <c r="CN45" s="1">
        <v>4</v>
      </c>
      <c r="CO45" s="1">
        <v>2</v>
      </c>
      <c r="CP45" s="1">
        <v>2</v>
      </c>
      <c r="CU45" s="1">
        <v>1</v>
      </c>
    </row>
    <row r="46" spans="1:99" x14ac:dyDescent="0.35">
      <c r="A46" s="1" t="s">
        <v>1413</v>
      </c>
      <c r="B46" s="1">
        <v>181411049</v>
      </c>
      <c r="C46" s="1">
        <v>0</v>
      </c>
      <c r="D46" s="1">
        <v>1</v>
      </c>
      <c r="E46" s="1">
        <v>0</v>
      </c>
      <c r="F46" s="1">
        <v>0</v>
      </c>
      <c r="G46" s="1">
        <v>0</v>
      </c>
      <c r="H46" s="1">
        <v>0</v>
      </c>
      <c r="I46" s="1">
        <v>0</v>
      </c>
      <c r="J46" s="1">
        <v>0</v>
      </c>
      <c r="K46" s="1">
        <v>0</v>
      </c>
      <c r="L46" s="1">
        <v>0</v>
      </c>
      <c r="M46" s="1">
        <v>0</v>
      </c>
      <c r="N46" s="1">
        <v>0</v>
      </c>
      <c r="O46" s="1">
        <v>0</v>
      </c>
      <c r="P46" s="1" t="s">
        <v>180</v>
      </c>
      <c r="Q46" s="1" t="s">
        <v>117</v>
      </c>
      <c r="R46" s="1" t="s">
        <v>117</v>
      </c>
      <c r="S46" s="1">
        <v>1</v>
      </c>
      <c r="T46" s="1">
        <v>1</v>
      </c>
      <c r="U46" s="1">
        <v>4</v>
      </c>
      <c r="V46" s="1">
        <v>3</v>
      </c>
      <c r="W46" s="1">
        <v>3</v>
      </c>
      <c r="X46" s="1">
        <v>4</v>
      </c>
      <c r="Y46" s="1">
        <v>4</v>
      </c>
      <c r="Z46" s="1">
        <v>4</v>
      </c>
      <c r="AA46" s="1">
        <v>4</v>
      </c>
      <c r="AC46" s="1">
        <v>1</v>
      </c>
      <c r="AD46" s="1">
        <v>2</v>
      </c>
      <c r="AF46" s="3">
        <v>4000000</v>
      </c>
      <c r="AG46" s="1">
        <v>13</v>
      </c>
      <c r="AT46" s="1" t="s">
        <v>1414</v>
      </c>
      <c r="BP46" s="1">
        <v>3</v>
      </c>
      <c r="BQ46" s="1" t="s">
        <v>1415</v>
      </c>
      <c r="BR46" s="1" t="s">
        <v>1416</v>
      </c>
      <c r="BS46" s="1" t="s">
        <v>1417</v>
      </c>
      <c r="BT46" s="1" t="s">
        <v>107</v>
      </c>
      <c r="BU46" s="1">
        <v>1</v>
      </c>
      <c r="BV46" s="1">
        <v>2</v>
      </c>
      <c r="BW46" s="1">
        <v>1</v>
      </c>
      <c r="BX46" s="1">
        <v>0</v>
      </c>
      <c r="BY46" s="1">
        <v>0</v>
      </c>
      <c r="BZ46" s="1">
        <v>0</v>
      </c>
      <c r="CA46" s="1">
        <v>0</v>
      </c>
      <c r="CB46" s="1">
        <v>0</v>
      </c>
      <c r="CC46" s="1">
        <v>0</v>
      </c>
      <c r="CD46" s="1">
        <v>0</v>
      </c>
      <c r="CE46" s="1">
        <v>0</v>
      </c>
      <c r="CF46" s="1">
        <v>0</v>
      </c>
      <c r="CG46" s="1">
        <v>0</v>
      </c>
      <c r="CH46" s="1">
        <v>0</v>
      </c>
      <c r="CI46" s="1">
        <v>0</v>
      </c>
      <c r="CJ46" s="1">
        <v>4</v>
      </c>
      <c r="CK46" s="1">
        <v>3</v>
      </c>
      <c r="CL46" s="1">
        <v>4</v>
      </c>
      <c r="CM46" s="1">
        <v>4</v>
      </c>
      <c r="CN46" s="1">
        <v>4</v>
      </c>
      <c r="CO46" s="1">
        <v>4</v>
      </c>
      <c r="CP46" s="1">
        <v>4</v>
      </c>
      <c r="CU46" s="1">
        <v>3</v>
      </c>
    </row>
    <row r="47" spans="1:99" x14ac:dyDescent="0.35">
      <c r="A47" s="1" t="s">
        <v>1418</v>
      </c>
      <c r="B47" s="1">
        <v>181411050</v>
      </c>
      <c r="C47" s="1">
        <v>0</v>
      </c>
      <c r="D47" s="1">
        <v>1</v>
      </c>
      <c r="E47" s="1">
        <v>0</v>
      </c>
      <c r="F47" s="1">
        <v>0</v>
      </c>
      <c r="G47" s="1">
        <v>0</v>
      </c>
      <c r="H47" s="1">
        <v>0</v>
      </c>
      <c r="I47" s="1">
        <v>0</v>
      </c>
      <c r="J47" s="1">
        <v>0</v>
      </c>
      <c r="K47" s="1">
        <v>1</v>
      </c>
      <c r="L47" s="1">
        <v>1</v>
      </c>
      <c r="M47" s="1">
        <v>0</v>
      </c>
      <c r="N47" s="1">
        <v>0</v>
      </c>
      <c r="O47" s="1">
        <v>0</v>
      </c>
      <c r="P47" s="1">
        <v>1</v>
      </c>
      <c r="Q47" s="1">
        <v>0</v>
      </c>
      <c r="R47" s="1">
        <v>0</v>
      </c>
      <c r="S47" s="1">
        <v>3</v>
      </c>
      <c r="T47" s="1">
        <v>1</v>
      </c>
      <c r="U47" s="1">
        <v>4</v>
      </c>
      <c r="V47" s="1">
        <v>3</v>
      </c>
      <c r="W47" s="1">
        <v>2</v>
      </c>
      <c r="X47" s="1">
        <v>4</v>
      </c>
      <c r="Y47" s="1">
        <v>4</v>
      </c>
      <c r="Z47" s="1">
        <v>4</v>
      </c>
      <c r="AA47" s="1">
        <v>4</v>
      </c>
      <c r="AB47" s="1">
        <v>4</v>
      </c>
      <c r="AC47" s="1">
        <v>1</v>
      </c>
      <c r="AD47" s="1">
        <v>1</v>
      </c>
      <c r="AF47" s="3">
        <v>2500000</v>
      </c>
      <c r="AG47" s="1">
        <v>13</v>
      </c>
      <c r="AT47" s="1" t="s">
        <v>75</v>
      </c>
      <c r="BP47" s="1" t="s">
        <v>1419</v>
      </c>
      <c r="BQ47" s="1" t="s">
        <v>1420</v>
      </c>
      <c r="BT47" s="1" t="s">
        <v>107</v>
      </c>
      <c r="BU47" s="1">
        <v>3</v>
      </c>
      <c r="BV47" s="1">
        <v>2</v>
      </c>
      <c r="BW47" s="1">
        <v>0</v>
      </c>
      <c r="BX47" s="1">
        <v>0</v>
      </c>
      <c r="BY47" s="1">
        <v>1</v>
      </c>
      <c r="BZ47" s="1">
        <v>0</v>
      </c>
      <c r="CA47" s="1">
        <v>0</v>
      </c>
      <c r="CB47" s="1">
        <v>0</v>
      </c>
      <c r="CC47" s="1">
        <v>0</v>
      </c>
      <c r="CD47" s="1">
        <v>0</v>
      </c>
      <c r="CE47" s="1">
        <v>1</v>
      </c>
      <c r="CF47" s="1">
        <v>0</v>
      </c>
      <c r="CG47" s="1">
        <v>0</v>
      </c>
      <c r="CH47" s="1">
        <v>0</v>
      </c>
      <c r="CI47" s="1">
        <v>0</v>
      </c>
      <c r="CJ47" s="1">
        <v>4</v>
      </c>
      <c r="CK47" s="1">
        <v>4</v>
      </c>
      <c r="CL47" s="1">
        <v>3</v>
      </c>
      <c r="CM47" s="1">
        <v>4</v>
      </c>
      <c r="CN47" s="1">
        <v>4</v>
      </c>
      <c r="CO47" s="1">
        <v>4</v>
      </c>
      <c r="CP47" s="1">
        <v>4</v>
      </c>
      <c r="CU47" s="1">
        <v>1</v>
      </c>
    </row>
    <row r="48" spans="1:99" x14ac:dyDescent="0.35">
      <c r="A48" s="1" t="s">
        <v>1421</v>
      </c>
      <c r="B48" s="1">
        <v>181411052</v>
      </c>
      <c r="C48" s="1">
        <v>0</v>
      </c>
      <c r="D48" s="1">
        <v>1</v>
      </c>
      <c r="E48" s="1">
        <v>0</v>
      </c>
      <c r="F48" s="1">
        <v>0</v>
      </c>
      <c r="G48" s="1">
        <v>0</v>
      </c>
      <c r="H48" s="1">
        <v>0</v>
      </c>
      <c r="I48" s="1">
        <v>0</v>
      </c>
      <c r="J48" s="1">
        <v>0</v>
      </c>
      <c r="K48" s="1">
        <v>1</v>
      </c>
      <c r="L48" s="1">
        <v>0</v>
      </c>
      <c r="M48" s="1">
        <v>0</v>
      </c>
      <c r="N48" s="1">
        <v>0</v>
      </c>
      <c r="O48" s="1">
        <v>0</v>
      </c>
      <c r="P48" s="1">
        <v>5</v>
      </c>
      <c r="Q48" s="1">
        <v>3</v>
      </c>
      <c r="R48" s="1">
        <v>2</v>
      </c>
      <c r="S48" s="1">
        <v>1</v>
      </c>
      <c r="T48" s="1">
        <v>1</v>
      </c>
      <c r="U48" s="1">
        <v>4</v>
      </c>
      <c r="V48" s="1">
        <v>3</v>
      </c>
      <c r="W48" s="1">
        <v>3</v>
      </c>
      <c r="X48" s="1">
        <v>4</v>
      </c>
      <c r="Y48" s="1">
        <v>4</v>
      </c>
      <c r="Z48" s="1">
        <v>4</v>
      </c>
      <c r="AA48" s="1">
        <v>4</v>
      </c>
      <c r="AC48" s="1">
        <v>1</v>
      </c>
      <c r="AD48" s="1">
        <v>0</v>
      </c>
      <c r="AF48" s="3">
        <v>3750000</v>
      </c>
      <c r="AG48" s="1">
        <v>12</v>
      </c>
      <c r="AS48" s="1" t="s">
        <v>244</v>
      </c>
      <c r="BP48" s="1">
        <v>3</v>
      </c>
      <c r="BQ48" s="1" t="s">
        <v>1422</v>
      </c>
      <c r="BR48" s="1" t="s">
        <v>1423</v>
      </c>
      <c r="BS48" s="1" t="s">
        <v>1424</v>
      </c>
      <c r="BT48" s="1" t="s">
        <v>73</v>
      </c>
      <c r="BU48" s="1">
        <v>1</v>
      </c>
      <c r="BV48" s="1">
        <v>2</v>
      </c>
      <c r="BW48" s="1">
        <v>1</v>
      </c>
      <c r="BX48" s="1">
        <v>0</v>
      </c>
      <c r="BY48" s="1">
        <v>0</v>
      </c>
      <c r="BZ48" s="1">
        <v>0</v>
      </c>
      <c r="CA48" s="1">
        <v>0</v>
      </c>
      <c r="CB48" s="1">
        <v>0</v>
      </c>
      <c r="CC48" s="1">
        <v>0</v>
      </c>
      <c r="CD48" s="1">
        <v>0</v>
      </c>
      <c r="CE48" s="1">
        <v>0</v>
      </c>
      <c r="CF48" s="1">
        <v>0</v>
      </c>
      <c r="CG48" s="1">
        <v>0</v>
      </c>
      <c r="CH48" s="1">
        <v>0</v>
      </c>
      <c r="CI48" s="1">
        <v>0</v>
      </c>
      <c r="CJ48" s="1">
        <v>4</v>
      </c>
      <c r="CK48" s="1">
        <v>4</v>
      </c>
      <c r="CL48" s="1">
        <v>4</v>
      </c>
      <c r="CM48" s="1">
        <v>4</v>
      </c>
      <c r="CN48" s="1">
        <v>4</v>
      </c>
      <c r="CO48" s="1">
        <v>4</v>
      </c>
      <c r="CP48" s="1">
        <v>4</v>
      </c>
      <c r="CU48" s="1">
        <v>1</v>
      </c>
    </row>
    <row r="49" spans="1:99" x14ac:dyDescent="0.35">
      <c r="A49" s="1" t="s">
        <v>1425</v>
      </c>
      <c r="B49" s="1">
        <v>181411053</v>
      </c>
      <c r="C49" s="1">
        <v>0</v>
      </c>
      <c r="D49" s="1">
        <v>1</v>
      </c>
      <c r="E49" s="1">
        <v>0</v>
      </c>
      <c r="F49" s="1">
        <v>0</v>
      </c>
      <c r="G49" s="1">
        <v>0</v>
      </c>
      <c r="H49" s="1">
        <v>1</v>
      </c>
      <c r="I49" s="1">
        <v>0</v>
      </c>
      <c r="J49" s="1">
        <v>1</v>
      </c>
      <c r="K49" s="1">
        <v>1</v>
      </c>
      <c r="L49" s="1">
        <v>0</v>
      </c>
      <c r="M49" s="1">
        <v>0</v>
      </c>
      <c r="N49" s="1">
        <v>0</v>
      </c>
      <c r="O49" s="1">
        <v>0</v>
      </c>
      <c r="P49" s="1">
        <v>3</v>
      </c>
      <c r="Q49" s="1">
        <v>3</v>
      </c>
      <c r="R49" s="1">
        <v>3</v>
      </c>
      <c r="S49" s="1">
        <v>1</v>
      </c>
      <c r="T49" s="1">
        <v>1</v>
      </c>
      <c r="U49" s="1">
        <v>4</v>
      </c>
      <c r="V49" s="1">
        <v>3</v>
      </c>
      <c r="W49" s="1">
        <v>3</v>
      </c>
      <c r="X49" s="1">
        <v>4</v>
      </c>
      <c r="Y49" s="1">
        <v>4</v>
      </c>
      <c r="Z49" s="1">
        <v>4</v>
      </c>
      <c r="AA49" s="1">
        <v>4</v>
      </c>
      <c r="AC49" s="1">
        <v>1</v>
      </c>
      <c r="AD49" s="1">
        <v>2</v>
      </c>
      <c r="AF49" s="3">
        <v>7500000</v>
      </c>
      <c r="AG49" s="1">
        <v>12</v>
      </c>
      <c r="AS49" s="1" t="s">
        <v>244</v>
      </c>
      <c r="BP49" s="1">
        <v>3</v>
      </c>
      <c r="BQ49" s="1" t="s">
        <v>1426</v>
      </c>
      <c r="BR49" s="1" t="s">
        <v>1427</v>
      </c>
      <c r="BT49" s="1" t="s">
        <v>73</v>
      </c>
      <c r="BU49" s="1">
        <v>4</v>
      </c>
      <c r="BV49" s="1">
        <v>2</v>
      </c>
      <c r="BW49" s="1">
        <v>0</v>
      </c>
      <c r="BX49" s="1">
        <v>0</v>
      </c>
      <c r="BY49" s="1">
        <v>0</v>
      </c>
      <c r="BZ49" s="1">
        <v>0</v>
      </c>
      <c r="CA49" s="1">
        <v>0</v>
      </c>
      <c r="CB49" s="1">
        <v>1</v>
      </c>
      <c r="CC49" s="1">
        <v>1</v>
      </c>
      <c r="CD49" s="1">
        <v>0</v>
      </c>
      <c r="CE49" s="1">
        <v>0</v>
      </c>
      <c r="CF49" s="1">
        <v>1</v>
      </c>
      <c r="CG49" s="1">
        <v>0</v>
      </c>
      <c r="CH49" s="1">
        <v>0</v>
      </c>
      <c r="CI49" s="1">
        <v>0</v>
      </c>
      <c r="CJ49" s="1">
        <v>4</v>
      </c>
      <c r="CK49" s="1">
        <v>4</v>
      </c>
      <c r="CL49" s="1">
        <v>4</v>
      </c>
      <c r="CM49" s="1">
        <v>4</v>
      </c>
      <c r="CN49" s="1">
        <v>4</v>
      </c>
      <c r="CO49" s="1">
        <v>4</v>
      </c>
      <c r="CP49" s="1">
        <v>4</v>
      </c>
      <c r="CU49" s="1">
        <v>1</v>
      </c>
    </row>
    <row r="50" spans="1:99" x14ac:dyDescent="0.35">
      <c r="A50" s="1" t="s">
        <v>1428</v>
      </c>
      <c r="B50" s="1">
        <v>181411055</v>
      </c>
      <c r="C50" s="1">
        <v>1</v>
      </c>
      <c r="D50" s="1">
        <v>1</v>
      </c>
      <c r="E50" s="1">
        <v>0</v>
      </c>
      <c r="F50" s="1">
        <v>0</v>
      </c>
      <c r="G50" s="1">
        <v>0</v>
      </c>
      <c r="H50" s="1">
        <v>1</v>
      </c>
      <c r="I50" s="1">
        <v>0</v>
      </c>
      <c r="J50" s="1">
        <v>0</v>
      </c>
      <c r="K50" s="1">
        <v>1</v>
      </c>
      <c r="L50" s="1">
        <v>0</v>
      </c>
      <c r="M50" s="1">
        <v>0</v>
      </c>
      <c r="N50" s="1">
        <v>0</v>
      </c>
      <c r="O50" s="1">
        <v>0</v>
      </c>
      <c r="P50" s="1">
        <v>150</v>
      </c>
      <c r="Q50" s="1">
        <v>20</v>
      </c>
      <c r="R50" s="1">
        <v>6</v>
      </c>
      <c r="S50" s="1">
        <v>1</v>
      </c>
      <c r="T50" s="1">
        <v>1</v>
      </c>
      <c r="U50" s="1">
        <v>3</v>
      </c>
      <c r="V50" s="1">
        <v>3</v>
      </c>
      <c r="W50" s="1">
        <v>2</v>
      </c>
      <c r="X50" s="1">
        <v>2</v>
      </c>
      <c r="Y50" s="1">
        <v>2</v>
      </c>
      <c r="Z50" s="1">
        <v>3</v>
      </c>
      <c r="AA50" s="1">
        <v>3</v>
      </c>
      <c r="AC50" s="1">
        <v>2</v>
      </c>
      <c r="AE50" s="1">
        <v>5</v>
      </c>
      <c r="AF50" s="3">
        <v>5000000</v>
      </c>
      <c r="AG50" s="1">
        <v>13</v>
      </c>
      <c r="AT50" s="1" t="s">
        <v>83</v>
      </c>
      <c r="BP50" s="1">
        <v>3</v>
      </c>
      <c r="BQ50" s="1" t="s">
        <v>1429</v>
      </c>
      <c r="BR50" s="1" t="s">
        <v>1430</v>
      </c>
      <c r="BT50" s="1" t="s">
        <v>79</v>
      </c>
      <c r="BU50" s="1">
        <v>4</v>
      </c>
      <c r="BV50" s="1">
        <v>1</v>
      </c>
      <c r="BW50" s="1">
        <v>0</v>
      </c>
      <c r="BX50" s="1">
        <v>1</v>
      </c>
      <c r="BY50" s="1">
        <v>1</v>
      </c>
      <c r="BZ50" s="1">
        <v>0</v>
      </c>
      <c r="CA50" s="1">
        <v>0</v>
      </c>
      <c r="CB50" s="1">
        <v>1</v>
      </c>
      <c r="CC50" s="1">
        <v>0</v>
      </c>
      <c r="CD50" s="1">
        <v>0</v>
      </c>
      <c r="CE50" s="1">
        <v>0</v>
      </c>
      <c r="CF50" s="1">
        <v>0</v>
      </c>
      <c r="CG50" s="1">
        <v>0</v>
      </c>
      <c r="CH50" s="1">
        <v>1</v>
      </c>
      <c r="CI50" s="1">
        <v>0</v>
      </c>
      <c r="CJ50" s="1">
        <v>4</v>
      </c>
      <c r="CK50" s="1">
        <v>3</v>
      </c>
      <c r="CL50" s="1">
        <v>4</v>
      </c>
      <c r="CM50" s="1">
        <v>3</v>
      </c>
      <c r="CN50" s="1">
        <v>4</v>
      </c>
      <c r="CO50" s="1">
        <v>4</v>
      </c>
      <c r="CP50" s="1">
        <v>3</v>
      </c>
      <c r="CU50" s="1">
        <v>1</v>
      </c>
    </row>
    <row r="51" spans="1:99" x14ac:dyDescent="0.35">
      <c r="A51" s="1" t="s">
        <v>1431</v>
      </c>
      <c r="B51" s="1">
        <v>181411056</v>
      </c>
      <c r="C51" s="1">
        <v>0</v>
      </c>
      <c r="D51" s="1">
        <v>1</v>
      </c>
      <c r="E51" s="1">
        <v>0</v>
      </c>
      <c r="F51" s="1">
        <v>0</v>
      </c>
      <c r="G51" s="1">
        <v>0</v>
      </c>
      <c r="H51" s="1">
        <v>1</v>
      </c>
      <c r="I51" s="1">
        <v>1</v>
      </c>
      <c r="J51" s="1">
        <v>1</v>
      </c>
      <c r="K51" s="1">
        <v>1</v>
      </c>
      <c r="L51" s="1">
        <v>0</v>
      </c>
      <c r="M51" s="1">
        <v>0</v>
      </c>
      <c r="N51" s="1">
        <v>0</v>
      </c>
      <c r="O51" s="1">
        <v>0</v>
      </c>
      <c r="P51" s="1" t="s">
        <v>78</v>
      </c>
      <c r="Q51" s="1" t="s">
        <v>78</v>
      </c>
      <c r="R51" s="1" t="s">
        <v>78</v>
      </c>
      <c r="S51" s="1">
        <v>1</v>
      </c>
      <c r="T51" s="1">
        <v>1</v>
      </c>
      <c r="U51" s="1">
        <v>3</v>
      </c>
      <c r="V51" s="1">
        <v>3</v>
      </c>
      <c r="W51" s="1">
        <v>2</v>
      </c>
      <c r="X51" s="1">
        <v>3</v>
      </c>
      <c r="Y51" s="1">
        <v>3</v>
      </c>
      <c r="Z51" s="1">
        <v>3</v>
      </c>
      <c r="AA51" s="1">
        <v>3</v>
      </c>
      <c r="AC51" s="1">
        <v>2</v>
      </c>
      <c r="AE51" s="1">
        <v>1</v>
      </c>
      <c r="AF51" s="1">
        <v>0</v>
      </c>
      <c r="AG51" s="1">
        <v>12</v>
      </c>
      <c r="AS51" s="1" t="s">
        <v>244</v>
      </c>
      <c r="BP51" s="1">
        <v>3</v>
      </c>
      <c r="BQ51" s="1" t="s">
        <v>1278</v>
      </c>
      <c r="BT51" s="1" t="s">
        <v>73</v>
      </c>
      <c r="BU51" s="1">
        <v>1</v>
      </c>
      <c r="BV51" s="1">
        <v>2</v>
      </c>
      <c r="BW51" s="1">
        <v>1</v>
      </c>
      <c r="BX51" s="1">
        <v>0</v>
      </c>
      <c r="BY51" s="1">
        <v>0</v>
      </c>
      <c r="BZ51" s="1">
        <v>0</v>
      </c>
      <c r="CA51" s="1">
        <v>0</v>
      </c>
      <c r="CB51" s="1">
        <v>0</v>
      </c>
      <c r="CC51" s="1">
        <v>0</v>
      </c>
      <c r="CD51" s="1">
        <v>0</v>
      </c>
      <c r="CE51" s="1">
        <v>0</v>
      </c>
      <c r="CF51" s="1">
        <v>0</v>
      </c>
      <c r="CG51" s="1">
        <v>0</v>
      </c>
      <c r="CH51" s="1">
        <v>0</v>
      </c>
      <c r="CI51" s="1">
        <v>0</v>
      </c>
      <c r="CJ51" s="1">
        <v>4</v>
      </c>
      <c r="CK51" s="1">
        <v>4</v>
      </c>
      <c r="CL51" s="1">
        <v>4</v>
      </c>
      <c r="CM51" s="1">
        <v>4</v>
      </c>
      <c r="CN51" s="1">
        <v>4</v>
      </c>
      <c r="CO51" s="1">
        <v>4</v>
      </c>
      <c r="CP51" s="1">
        <v>4</v>
      </c>
      <c r="CU51" s="1">
        <v>1</v>
      </c>
    </row>
    <row r="52" spans="1:99" x14ac:dyDescent="0.35">
      <c r="A52" s="1" t="s">
        <v>1432</v>
      </c>
      <c r="B52" s="1">
        <v>181411057</v>
      </c>
      <c r="C52" s="1">
        <v>0</v>
      </c>
      <c r="D52" s="1">
        <v>1</v>
      </c>
      <c r="E52" s="1">
        <v>0</v>
      </c>
      <c r="F52" s="1">
        <v>0</v>
      </c>
      <c r="G52" s="1">
        <v>0</v>
      </c>
      <c r="H52" s="1">
        <v>0</v>
      </c>
      <c r="I52" s="1">
        <v>0</v>
      </c>
      <c r="J52" s="1">
        <v>1</v>
      </c>
      <c r="K52" s="1">
        <v>0</v>
      </c>
      <c r="L52" s="1">
        <v>0</v>
      </c>
      <c r="M52" s="1">
        <v>0</v>
      </c>
      <c r="N52" s="1">
        <v>0</v>
      </c>
      <c r="O52" s="1">
        <v>0</v>
      </c>
      <c r="P52" s="1">
        <v>7</v>
      </c>
      <c r="Q52" s="1">
        <v>5</v>
      </c>
      <c r="R52" s="1">
        <v>5</v>
      </c>
      <c r="S52" s="1">
        <v>1</v>
      </c>
      <c r="T52" s="1">
        <v>1</v>
      </c>
      <c r="U52" s="1">
        <v>4</v>
      </c>
      <c r="V52" s="1">
        <v>3</v>
      </c>
      <c r="W52" s="1">
        <v>2</v>
      </c>
      <c r="X52" s="1">
        <v>3</v>
      </c>
      <c r="Y52" s="1">
        <v>3</v>
      </c>
      <c r="Z52" s="1">
        <v>3</v>
      </c>
      <c r="AA52" s="1">
        <v>4</v>
      </c>
      <c r="AC52" s="1">
        <v>1</v>
      </c>
      <c r="AD52" s="1">
        <v>1</v>
      </c>
      <c r="AF52" s="3">
        <v>7000000</v>
      </c>
      <c r="AG52" s="1">
        <v>13</v>
      </c>
      <c r="AT52" s="1" t="s">
        <v>83</v>
      </c>
      <c r="BP52" s="1">
        <v>3</v>
      </c>
      <c r="BQ52" s="1" t="s">
        <v>1433</v>
      </c>
      <c r="BR52" s="1" t="s">
        <v>1434</v>
      </c>
      <c r="BS52" s="1" t="s">
        <v>1435</v>
      </c>
      <c r="BT52" s="1" t="s">
        <v>73</v>
      </c>
      <c r="BU52" s="1">
        <v>1</v>
      </c>
      <c r="BV52" s="1">
        <v>2</v>
      </c>
      <c r="BW52" s="1">
        <v>1</v>
      </c>
      <c r="BX52" s="1">
        <v>0</v>
      </c>
      <c r="BY52" s="1">
        <v>1</v>
      </c>
      <c r="BZ52" s="1">
        <v>0</v>
      </c>
      <c r="CA52" s="1">
        <v>0</v>
      </c>
      <c r="CB52" s="1">
        <v>0</v>
      </c>
      <c r="CC52" s="1">
        <v>0</v>
      </c>
      <c r="CD52" s="1">
        <v>0</v>
      </c>
      <c r="CE52" s="1">
        <v>0</v>
      </c>
      <c r="CF52" s="1">
        <v>0</v>
      </c>
      <c r="CG52" s="1">
        <v>0</v>
      </c>
      <c r="CH52" s="1">
        <v>0</v>
      </c>
      <c r="CI52" s="1">
        <v>0</v>
      </c>
      <c r="CJ52" s="1">
        <v>4</v>
      </c>
      <c r="CK52" s="1">
        <v>4</v>
      </c>
      <c r="CL52" s="1">
        <v>3</v>
      </c>
      <c r="CM52" s="1">
        <v>4</v>
      </c>
      <c r="CN52" s="1">
        <v>4</v>
      </c>
      <c r="CO52" s="1">
        <v>4</v>
      </c>
      <c r="CP52" s="1">
        <v>4</v>
      </c>
      <c r="CU52" s="1">
        <v>1</v>
      </c>
    </row>
    <row r="53" spans="1:99" x14ac:dyDescent="0.35">
      <c r="A53" s="1" t="s">
        <v>1436</v>
      </c>
      <c r="B53" s="1">
        <v>181411058</v>
      </c>
      <c r="C53" s="1">
        <v>1</v>
      </c>
      <c r="D53" s="1">
        <v>1</v>
      </c>
      <c r="E53" s="1">
        <v>0</v>
      </c>
      <c r="F53" s="1">
        <v>0</v>
      </c>
      <c r="G53" s="1">
        <v>0</v>
      </c>
      <c r="H53" s="1">
        <v>1</v>
      </c>
      <c r="I53" s="1">
        <v>1</v>
      </c>
      <c r="J53" s="1">
        <v>0</v>
      </c>
      <c r="K53" s="1">
        <v>1</v>
      </c>
      <c r="L53" s="1">
        <v>0</v>
      </c>
      <c r="M53" s="1">
        <v>0</v>
      </c>
      <c r="N53" s="1">
        <v>0</v>
      </c>
      <c r="O53" s="1">
        <v>0</v>
      </c>
      <c r="P53" s="1">
        <v>20</v>
      </c>
      <c r="Q53" s="1">
        <v>7</v>
      </c>
      <c r="R53" s="1">
        <v>3</v>
      </c>
      <c r="S53" s="1">
        <v>1</v>
      </c>
      <c r="T53" s="1">
        <v>1</v>
      </c>
      <c r="U53" s="1">
        <v>3</v>
      </c>
      <c r="V53" s="1">
        <v>2</v>
      </c>
      <c r="W53" s="1">
        <v>3</v>
      </c>
      <c r="X53" s="1">
        <v>3</v>
      </c>
      <c r="Y53" s="1">
        <v>3</v>
      </c>
      <c r="Z53" s="1">
        <v>3</v>
      </c>
      <c r="AA53" s="1">
        <v>3</v>
      </c>
      <c r="AC53" s="1">
        <v>2</v>
      </c>
      <c r="AE53" s="1">
        <v>12</v>
      </c>
      <c r="AF53" s="3">
        <v>5400000</v>
      </c>
      <c r="AG53" s="1">
        <v>13</v>
      </c>
      <c r="AT53" s="1" t="s">
        <v>83</v>
      </c>
      <c r="BP53" s="1">
        <v>3</v>
      </c>
      <c r="BQ53" s="1" t="s">
        <v>1437</v>
      </c>
      <c r="BT53" s="1" t="s">
        <v>73</v>
      </c>
      <c r="BU53" s="1">
        <v>2</v>
      </c>
      <c r="BV53" s="1">
        <v>2</v>
      </c>
      <c r="BW53" s="1">
        <v>0</v>
      </c>
      <c r="BX53" s="1">
        <v>0</v>
      </c>
      <c r="BY53" s="1">
        <v>0</v>
      </c>
      <c r="BZ53" s="1">
        <v>1</v>
      </c>
      <c r="CA53" s="1">
        <v>0</v>
      </c>
      <c r="CB53" s="1">
        <v>0</v>
      </c>
      <c r="CC53" s="1">
        <v>0</v>
      </c>
      <c r="CD53" s="1">
        <v>0</v>
      </c>
      <c r="CE53" s="1">
        <v>0</v>
      </c>
      <c r="CF53" s="1">
        <v>0</v>
      </c>
      <c r="CG53" s="1">
        <v>0</v>
      </c>
      <c r="CH53" s="1">
        <v>0</v>
      </c>
      <c r="CI53" s="1" t="s">
        <v>1438</v>
      </c>
      <c r="CJ53" s="1">
        <v>4</v>
      </c>
      <c r="CK53" s="1">
        <v>2</v>
      </c>
      <c r="CL53" s="1">
        <v>4</v>
      </c>
      <c r="CM53" s="1">
        <v>4</v>
      </c>
      <c r="CN53" s="1">
        <v>4</v>
      </c>
      <c r="CO53" s="1">
        <v>4</v>
      </c>
      <c r="CP53" s="1">
        <v>3</v>
      </c>
      <c r="CU53" s="1">
        <v>3</v>
      </c>
    </row>
    <row r="54" spans="1:99" x14ac:dyDescent="0.35">
      <c r="A54" s="1" t="s">
        <v>1439</v>
      </c>
      <c r="B54" s="1">
        <v>181411060</v>
      </c>
      <c r="C54" s="1">
        <v>0</v>
      </c>
      <c r="D54" s="1">
        <v>1</v>
      </c>
      <c r="E54" s="1">
        <v>0</v>
      </c>
      <c r="F54" s="1">
        <v>0</v>
      </c>
      <c r="G54" s="1">
        <v>0</v>
      </c>
      <c r="H54" s="1">
        <v>0</v>
      </c>
      <c r="I54" s="1">
        <v>0</v>
      </c>
      <c r="J54" s="1">
        <v>0</v>
      </c>
      <c r="K54" s="1">
        <v>0</v>
      </c>
      <c r="L54" s="1">
        <v>0</v>
      </c>
      <c r="M54" s="1">
        <v>0</v>
      </c>
      <c r="N54" s="1">
        <v>0</v>
      </c>
      <c r="O54" s="1">
        <v>0</v>
      </c>
      <c r="P54" s="1">
        <v>5</v>
      </c>
      <c r="Q54" s="1">
        <v>2</v>
      </c>
      <c r="R54" s="1">
        <v>1</v>
      </c>
      <c r="S54" s="1">
        <v>5</v>
      </c>
      <c r="T54" s="1">
        <v>1</v>
      </c>
      <c r="U54" s="1">
        <v>4</v>
      </c>
      <c r="V54" s="1">
        <v>3</v>
      </c>
      <c r="W54" s="1">
        <v>1</v>
      </c>
      <c r="X54" s="1">
        <v>2</v>
      </c>
      <c r="Y54" s="1">
        <v>2</v>
      </c>
      <c r="Z54" s="1">
        <v>2</v>
      </c>
      <c r="AA54" s="1">
        <v>2</v>
      </c>
      <c r="CU54" s="1">
        <v>2</v>
      </c>
    </row>
    <row r="55" spans="1:99" x14ac:dyDescent="0.35">
      <c r="A55" s="1" t="s">
        <v>1440</v>
      </c>
      <c r="B55" s="1">
        <v>181411061</v>
      </c>
      <c r="C55" s="1">
        <v>0</v>
      </c>
      <c r="D55" s="1">
        <v>1</v>
      </c>
      <c r="E55" s="1">
        <v>0</v>
      </c>
      <c r="F55" s="1">
        <v>0</v>
      </c>
      <c r="G55" s="1">
        <v>0</v>
      </c>
      <c r="H55" s="1">
        <v>0</v>
      </c>
      <c r="I55" s="1">
        <v>0</v>
      </c>
      <c r="J55" s="1">
        <v>0</v>
      </c>
      <c r="K55" s="1">
        <v>0</v>
      </c>
      <c r="L55" s="1">
        <v>0</v>
      </c>
      <c r="M55" s="1">
        <v>1</v>
      </c>
      <c r="N55" s="1">
        <v>0</v>
      </c>
      <c r="O55" s="1">
        <v>0</v>
      </c>
      <c r="P55" s="1" t="s">
        <v>1099</v>
      </c>
      <c r="Q55" s="1" t="s">
        <v>1099</v>
      </c>
      <c r="R55" s="1" t="s">
        <v>1099</v>
      </c>
      <c r="S55" s="1">
        <v>1</v>
      </c>
      <c r="T55" s="1">
        <v>1</v>
      </c>
      <c r="U55" s="1">
        <v>4</v>
      </c>
      <c r="V55" s="1">
        <v>4</v>
      </c>
      <c r="W55" s="1">
        <v>4</v>
      </c>
      <c r="X55" s="1">
        <v>4</v>
      </c>
      <c r="Y55" s="1">
        <v>4</v>
      </c>
      <c r="Z55" s="1">
        <v>4</v>
      </c>
      <c r="AA55" s="1">
        <v>4</v>
      </c>
      <c r="AC55" s="1">
        <v>2</v>
      </c>
      <c r="AE55" s="1">
        <v>11</v>
      </c>
      <c r="AF55" s="3">
        <v>6800000</v>
      </c>
      <c r="AG55" s="1">
        <v>12</v>
      </c>
      <c r="AS55" s="1" t="s">
        <v>244</v>
      </c>
      <c r="BP55" s="1">
        <v>3</v>
      </c>
      <c r="BQ55" s="1" t="s">
        <v>1441</v>
      </c>
      <c r="BR55" s="1" t="s">
        <v>1442</v>
      </c>
      <c r="BT55" s="1" t="s">
        <v>73</v>
      </c>
      <c r="BU55" s="1">
        <v>1</v>
      </c>
      <c r="BV55" s="1">
        <v>2</v>
      </c>
      <c r="BW55" s="1">
        <v>0</v>
      </c>
      <c r="BX55" s="1">
        <v>0</v>
      </c>
      <c r="BY55" s="1">
        <v>0</v>
      </c>
      <c r="BZ55" s="1">
        <v>0</v>
      </c>
      <c r="CA55" s="1">
        <v>0</v>
      </c>
      <c r="CB55" s="1">
        <v>0</v>
      </c>
      <c r="CC55" s="1">
        <v>0</v>
      </c>
      <c r="CD55" s="1">
        <v>0</v>
      </c>
      <c r="CE55" s="1">
        <v>0</v>
      </c>
      <c r="CF55" s="1">
        <v>0</v>
      </c>
      <c r="CG55" s="1">
        <v>0</v>
      </c>
      <c r="CH55" s="1">
        <v>0</v>
      </c>
      <c r="CI55" s="1" t="s">
        <v>78</v>
      </c>
      <c r="CJ55" s="1">
        <v>4</v>
      </c>
      <c r="CK55" s="1">
        <v>4</v>
      </c>
      <c r="CL55" s="1">
        <v>4</v>
      </c>
      <c r="CM55" s="1">
        <v>4</v>
      </c>
      <c r="CN55" s="1">
        <v>4</v>
      </c>
      <c r="CO55" s="1">
        <v>4</v>
      </c>
      <c r="CP55" s="1">
        <v>4</v>
      </c>
      <c r="CU55" s="1">
        <v>1</v>
      </c>
    </row>
    <row r="56" spans="1:99" x14ac:dyDescent="0.35">
      <c r="A56" s="1" t="s">
        <v>1443</v>
      </c>
      <c r="B56" s="1">
        <v>181411062</v>
      </c>
      <c r="C56" s="1">
        <v>0</v>
      </c>
      <c r="D56" s="1">
        <v>0</v>
      </c>
      <c r="E56" s="1">
        <v>0</v>
      </c>
      <c r="F56" s="1">
        <v>0</v>
      </c>
      <c r="G56" s="1">
        <v>0</v>
      </c>
      <c r="H56" s="1">
        <v>0</v>
      </c>
      <c r="I56" s="1">
        <v>0</v>
      </c>
      <c r="J56" s="1">
        <v>0</v>
      </c>
      <c r="K56" s="1">
        <v>1</v>
      </c>
      <c r="L56" s="1">
        <v>0</v>
      </c>
      <c r="M56" s="1">
        <v>0</v>
      </c>
      <c r="N56" s="1">
        <v>0</v>
      </c>
      <c r="O56" s="1">
        <v>0</v>
      </c>
      <c r="P56" s="1">
        <v>6</v>
      </c>
      <c r="Q56" s="1">
        <v>4</v>
      </c>
      <c r="R56" s="1">
        <v>4</v>
      </c>
      <c r="S56" s="1">
        <v>1</v>
      </c>
      <c r="T56" s="1">
        <v>1</v>
      </c>
      <c r="U56" s="1">
        <v>4</v>
      </c>
      <c r="V56" s="1">
        <v>3</v>
      </c>
      <c r="W56" s="1">
        <v>3</v>
      </c>
      <c r="X56" s="1">
        <v>3</v>
      </c>
      <c r="Y56" s="1">
        <v>4</v>
      </c>
      <c r="Z56" s="1">
        <v>4</v>
      </c>
      <c r="AA56" s="1">
        <v>3</v>
      </c>
      <c r="AC56" s="1">
        <v>1</v>
      </c>
      <c r="AD56" s="1">
        <v>4</v>
      </c>
      <c r="AF56" s="3">
        <v>4791000</v>
      </c>
      <c r="AG56" s="1">
        <v>13</v>
      </c>
      <c r="AT56" s="1" t="s">
        <v>83</v>
      </c>
      <c r="BP56" s="1">
        <v>3</v>
      </c>
      <c r="BQ56" s="1" t="s">
        <v>1444</v>
      </c>
      <c r="BT56" s="1" t="s">
        <v>79</v>
      </c>
      <c r="BU56" s="1">
        <v>3</v>
      </c>
      <c r="BV56" s="1">
        <v>3</v>
      </c>
      <c r="BW56" s="1">
        <v>0</v>
      </c>
      <c r="BX56" s="1">
        <v>0</v>
      </c>
      <c r="BY56" s="1">
        <v>0</v>
      </c>
      <c r="BZ56" s="1">
        <v>0</v>
      </c>
      <c r="CA56" s="1">
        <v>0</v>
      </c>
      <c r="CB56" s="1">
        <v>0</v>
      </c>
      <c r="CC56" s="1">
        <v>0</v>
      </c>
      <c r="CD56" s="1">
        <v>0</v>
      </c>
      <c r="CE56" s="1">
        <v>0</v>
      </c>
      <c r="CF56" s="1">
        <v>0</v>
      </c>
      <c r="CG56" s="1">
        <v>0</v>
      </c>
      <c r="CH56" s="1">
        <v>1</v>
      </c>
      <c r="CI56" s="1">
        <v>0</v>
      </c>
      <c r="CJ56" s="1">
        <v>4</v>
      </c>
      <c r="CK56" s="1">
        <v>3</v>
      </c>
      <c r="CL56" s="1">
        <v>3</v>
      </c>
      <c r="CM56" s="1">
        <v>3</v>
      </c>
      <c r="CN56" s="1">
        <v>4</v>
      </c>
      <c r="CO56" s="1">
        <v>4</v>
      </c>
      <c r="CP56" s="1">
        <v>4</v>
      </c>
      <c r="CU56" s="1">
        <v>1</v>
      </c>
    </row>
    <row r="57" spans="1:99" x14ac:dyDescent="0.35">
      <c r="A57" s="1" t="s">
        <v>1445</v>
      </c>
      <c r="B57" s="1">
        <v>181411063</v>
      </c>
      <c r="C57" s="1">
        <v>0</v>
      </c>
      <c r="D57" s="1">
        <v>1</v>
      </c>
      <c r="E57" s="1">
        <v>0</v>
      </c>
      <c r="F57" s="1">
        <v>0</v>
      </c>
      <c r="G57" s="1">
        <v>0</v>
      </c>
      <c r="H57" s="1">
        <v>0</v>
      </c>
      <c r="I57" s="1">
        <v>0</v>
      </c>
      <c r="J57" s="1">
        <v>0</v>
      </c>
      <c r="K57" s="1">
        <v>0</v>
      </c>
      <c r="L57" s="1">
        <v>0</v>
      </c>
      <c r="M57" s="1">
        <v>0</v>
      </c>
      <c r="N57" s="1">
        <v>0</v>
      </c>
      <c r="O57" s="1">
        <v>0</v>
      </c>
      <c r="P57" s="1" t="s">
        <v>401</v>
      </c>
      <c r="Q57" s="1">
        <v>5</v>
      </c>
      <c r="R57" s="1">
        <v>5</v>
      </c>
      <c r="S57" s="1">
        <v>1</v>
      </c>
      <c r="T57" s="1">
        <v>1</v>
      </c>
      <c r="U57" s="1">
        <v>3</v>
      </c>
      <c r="V57" s="1">
        <v>3</v>
      </c>
      <c r="W57" s="1">
        <v>2</v>
      </c>
      <c r="X57" s="1">
        <v>2</v>
      </c>
      <c r="Y57" s="1">
        <v>2</v>
      </c>
      <c r="Z57" s="1">
        <v>3</v>
      </c>
      <c r="AA57" s="1">
        <v>3</v>
      </c>
      <c r="AC57" s="1">
        <v>2</v>
      </c>
      <c r="AE57" s="1">
        <v>8</v>
      </c>
      <c r="AF57" s="3">
        <v>5700000</v>
      </c>
      <c r="AG57" s="1">
        <v>13</v>
      </c>
      <c r="AT57" s="1" t="s">
        <v>75</v>
      </c>
      <c r="BP57" s="1">
        <v>3</v>
      </c>
      <c r="BQ57" s="1" t="s">
        <v>1446</v>
      </c>
      <c r="BT57" s="1" t="s">
        <v>79</v>
      </c>
      <c r="BU57" s="1">
        <v>3</v>
      </c>
      <c r="BV57" s="1">
        <v>2</v>
      </c>
      <c r="BW57" s="1">
        <v>1</v>
      </c>
      <c r="BX57" s="1">
        <v>0</v>
      </c>
      <c r="BY57" s="1">
        <v>0</v>
      </c>
      <c r="BZ57" s="1">
        <v>0</v>
      </c>
      <c r="CA57" s="1">
        <v>0</v>
      </c>
      <c r="CB57" s="1">
        <v>0</v>
      </c>
      <c r="CC57" s="1">
        <v>0</v>
      </c>
      <c r="CD57" s="1">
        <v>0</v>
      </c>
      <c r="CE57" s="1">
        <v>0</v>
      </c>
      <c r="CF57" s="1">
        <v>0</v>
      </c>
      <c r="CG57" s="1">
        <v>0</v>
      </c>
      <c r="CH57" s="1">
        <v>0</v>
      </c>
      <c r="CI57" s="1">
        <v>0</v>
      </c>
      <c r="CJ57" s="1">
        <v>4</v>
      </c>
      <c r="CK57" s="1">
        <v>4</v>
      </c>
      <c r="CL57" s="1">
        <v>4</v>
      </c>
      <c r="CM57" s="1">
        <v>4</v>
      </c>
      <c r="CN57" s="1">
        <v>4</v>
      </c>
      <c r="CO57" s="1">
        <v>4</v>
      </c>
      <c r="CP57" s="1">
        <v>4</v>
      </c>
      <c r="CU57" s="1">
        <v>1</v>
      </c>
    </row>
    <row r="58" spans="1:99" x14ac:dyDescent="0.35">
      <c r="A58" s="1" t="s">
        <v>1447</v>
      </c>
      <c r="B58" s="1">
        <v>181411065</v>
      </c>
      <c r="C58" s="1">
        <v>1</v>
      </c>
      <c r="D58" s="1">
        <v>1</v>
      </c>
      <c r="E58" s="1">
        <v>0</v>
      </c>
      <c r="F58" s="1">
        <v>0</v>
      </c>
      <c r="G58" s="1">
        <v>0</v>
      </c>
      <c r="H58" s="1">
        <v>1</v>
      </c>
      <c r="I58" s="1">
        <v>0</v>
      </c>
      <c r="J58" s="1">
        <v>1</v>
      </c>
      <c r="K58" s="1">
        <v>0</v>
      </c>
      <c r="L58" s="1">
        <v>0</v>
      </c>
      <c r="M58" s="1">
        <v>0</v>
      </c>
      <c r="N58" s="1">
        <v>0</v>
      </c>
      <c r="O58" s="1">
        <v>0</v>
      </c>
      <c r="P58" s="1" t="s">
        <v>1448</v>
      </c>
      <c r="Q58" s="1" t="s">
        <v>1449</v>
      </c>
      <c r="R58" s="1">
        <v>5</v>
      </c>
      <c r="S58" s="1">
        <v>1</v>
      </c>
      <c r="T58" s="1">
        <v>1</v>
      </c>
      <c r="U58" s="1">
        <v>4</v>
      </c>
      <c r="V58" s="1">
        <v>3</v>
      </c>
      <c r="W58" s="1">
        <v>3</v>
      </c>
      <c r="X58" s="1">
        <v>3</v>
      </c>
      <c r="Y58" s="1">
        <v>3</v>
      </c>
      <c r="Z58" s="1">
        <v>3</v>
      </c>
      <c r="AA58" s="1">
        <v>3</v>
      </c>
      <c r="AC58" s="1">
        <v>1</v>
      </c>
      <c r="AD58" s="1">
        <v>4</v>
      </c>
      <c r="AF58" s="3">
        <v>4000000</v>
      </c>
      <c r="AG58" s="1">
        <v>13</v>
      </c>
      <c r="AT58" s="1" t="s">
        <v>93</v>
      </c>
      <c r="BP58" s="1">
        <v>3</v>
      </c>
      <c r="BQ58" s="1" t="s">
        <v>1450</v>
      </c>
      <c r="BR58" s="1" t="s">
        <v>1451</v>
      </c>
      <c r="BT58" s="1" t="s">
        <v>79</v>
      </c>
      <c r="BU58" s="1">
        <v>3</v>
      </c>
      <c r="BV58" s="1">
        <v>2</v>
      </c>
      <c r="BW58" s="1">
        <v>0</v>
      </c>
      <c r="BX58" s="1">
        <v>1</v>
      </c>
      <c r="BY58" s="1">
        <v>0</v>
      </c>
      <c r="BZ58" s="1">
        <v>0</v>
      </c>
      <c r="CA58" s="1">
        <v>0</v>
      </c>
      <c r="CB58" s="1">
        <v>0</v>
      </c>
      <c r="CC58" s="1">
        <v>0</v>
      </c>
      <c r="CD58" s="1">
        <v>0</v>
      </c>
      <c r="CE58" s="1">
        <v>0</v>
      </c>
      <c r="CF58" s="1">
        <v>1</v>
      </c>
      <c r="CG58" s="1">
        <v>0</v>
      </c>
      <c r="CH58" s="1">
        <v>0</v>
      </c>
      <c r="CI58" s="1">
        <v>0</v>
      </c>
      <c r="CJ58" s="1">
        <v>4</v>
      </c>
      <c r="CK58" s="1">
        <v>3</v>
      </c>
      <c r="CL58" s="1">
        <v>3</v>
      </c>
      <c r="CM58" s="1">
        <v>2</v>
      </c>
      <c r="CN58" s="1">
        <v>3</v>
      </c>
      <c r="CO58" s="1">
        <v>3</v>
      </c>
      <c r="CP58" s="1">
        <v>3</v>
      </c>
      <c r="CU58" s="1">
        <v>1</v>
      </c>
    </row>
    <row r="59" spans="1:99" x14ac:dyDescent="0.35">
      <c r="A59" s="1" t="s">
        <v>1452</v>
      </c>
      <c r="B59" s="1">
        <v>181411066</v>
      </c>
      <c r="C59" s="1">
        <v>0</v>
      </c>
      <c r="D59" s="1">
        <v>1</v>
      </c>
      <c r="E59" s="1">
        <v>0</v>
      </c>
      <c r="F59" s="1">
        <v>0</v>
      </c>
      <c r="G59" s="1">
        <v>0</v>
      </c>
      <c r="H59" s="1">
        <v>1</v>
      </c>
      <c r="I59" s="1">
        <v>0</v>
      </c>
      <c r="J59" s="1">
        <v>1</v>
      </c>
      <c r="K59" s="1">
        <v>1</v>
      </c>
      <c r="L59" s="1">
        <v>0</v>
      </c>
      <c r="M59" s="1">
        <v>0</v>
      </c>
      <c r="N59" s="1">
        <v>0</v>
      </c>
      <c r="O59" s="1">
        <v>0</v>
      </c>
      <c r="P59" s="1">
        <v>50</v>
      </c>
      <c r="Q59" s="1">
        <v>6</v>
      </c>
      <c r="R59" s="1">
        <v>3</v>
      </c>
      <c r="S59" s="1">
        <v>1</v>
      </c>
      <c r="T59" s="1">
        <v>3</v>
      </c>
      <c r="U59" s="1">
        <v>3</v>
      </c>
      <c r="V59" s="1">
        <v>3</v>
      </c>
      <c r="W59" s="1">
        <v>2</v>
      </c>
      <c r="X59" s="1">
        <v>3</v>
      </c>
      <c r="Y59" s="1">
        <v>3</v>
      </c>
      <c r="Z59" s="1">
        <v>4</v>
      </c>
      <c r="AA59" s="1">
        <v>4</v>
      </c>
      <c r="AC59" s="1">
        <v>1</v>
      </c>
      <c r="AD59" s="1">
        <v>5</v>
      </c>
      <c r="AE59" s="1">
        <v>5</v>
      </c>
      <c r="AF59" s="3">
        <v>1500000</v>
      </c>
      <c r="AG59" s="1">
        <v>13</v>
      </c>
      <c r="AT59" s="1" t="s">
        <v>427</v>
      </c>
      <c r="BP59" s="1">
        <v>3</v>
      </c>
      <c r="BQ59" s="1" t="s">
        <v>1453</v>
      </c>
      <c r="BR59" s="1" t="s">
        <v>1454</v>
      </c>
      <c r="BS59" s="1" t="s">
        <v>1455</v>
      </c>
      <c r="BT59" s="1" t="s">
        <v>107</v>
      </c>
      <c r="BU59" s="1">
        <v>5</v>
      </c>
      <c r="BV59" s="1">
        <v>2</v>
      </c>
      <c r="BW59" s="1">
        <v>0</v>
      </c>
      <c r="BX59" s="1">
        <v>0</v>
      </c>
      <c r="BY59" s="1">
        <v>0</v>
      </c>
      <c r="BZ59" s="1">
        <v>1</v>
      </c>
      <c r="CA59" s="1">
        <v>0</v>
      </c>
      <c r="CB59" s="1">
        <v>0</v>
      </c>
      <c r="CC59" s="1">
        <v>0</v>
      </c>
      <c r="CD59" s="1">
        <v>1</v>
      </c>
      <c r="CE59" s="1">
        <v>1</v>
      </c>
      <c r="CF59" s="1">
        <v>0</v>
      </c>
      <c r="CG59" s="1">
        <v>0</v>
      </c>
      <c r="CH59" s="1">
        <v>1</v>
      </c>
      <c r="CI59" s="1" t="s">
        <v>1456</v>
      </c>
      <c r="CJ59" s="1">
        <v>4</v>
      </c>
      <c r="CK59" s="1">
        <v>3</v>
      </c>
      <c r="CL59" s="1">
        <v>2</v>
      </c>
      <c r="CM59" s="1">
        <v>4</v>
      </c>
      <c r="CN59" s="1">
        <v>4</v>
      </c>
      <c r="CO59" s="1">
        <v>4</v>
      </c>
      <c r="CP59" s="1">
        <v>4</v>
      </c>
      <c r="CU59" s="1">
        <v>4</v>
      </c>
    </row>
    <row r="60" spans="1:99" x14ac:dyDescent="0.35">
      <c r="A60" s="1" t="s">
        <v>1457</v>
      </c>
      <c r="B60" s="1">
        <v>181411070</v>
      </c>
      <c r="C60" s="1">
        <v>0</v>
      </c>
      <c r="D60" s="1">
        <v>1</v>
      </c>
      <c r="E60" s="1">
        <v>0</v>
      </c>
      <c r="F60" s="1">
        <v>0</v>
      </c>
      <c r="G60" s="1">
        <v>0</v>
      </c>
      <c r="H60" s="1">
        <v>0</v>
      </c>
      <c r="I60" s="1">
        <v>0</v>
      </c>
      <c r="J60" s="1">
        <v>0</v>
      </c>
      <c r="K60" s="1">
        <v>0</v>
      </c>
      <c r="L60" s="1">
        <v>0</v>
      </c>
      <c r="M60" s="1">
        <v>0</v>
      </c>
      <c r="N60" s="1">
        <v>0</v>
      </c>
      <c r="O60" s="1">
        <v>0</v>
      </c>
      <c r="P60" s="1">
        <v>200</v>
      </c>
      <c r="Q60" s="1">
        <v>15</v>
      </c>
      <c r="R60" s="1">
        <v>10</v>
      </c>
      <c r="S60" s="1">
        <v>1</v>
      </c>
      <c r="T60" s="1">
        <v>6</v>
      </c>
      <c r="U60" s="1">
        <v>3</v>
      </c>
      <c r="V60" s="1">
        <v>3</v>
      </c>
      <c r="W60" s="1">
        <v>3</v>
      </c>
      <c r="X60" s="1">
        <v>3</v>
      </c>
      <c r="Y60" s="1">
        <v>3</v>
      </c>
      <c r="Z60" s="1">
        <v>3</v>
      </c>
      <c r="AA60" s="1">
        <v>3</v>
      </c>
      <c r="AC60" s="1">
        <v>1</v>
      </c>
      <c r="AD60" s="1">
        <v>6</v>
      </c>
      <c r="AE60" s="1">
        <v>6</v>
      </c>
      <c r="AF60" s="3">
        <v>4000000</v>
      </c>
      <c r="AG60" s="1">
        <v>13</v>
      </c>
      <c r="AT60" s="1" t="s">
        <v>93</v>
      </c>
      <c r="BP60" s="1">
        <v>3</v>
      </c>
      <c r="BQ60" s="1" t="s">
        <v>1458</v>
      </c>
      <c r="BR60" s="1" t="s">
        <v>1459</v>
      </c>
      <c r="BS60" s="1" t="s">
        <v>1460</v>
      </c>
      <c r="BT60" s="1" t="s">
        <v>73</v>
      </c>
      <c r="BU60" s="1">
        <v>2</v>
      </c>
      <c r="BV60" s="1">
        <v>1</v>
      </c>
      <c r="BW60" s="1">
        <v>0</v>
      </c>
      <c r="BX60" s="1">
        <v>0</v>
      </c>
      <c r="BY60" s="1">
        <v>0</v>
      </c>
      <c r="BZ60" s="1">
        <v>0</v>
      </c>
      <c r="CA60" s="1">
        <v>0</v>
      </c>
      <c r="CB60" s="1">
        <v>0</v>
      </c>
      <c r="CC60" s="1">
        <v>1</v>
      </c>
      <c r="CD60" s="1">
        <v>1</v>
      </c>
      <c r="CE60" s="1">
        <v>0</v>
      </c>
      <c r="CF60" s="1">
        <v>0</v>
      </c>
      <c r="CG60" s="1">
        <v>0</v>
      </c>
      <c r="CH60" s="1">
        <v>1</v>
      </c>
      <c r="CI60" s="1">
        <v>0</v>
      </c>
      <c r="CJ60" s="1">
        <v>4</v>
      </c>
      <c r="CK60" s="1">
        <v>4</v>
      </c>
      <c r="CL60" s="1">
        <v>4</v>
      </c>
      <c r="CM60" s="1">
        <v>4</v>
      </c>
      <c r="CN60" s="1">
        <v>4</v>
      </c>
      <c r="CO60" s="1">
        <v>4</v>
      </c>
      <c r="CP60" s="1">
        <v>4</v>
      </c>
      <c r="CU60" s="1">
        <v>1</v>
      </c>
    </row>
    <row r="61" spans="1:99" x14ac:dyDescent="0.35">
      <c r="A61" s="1" t="s">
        <v>1461</v>
      </c>
      <c r="B61" s="1">
        <v>181411075</v>
      </c>
      <c r="C61" s="1">
        <v>0</v>
      </c>
      <c r="D61" s="1">
        <v>1</v>
      </c>
      <c r="E61" s="1">
        <v>0</v>
      </c>
      <c r="F61" s="1">
        <v>0</v>
      </c>
      <c r="G61" s="1">
        <v>0</v>
      </c>
      <c r="H61" s="1">
        <v>0</v>
      </c>
      <c r="I61" s="1">
        <v>0</v>
      </c>
      <c r="J61" s="1">
        <v>1</v>
      </c>
      <c r="K61" s="1">
        <v>0</v>
      </c>
      <c r="L61" s="1">
        <v>0</v>
      </c>
      <c r="M61" s="1">
        <v>0</v>
      </c>
      <c r="N61" s="1">
        <v>0</v>
      </c>
      <c r="O61" s="1">
        <v>0</v>
      </c>
      <c r="P61" s="1">
        <v>20</v>
      </c>
      <c r="Q61" s="1">
        <v>2</v>
      </c>
      <c r="R61" s="1">
        <v>2</v>
      </c>
      <c r="S61" s="1">
        <v>1</v>
      </c>
      <c r="T61" s="1">
        <v>1</v>
      </c>
      <c r="U61" s="1">
        <v>4</v>
      </c>
      <c r="V61" s="1">
        <v>3</v>
      </c>
      <c r="W61" s="1">
        <v>2</v>
      </c>
      <c r="X61" s="1">
        <v>4</v>
      </c>
      <c r="Y61" s="1">
        <v>4</v>
      </c>
      <c r="Z61" s="1">
        <v>4</v>
      </c>
      <c r="AA61" s="1">
        <v>4</v>
      </c>
      <c r="AC61" s="1">
        <v>1</v>
      </c>
      <c r="AD61" s="1">
        <v>1</v>
      </c>
      <c r="AF61" s="3">
        <v>2000000</v>
      </c>
      <c r="AG61" s="1">
        <v>13</v>
      </c>
      <c r="AT61" s="1" t="s">
        <v>1406</v>
      </c>
      <c r="BP61" s="1">
        <v>3</v>
      </c>
      <c r="BQ61" s="1" t="s">
        <v>1462</v>
      </c>
      <c r="BT61" s="1" t="s">
        <v>79</v>
      </c>
      <c r="BU61" s="1">
        <v>2</v>
      </c>
      <c r="BV61" s="1">
        <v>2</v>
      </c>
      <c r="BW61" s="1">
        <v>1</v>
      </c>
      <c r="BX61" s="1">
        <v>0</v>
      </c>
      <c r="BY61" s="1">
        <v>0</v>
      </c>
      <c r="BZ61" s="1">
        <v>0</v>
      </c>
      <c r="CA61" s="1">
        <v>0</v>
      </c>
      <c r="CB61" s="1">
        <v>0</v>
      </c>
      <c r="CC61" s="1">
        <v>0</v>
      </c>
      <c r="CD61" s="1">
        <v>0</v>
      </c>
      <c r="CE61" s="1">
        <v>0</v>
      </c>
      <c r="CF61" s="1">
        <v>0</v>
      </c>
      <c r="CG61" s="1">
        <v>0</v>
      </c>
      <c r="CH61" s="1">
        <v>0</v>
      </c>
      <c r="CI61" s="1">
        <v>0</v>
      </c>
      <c r="CJ61" s="1">
        <v>4</v>
      </c>
      <c r="CK61" s="1">
        <v>4</v>
      </c>
      <c r="CL61" s="1">
        <v>2</v>
      </c>
      <c r="CM61" s="1">
        <v>3</v>
      </c>
      <c r="CN61" s="1">
        <v>4</v>
      </c>
      <c r="CO61" s="1">
        <v>4</v>
      </c>
      <c r="CP61" s="1">
        <v>4</v>
      </c>
      <c r="CU61" s="1">
        <v>3</v>
      </c>
    </row>
    <row r="62" spans="1:99" x14ac:dyDescent="0.35">
      <c r="A62" s="1" t="s">
        <v>1463</v>
      </c>
      <c r="B62" s="1">
        <v>181411076</v>
      </c>
      <c r="C62" s="1">
        <v>0</v>
      </c>
      <c r="D62" s="1">
        <v>0</v>
      </c>
      <c r="E62" s="1">
        <v>0</v>
      </c>
      <c r="F62" s="1">
        <v>0</v>
      </c>
      <c r="G62" s="1">
        <v>0</v>
      </c>
      <c r="H62" s="1">
        <v>0</v>
      </c>
      <c r="I62" s="1">
        <v>0</v>
      </c>
      <c r="J62" s="1">
        <v>0</v>
      </c>
      <c r="K62" s="1">
        <v>1</v>
      </c>
      <c r="L62" s="1">
        <v>0</v>
      </c>
      <c r="M62" s="1">
        <v>0</v>
      </c>
      <c r="N62" s="1">
        <v>0</v>
      </c>
      <c r="O62" s="1">
        <v>0</v>
      </c>
      <c r="P62" s="1">
        <v>1</v>
      </c>
      <c r="Q62" s="1">
        <v>1</v>
      </c>
      <c r="R62" s="1">
        <v>1</v>
      </c>
      <c r="S62" s="1">
        <v>1</v>
      </c>
      <c r="T62" s="1">
        <v>1</v>
      </c>
      <c r="U62" s="1">
        <v>4</v>
      </c>
      <c r="V62" s="1">
        <v>4</v>
      </c>
      <c r="W62" s="1">
        <v>2</v>
      </c>
      <c r="X62" s="1">
        <v>4</v>
      </c>
      <c r="Y62" s="1">
        <v>3</v>
      </c>
      <c r="Z62" s="1">
        <v>4</v>
      </c>
      <c r="AA62" s="1">
        <v>4</v>
      </c>
      <c r="AC62" s="1">
        <v>1</v>
      </c>
      <c r="AD62" s="1">
        <v>0</v>
      </c>
      <c r="AE62" s="1">
        <v>1</v>
      </c>
      <c r="AF62" s="3">
        <v>2310000</v>
      </c>
      <c r="AG62" s="1">
        <v>13</v>
      </c>
      <c r="AT62" s="1" t="s">
        <v>1406</v>
      </c>
      <c r="BP62" s="1">
        <v>3</v>
      </c>
      <c r="BQ62" s="1" t="s">
        <v>1464</v>
      </c>
      <c r="BR62" s="1" t="s">
        <v>1465</v>
      </c>
      <c r="BS62" s="1" t="s">
        <v>1466</v>
      </c>
      <c r="BT62" s="1" t="s">
        <v>79</v>
      </c>
      <c r="BU62" s="1">
        <v>1</v>
      </c>
      <c r="BV62" s="1">
        <v>2</v>
      </c>
      <c r="BW62" s="1">
        <v>1</v>
      </c>
      <c r="BX62" s="1">
        <v>0</v>
      </c>
      <c r="BY62" s="1">
        <v>0</v>
      </c>
      <c r="BZ62" s="1">
        <v>0</v>
      </c>
      <c r="CA62" s="1">
        <v>0</v>
      </c>
      <c r="CB62" s="1">
        <v>0</v>
      </c>
      <c r="CC62" s="1">
        <v>0</v>
      </c>
      <c r="CD62" s="1">
        <v>0</v>
      </c>
      <c r="CE62" s="1">
        <v>0</v>
      </c>
      <c r="CF62" s="1">
        <v>0</v>
      </c>
      <c r="CG62" s="1">
        <v>0</v>
      </c>
      <c r="CH62" s="1">
        <v>0</v>
      </c>
      <c r="CI62" s="1">
        <v>0</v>
      </c>
      <c r="CJ62" s="1">
        <v>4</v>
      </c>
      <c r="CK62" s="1">
        <v>4</v>
      </c>
      <c r="CL62" s="1">
        <v>4</v>
      </c>
      <c r="CM62" s="1">
        <v>4</v>
      </c>
      <c r="CN62" s="1">
        <v>4</v>
      </c>
      <c r="CO62" s="1">
        <v>4</v>
      </c>
      <c r="CP62" s="1">
        <v>4</v>
      </c>
      <c r="CU62" s="1">
        <v>1</v>
      </c>
    </row>
    <row r="63" spans="1:99" x14ac:dyDescent="0.35">
      <c r="A63" s="1" t="s">
        <v>1467</v>
      </c>
      <c r="B63" s="1">
        <v>181411078</v>
      </c>
      <c r="C63" s="1">
        <v>0</v>
      </c>
      <c r="D63" s="1">
        <v>1</v>
      </c>
      <c r="E63" s="1">
        <v>0</v>
      </c>
      <c r="F63" s="1">
        <v>0</v>
      </c>
      <c r="G63" s="1">
        <v>0</v>
      </c>
      <c r="H63" s="1">
        <v>0</v>
      </c>
      <c r="I63" s="1">
        <v>0</v>
      </c>
      <c r="J63" s="1">
        <v>0</v>
      </c>
      <c r="K63" s="1">
        <v>1</v>
      </c>
      <c r="L63" s="1">
        <v>0</v>
      </c>
      <c r="M63" s="1">
        <v>0</v>
      </c>
      <c r="N63" s="1">
        <v>0</v>
      </c>
      <c r="O63" s="1">
        <v>0</v>
      </c>
      <c r="P63" s="1">
        <v>20</v>
      </c>
      <c r="Q63" s="1">
        <v>5</v>
      </c>
      <c r="R63" s="1">
        <v>3</v>
      </c>
      <c r="S63" s="1">
        <v>5</v>
      </c>
      <c r="T63" s="1">
        <v>1</v>
      </c>
      <c r="U63" s="1">
        <v>4</v>
      </c>
      <c r="V63" s="1">
        <v>3</v>
      </c>
      <c r="W63" s="1">
        <v>3</v>
      </c>
      <c r="X63" s="1">
        <v>4</v>
      </c>
      <c r="Y63" s="1">
        <v>3</v>
      </c>
      <c r="Z63" s="1">
        <v>4</v>
      </c>
      <c r="AA63" s="1">
        <v>4</v>
      </c>
      <c r="CU63" s="1">
        <v>4</v>
      </c>
    </row>
    <row r="64" spans="1:99" x14ac:dyDescent="0.35">
      <c r="A64" s="1" t="s">
        <v>1468</v>
      </c>
      <c r="B64" s="1">
        <v>181411080</v>
      </c>
      <c r="C64" s="1">
        <v>0</v>
      </c>
      <c r="D64" s="1">
        <v>1</v>
      </c>
      <c r="E64" s="1">
        <v>0</v>
      </c>
      <c r="F64" s="1">
        <v>0</v>
      </c>
      <c r="G64" s="1">
        <v>0</v>
      </c>
      <c r="H64" s="1">
        <v>0</v>
      </c>
      <c r="I64" s="1">
        <v>0</v>
      </c>
      <c r="J64" s="1">
        <v>0</v>
      </c>
      <c r="K64" s="1">
        <v>1</v>
      </c>
      <c r="L64" s="1">
        <v>0</v>
      </c>
      <c r="M64" s="1">
        <v>0</v>
      </c>
      <c r="N64" s="1">
        <v>0</v>
      </c>
      <c r="O64" s="1">
        <v>0</v>
      </c>
      <c r="P64" s="1" t="s">
        <v>383</v>
      </c>
      <c r="Q64" s="1" t="s">
        <v>1469</v>
      </c>
      <c r="R64" s="1" t="s">
        <v>1470</v>
      </c>
      <c r="S64" s="1">
        <v>1</v>
      </c>
      <c r="T64" s="1">
        <v>1</v>
      </c>
      <c r="U64" s="1">
        <v>4</v>
      </c>
      <c r="V64" s="1">
        <v>3</v>
      </c>
      <c r="W64" s="1">
        <v>4</v>
      </c>
      <c r="X64" s="1">
        <v>2</v>
      </c>
      <c r="Y64" s="1">
        <v>3</v>
      </c>
      <c r="Z64" s="1">
        <v>4</v>
      </c>
      <c r="AA64" s="1">
        <v>3</v>
      </c>
      <c r="AC64" s="1">
        <v>2</v>
      </c>
      <c r="AE64" s="1">
        <v>8</v>
      </c>
      <c r="AF64" s="3">
        <v>2000000</v>
      </c>
      <c r="AG64" s="1">
        <v>24</v>
      </c>
      <c r="BE64" s="1" t="s">
        <v>1471</v>
      </c>
      <c r="BP64" s="1">
        <v>3</v>
      </c>
      <c r="BQ64" s="1" t="s">
        <v>1472</v>
      </c>
      <c r="BR64" s="1" t="s">
        <v>1473</v>
      </c>
      <c r="BT64" s="1" t="s">
        <v>79</v>
      </c>
      <c r="BU64" s="1">
        <v>5</v>
      </c>
      <c r="BV64" s="1">
        <v>3</v>
      </c>
      <c r="BW64" s="1">
        <v>0</v>
      </c>
      <c r="BX64" s="1">
        <v>1</v>
      </c>
      <c r="BY64" s="1">
        <v>0</v>
      </c>
      <c r="BZ64" s="1">
        <v>0</v>
      </c>
      <c r="CA64" s="1">
        <v>0</v>
      </c>
      <c r="CB64" s="1">
        <v>0</v>
      </c>
      <c r="CC64" s="1">
        <v>0</v>
      </c>
      <c r="CD64" s="1">
        <v>0</v>
      </c>
      <c r="CE64" s="1">
        <v>1</v>
      </c>
      <c r="CF64" s="1">
        <v>1</v>
      </c>
      <c r="CG64" s="1">
        <v>0</v>
      </c>
      <c r="CH64" s="1">
        <v>1</v>
      </c>
      <c r="CI64" s="1" t="s">
        <v>1474</v>
      </c>
      <c r="CJ64" s="1">
        <v>4</v>
      </c>
      <c r="CK64" s="1">
        <v>3</v>
      </c>
      <c r="CL64" s="1">
        <v>3</v>
      </c>
      <c r="CM64" s="1">
        <v>4</v>
      </c>
      <c r="CN64" s="1">
        <v>4</v>
      </c>
      <c r="CO64" s="1">
        <v>4</v>
      </c>
      <c r="CP64" s="1">
        <v>4</v>
      </c>
      <c r="CU64" s="1">
        <v>4</v>
      </c>
    </row>
    <row r="65" spans="1:99" x14ac:dyDescent="0.35">
      <c r="A65" s="1" t="s">
        <v>1475</v>
      </c>
      <c r="B65" s="1">
        <v>181411082</v>
      </c>
      <c r="C65" s="1">
        <v>0</v>
      </c>
      <c r="D65" s="1">
        <v>1</v>
      </c>
      <c r="E65" s="1">
        <v>0</v>
      </c>
      <c r="F65" s="1">
        <v>0</v>
      </c>
      <c r="G65" s="1">
        <v>0</v>
      </c>
      <c r="H65" s="1">
        <v>1</v>
      </c>
      <c r="I65" s="1">
        <v>0</v>
      </c>
      <c r="J65" s="1">
        <v>1</v>
      </c>
      <c r="K65" s="1">
        <v>1</v>
      </c>
      <c r="L65" s="1">
        <v>0</v>
      </c>
      <c r="M65" s="1">
        <v>0</v>
      </c>
      <c r="N65" s="1">
        <v>0</v>
      </c>
      <c r="O65" s="1">
        <v>0</v>
      </c>
      <c r="P65" s="1">
        <v>2</v>
      </c>
      <c r="Q65" s="1">
        <v>1</v>
      </c>
      <c r="R65" s="1">
        <v>0</v>
      </c>
      <c r="S65" s="1">
        <v>1</v>
      </c>
      <c r="T65" s="1">
        <v>1</v>
      </c>
      <c r="U65" s="1">
        <v>4</v>
      </c>
      <c r="V65" s="1">
        <v>3</v>
      </c>
      <c r="W65" s="1">
        <v>3</v>
      </c>
      <c r="X65" s="1">
        <v>4</v>
      </c>
      <c r="Y65" s="1">
        <v>2</v>
      </c>
      <c r="Z65" s="1">
        <v>4</v>
      </c>
      <c r="AA65" s="1">
        <v>3</v>
      </c>
      <c r="AC65" s="1">
        <v>1</v>
      </c>
      <c r="AD65" s="1">
        <v>6</v>
      </c>
      <c r="AF65" s="3">
        <v>3700000</v>
      </c>
      <c r="AG65" s="1">
        <v>13</v>
      </c>
      <c r="AT65" s="1" t="s">
        <v>93</v>
      </c>
      <c r="BP65" s="1">
        <v>3</v>
      </c>
      <c r="BQ65" s="1" t="s">
        <v>1476</v>
      </c>
      <c r="BR65" s="1" t="s">
        <v>1477</v>
      </c>
      <c r="BS65" s="1" t="s">
        <v>1478</v>
      </c>
      <c r="BT65" s="1" t="s">
        <v>73</v>
      </c>
      <c r="BU65" s="1">
        <v>2</v>
      </c>
      <c r="BV65" s="1">
        <v>2</v>
      </c>
      <c r="BW65" s="1">
        <v>1</v>
      </c>
      <c r="BX65" s="1">
        <v>0</v>
      </c>
      <c r="BY65" s="1">
        <v>0</v>
      </c>
      <c r="BZ65" s="1">
        <v>0</v>
      </c>
      <c r="CA65" s="1">
        <v>0</v>
      </c>
      <c r="CB65" s="1">
        <v>0</v>
      </c>
      <c r="CC65" s="1">
        <v>0</v>
      </c>
      <c r="CD65" s="1">
        <v>0</v>
      </c>
      <c r="CE65" s="1">
        <v>0</v>
      </c>
      <c r="CF65" s="1">
        <v>0</v>
      </c>
      <c r="CG65" s="1">
        <v>0</v>
      </c>
      <c r="CH65" s="1">
        <v>0</v>
      </c>
      <c r="CI65" s="1">
        <v>0</v>
      </c>
      <c r="CJ65" s="1">
        <v>4</v>
      </c>
      <c r="CK65" s="1">
        <v>4</v>
      </c>
      <c r="CL65" s="1">
        <v>3</v>
      </c>
      <c r="CM65" s="1">
        <v>4</v>
      </c>
      <c r="CN65" s="1">
        <v>4</v>
      </c>
      <c r="CO65" s="1">
        <v>4</v>
      </c>
      <c r="CP65" s="1">
        <v>4</v>
      </c>
      <c r="CU65" s="1">
        <v>1</v>
      </c>
    </row>
    <row r="66" spans="1:99" x14ac:dyDescent="0.35">
      <c r="A66" s="1" t="s">
        <v>1479</v>
      </c>
      <c r="B66" s="1">
        <v>181411084</v>
      </c>
      <c r="C66" s="1">
        <v>0</v>
      </c>
      <c r="D66" s="1">
        <v>1</v>
      </c>
      <c r="E66" s="1">
        <v>1</v>
      </c>
      <c r="F66" s="1">
        <v>0</v>
      </c>
      <c r="G66" s="1">
        <v>0</v>
      </c>
      <c r="H66" s="1">
        <v>1</v>
      </c>
      <c r="I66" s="1">
        <v>0</v>
      </c>
      <c r="J66" s="1">
        <v>1</v>
      </c>
      <c r="K66" s="1">
        <v>1</v>
      </c>
      <c r="L66" s="1">
        <v>0</v>
      </c>
      <c r="M66" s="1">
        <v>0</v>
      </c>
      <c r="N66" s="1">
        <v>0</v>
      </c>
      <c r="O66" s="1">
        <v>0</v>
      </c>
      <c r="P66" s="1" t="s">
        <v>180</v>
      </c>
      <c r="Q66" s="1">
        <v>10</v>
      </c>
      <c r="R66" s="1">
        <v>1</v>
      </c>
      <c r="S66" s="1">
        <v>1</v>
      </c>
      <c r="T66" s="1">
        <v>1</v>
      </c>
      <c r="U66" s="1">
        <v>4</v>
      </c>
      <c r="V66" s="1">
        <v>3</v>
      </c>
      <c r="W66" s="1">
        <v>2</v>
      </c>
      <c r="X66" s="1">
        <v>3</v>
      </c>
      <c r="Y66" s="1">
        <v>4</v>
      </c>
      <c r="Z66" s="1">
        <v>4</v>
      </c>
      <c r="AA66" s="1">
        <v>4</v>
      </c>
      <c r="AC66" s="1">
        <v>1</v>
      </c>
      <c r="AD66" s="1">
        <v>3</v>
      </c>
      <c r="AF66" s="3">
        <v>7500000</v>
      </c>
      <c r="AG66" s="1">
        <v>13</v>
      </c>
      <c r="AT66" s="1" t="s">
        <v>1414</v>
      </c>
      <c r="BP66" s="1">
        <v>3</v>
      </c>
      <c r="BQ66" s="1" t="s">
        <v>1480</v>
      </c>
      <c r="BR66" s="1" t="s">
        <v>1481</v>
      </c>
      <c r="BT66" s="1" t="s">
        <v>73</v>
      </c>
      <c r="BU66" s="1">
        <v>1</v>
      </c>
      <c r="BV66" s="1">
        <v>2</v>
      </c>
      <c r="BW66" s="1">
        <v>0</v>
      </c>
      <c r="BX66" s="1">
        <v>0</v>
      </c>
      <c r="BY66" s="1">
        <v>0</v>
      </c>
      <c r="BZ66" s="1">
        <v>0</v>
      </c>
      <c r="CA66" s="1">
        <v>0</v>
      </c>
      <c r="CB66" s="1">
        <v>0</v>
      </c>
      <c r="CC66" s="1">
        <v>0</v>
      </c>
      <c r="CD66" s="1">
        <v>0</v>
      </c>
      <c r="CE66" s="1">
        <v>0</v>
      </c>
      <c r="CF66" s="1">
        <v>0</v>
      </c>
      <c r="CG66" s="1">
        <v>0</v>
      </c>
      <c r="CH66" s="1">
        <v>0</v>
      </c>
      <c r="CI66" s="1" t="s">
        <v>78</v>
      </c>
      <c r="CJ66" s="1">
        <v>4</v>
      </c>
      <c r="CK66" s="1">
        <v>4</v>
      </c>
      <c r="CL66" s="1">
        <v>3</v>
      </c>
      <c r="CM66" s="1">
        <v>4</v>
      </c>
      <c r="CN66" s="1">
        <v>4</v>
      </c>
      <c r="CO66" s="1">
        <v>4</v>
      </c>
      <c r="CP66" s="1">
        <v>4</v>
      </c>
      <c r="CU66" s="1">
        <v>1</v>
      </c>
    </row>
    <row r="67" spans="1:99" x14ac:dyDescent="0.35">
      <c r="A67" s="1" t="s">
        <v>1482</v>
      </c>
      <c r="B67" s="1">
        <v>181411085</v>
      </c>
      <c r="C67" s="1">
        <v>0</v>
      </c>
      <c r="D67" s="1">
        <v>1</v>
      </c>
      <c r="E67" s="1">
        <v>0</v>
      </c>
      <c r="F67" s="1">
        <v>0</v>
      </c>
      <c r="G67" s="1">
        <v>0</v>
      </c>
      <c r="H67" s="1">
        <v>1</v>
      </c>
      <c r="I67" s="1">
        <v>0</v>
      </c>
      <c r="J67" s="1">
        <v>0</v>
      </c>
      <c r="K67" s="1">
        <v>1</v>
      </c>
      <c r="L67" s="1">
        <v>0</v>
      </c>
      <c r="M67" s="1">
        <v>0</v>
      </c>
      <c r="N67" s="1">
        <v>0</v>
      </c>
      <c r="O67" s="1">
        <v>0</v>
      </c>
      <c r="P67" s="1">
        <v>15</v>
      </c>
      <c r="Q67" s="1">
        <v>4</v>
      </c>
      <c r="R67" s="1">
        <v>4</v>
      </c>
      <c r="S67" s="1">
        <v>1</v>
      </c>
      <c r="T67" s="1">
        <v>6</v>
      </c>
      <c r="U67" s="1">
        <v>4</v>
      </c>
      <c r="V67" s="1">
        <v>3</v>
      </c>
      <c r="W67" s="1">
        <v>2</v>
      </c>
      <c r="X67" s="1">
        <v>3</v>
      </c>
      <c r="Y67" s="1">
        <v>4</v>
      </c>
      <c r="Z67" s="1">
        <v>4</v>
      </c>
      <c r="AA67" s="1">
        <v>4</v>
      </c>
      <c r="AC67" s="1">
        <v>1</v>
      </c>
      <c r="AD67" s="1">
        <v>5</v>
      </c>
      <c r="AF67" s="3">
        <v>3600000</v>
      </c>
      <c r="AG67" s="1">
        <v>13</v>
      </c>
      <c r="AT67" s="1" t="s">
        <v>209</v>
      </c>
      <c r="BP67" s="1">
        <v>3</v>
      </c>
      <c r="BQ67" s="1" t="s">
        <v>1483</v>
      </c>
      <c r="BR67" s="1" t="s">
        <v>1484</v>
      </c>
      <c r="BS67" s="1" t="s">
        <v>1485</v>
      </c>
      <c r="BT67" s="1" t="s">
        <v>79</v>
      </c>
      <c r="BU67" s="1">
        <v>4</v>
      </c>
      <c r="BV67" s="1">
        <v>3</v>
      </c>
      <c r="BW67" s="1">
        <v>0</v>
      </c>
      <c r="BX67" s="1">
        <v>1</v>
      </c>
      <c r="BY67" s="1">
        <v>0</v>
      </c>
      <c r="BZ67" s="1">
        <v>0</v>
      </c>
      <c r="CA67" s="1">
        <v>0</v>
      </c>
      <c r="CB67" s="1">
        <v>0</v>
      </c>
      <c r="CC67" s="1">
        <v>0</v>
      </c>
      <c r="CD67" s="1">
        <v>0</v>
      </c>
      <c r="CE67" s="1">
        <v>0</v>
      </c>
      <c r="CF67" s="1">
        <v>1</v>
      </c>
      <c r="CG67" s="1">
        <v>0</v>
      </c>
      <c r="CH67" s="1">
        <v>0</v>
      </c>
      <c r="CI67" s="1">
        <v>0</v>
      </c>
      <c r="CJ67" s="1">
        <v>3</v>
      </c>
      <c r="CK67" s="1">
        <v>3</v>
      </c>
      <c r="CL67" s="1">
        <v>2</v>
      </c>
      <c r="CM67" s="1">
        <v>3</v>
      </c>
      <c r="CN67" s="1">
        <v>4</v>
      </c>
      <c r="CO67" s="1">
        <v>3</v>
      </c>
      <c r="CP67" s="1">
        <v>3</v>
      </c>
      <c r="CU67" s="1">
        <v>4</v>
      </c>
    </row>
    <row r="68" spans="1:99" x14ac:dyDescent="0.35">
      <c r="A68" s="1" t="s">
        <v>1486</v>
      </c>
      <c r="B68" s="1">
        <v>181411086</v>
      </c>
      <c r="C68" s="1">
        <v>0</v>
      </c>
      <c r="D68" s="1">
        <v>0</v>
      </c>
      <c r="E68" s="1">
        <v>0</v>
      </c>
      <c r="F68" s="1">
        <v>0</v>
      </c>
      <c r="G68" s="1">
        <v>0</v>
      </c>
      <c r="H68" s="1">
        <v>0</v>
      </c>
      <c r="I68" s="1">
        <v>0</v>
      </c>
      <c r="J68" s="1">
        <v>0</v>
      </c>
      <c r="K68" s="1">
        <v>1</v>
      </c>
      <c r="L68" s="1">
        <v>0</v>
      </c>
      <c r="M68" s="1">
        <v>0</v>
      </c>
      <c r="N68" s="1">
        <v>0</v>
      </c>
      <c r="O68" s="1">
        <v>0</v>
      </c>
      <c r="P68" s="1">
        <v>3</v>
      </c>
      <c r="Q68" s="1">
        <v>3</v>
      </c>
      <c r="R68" s="1">
        <v>2</v>
      </c>
      <c r="S68" s="1">
        <v>1</v>
      </c>
      <c r="T68" s="1">
        <v>1</v>
      </c>
      <c r="U68" s="1">
        <v>4</v>
      </c>
      <c r="V68" s="1">
        <v>3</v>
      </c>
      <c r="W68" s="1">
        <v>3</v>
      </c>
      <c r="X68" s="1">
        <v>3</v>
      </c>
      <c r="Y68" s="1">
        <v>4</v>
      </c>
      <c r="Z68" s="1">
        <v>4</v>
      </c>
      <c r="AA68" s="1">
        <v>4</v>
      </c>
      <c r="AC68" s="1">
        <v>2</v>
      </c>
      <c r="AE68" s="1">
        <v>1</v>
      </c>
      <c r="AF68" s="3">
        <v>2300000</v>
      </c>
      <c r="AG68" s="1">
        <v>13</v>
      </c>
      <c r="AT68" s="1" t="s">
        <v>1406</v>
      </c>
      <c r="BP68" s="1">
        <v>3</v>
      </c>
      <c r="BQ68" s="1" t="s">
        <v>1487</v>
      </c>
      <c r="BR68" s="1" t="s">
        <v>1488</v>
      </c>
      <c r="BT68" s="1" t="s">
        <v>79</v>
      </c>
      <c r="BU68" s="1">
        <v>1</v>
      </c>
      <c r="BV68" s="1">
        <v>2</v>
      </c>
      <c r="BW68" s="1">
        <v>1</v>
      </c>
      <c r="BX68" s="1">
        <v>0</v>
      </c>
      <c r="BY68" s="1">
        <v>0</v>
      </c>
      <c r="BZ68" s="1">
        <v>0</v>
      </c>
      <c r="CA68" s="1">
        <v>0</v>
      </c>
      <c r="CB68" s="1">
        <v>0</v>
      </c>
      <c r="CC68" s="1">
        <v>0</v>
      </c>
      <c r="CD68" s="1">
        <v>0</v>
      </c>
      <c r="CE68" s="1">
        <v>0</v>
      </c>
      <c r="CF68" s="1">
        <v>0</v>
      </c>
      <c r="CG68" s="1">
        <v>0</v>
      </c>
      <c r="CH68" s="1">
        <v>0</v>
      </c>
      <c r="CI68" s="1">
        <v>0</v>
      </c>
      <c r="CJ68" s="1">
        <v>4</v>
      </c>
      <c r="CK68" s="1">
        <v>3</v>
      </c>
      <c r="CL68" s="1">
        <v>2</v>
      </c>
      <c r="CM68" s="1">
        <v>3</v>
      </c>
      <c r="CN68" s="1">
        <v>4</v>
      </c>
      <c r="CO68" s="1">
        <v>4</v>
      </c>
      <c r="CP68" s="1">
        <v>4</v>
      </c>
      <c r="CU68" s="1">
        <v>2</v>
      </c>
    </row>
    <row r="69" spans="1:99" x14ac:dyDescent="0.35">
      <c r="A69" s="1" t="s">
        <v>1489</v>
      </c>
      <c r="B69" s="1">
        <v>181411087</v>
      </c>
      <c r="C69" s="1">
        <v>1</v>
      </c>
      <c r="D69" s="1">
        <v>1</v>
      </c>
      <c r="E69" s="1">
        <v>0</v>
      </c>
      <c r="F69" s="1">
        <v>0</v>
      </c>
      <c r="G69" s="1">
        <v>0</v>
      </c>
      <c r="H69" s="1">
        <v>0</v>
      </c>
      <c r="I69" s="1">
        <v>0</v>
      </c>
      <c r="J69" s="1">
        <v>0</v>
      </c>
      <c r="K69" s="1">
        <v>0</v>
      </c>
      <c r="L69" s="1">
        <v>0</v>
      </c>
      <c r="M69" s="1">
        <v>0</v>
      </c>
      <c r="N69" s="1">
        <v>0</v>
      </c>
      <c r="O69" s="1">
        <v>0</v>
      </c>
      <c r="P69" s="1">
        <v>100</v>
      </c>
      <c r="Q69" s="1">
        <v>20</v>
      </c>
      <c r="R69" s="1">
        <v>3</v>
      </c>
      <c r="S69" s="1">
        <v>1</v>
      </c>
      <c r="T69" s="1">
        <v>1</v>
      </c>
      <c r="U69" s="1">
        <v>4</v>
      </c>
      <c r="V69" s="1">
        <v>4</v>
      </c>
      <c r="W69" s="1">
        <v>3</v>
      </c>
      <c r="X69" s="1">
        <v>3</v>
      </c>
      <c r="Y69" s="1">
        <v>3</v>
      </c>
      <c r="Z69" s="1">
        <v>4</v>
      </c>
      <c r="AA69" s="1">
        <v>4</v>
      </c>
      <c r="AC69" s="1">
        <v>2</v>
      </c>
      <c r="AE69" s="1">
        <v>6</v>
      </c>
      <c r="AF69" s="3">
        <v>3800000</v>
      </c>
      <c r="AG69" s="1">
        <v>13</v>
      </c>
      <c r="AT69" s="1" t="s">
        <v>93</v>
      </c>
      <c r="BP69" s="1">
        <v>3</v>
      </c>
      <c r="BQ69" s="1" t="s">
        <v>1306</v>
      </c>
      <c r="BR69" s="1" t="s">
        <v>1490</v>
      </c>
      <c r="BT69" s="1" t="s">
        <v>79</v>
      </c>
      <c r="BU69" s="1">
        <v>3</v>
      </c>
      <c r="BV69" s="1">
        <v>2</v>
      </c>
      <c r="BW69" s="1">
        <v>1</v>
      </c>
      <c r="BX69" s="1">
        <v>0</v>
      </c>
      <c r="BY69" s="1">
        <v>0</v>
      </c>
      <c r="BZ69" s="1">
        <v>0</v>
      </c>
      <c r="CA69" s="1">
        <v>0</v>
      </c>
      <c r="CB69" s="1">
        <v>0</v>
      </c>
      <c r="CC69" s="1">
        <v>0</v>
      </c>
      <c r="CD69" s="1">
        <v>0</v>
      </c>
      <c r="CE69" s="1">
        <v>0</v>
      </c>
      <c r="CF69" s="1">
        <v>0</v>
      </c>
      <c r="CG69" s="1">
        <v>0</v>
      </c>
      <c r="CH69" s="1">
        <v>0</v>
      </c>
      <c r="CI69" s="1">
        <v>0</v>
      </c>
      <c r="CJ69" s="1">
        <v>4</v>
      </c>
      <c r="CK69" s="1">
        <v>4</v>
      </c>
      <c r="CL69" s="1">
        <v>4</v>
      </c>
      <c r="CM69" s="1">
        <v>4</v>
      </c>
      <c r="CN69" s="1">
        <v>4</v>
      </c>
      <c r="CO69" s="1">
        <v>4</v>
      </c>
      <c r="CP69" s="1">
        <v>4</v>
      </c>
      <c r="CU69" s="1">
        <v>2</v>
      </c>
    </row>
    <row r="70" spans="1:99" x14ac:dyDescent="0.35">
      <c r="A70" s="1" t="s">
        <v>1491</v>
      </c>
      <c r="B70" s="1">
        <v>181411088</v>
      </c>
      <c r="C70" s="1">
        <v>0</v>
      </c>
      <c r="D70" s="1">
        <v>1</v>
      </c>
      <c r="E70" s="1">
        <v>0</v>
      </c>
      <c r="F70" s="1">
        <v>1</v>
      </c>
      <c r="G70" s="1">
        <v>0</v>
      </c>
      <c r="H70" s="1">
        <v>1</v>
      </c>
      <c r="I70" s="1">
        <v>1</v>
      </c>
      <c r="J70" s="1">
        <v>1</v>
      </c>
      <c r="K70" s="1">
        <v>1</v>
      </c>
      <c r="L70" s="1">
        <v>0</v>
      </c>
      <c r="M70" s="1">
        <v>0</v>
      </c>
      <c r="N70" s="1">
        <v>0</v>
      </c>
      <c r="O70" s="1">
        <v>0</v>
      </c>
      <c r="P70" s="1">
        <v>30</v>
      </c>
      <c r="Q70" s="1">
        <v>5</v>
      </c>
      <c r="R70" s="1">
        <v>5</v>
      </c>
      <c r="S70" s="1">
        <v>1</v>
      </c>
      <c r="T70" s="1">
        <v>1</v>
      </c>
      <c r="U70" s="1">
        <v>3</v>
      </c>
      <c r="V70" s="1">
        <v>3</v>
      </c>
      <c r="W70" s="1">
        <v>3</v>
      </c>
      <c r="X70" s="1">
        <v>3</v>
      </c>
      <c r="Y70" s="1">
        <v>3</v>
      </c>
      <c r="Z70" s="1">
        <v>3</v>
      </c>
      <c r="AA70" s="1">
        <v>3</v>
      </c>
      <c r="AC70" s="1">
        <v>1</v>
      </c>
      <c r="AD70" s="1">
        <v>1</v>
      </c>
      <c r="AF70" s="3">
        <v>5000000</v>
      </c>
      <c r="AG70" s="1">
        <v>13</v>
      </c>
      <c r="AT70" s="1" t="s">
        <v>75</v>
      </c>
      <c r="BP70" s="1">
        <v>3</v>
      </c>
      <c r="BQ70" s="1" t="s">
        <v>1492</v>
      </c>
      <c r="BR70" s="1" t="s">
        <v>1493</v>
      </c>
      <c r="BS70" s="1" t="s">
        <v>1494</v>
      </c>
      <c r="BT70" s="1" t="s">
        <v>73</v>
      </c>
      <c r="BU70" s="1">
        <v>3</v>
      </c>
      <c r="BV70" s="1">
        <v>1</v>
      </c>
      <c r="BW70" s="1">
        <v>0</v>
      </c>
      <c r="BX70" s="1">
        <v>0</v>
      </c>
      <c r="BY70" s="1">
        <v>1</v>
      </c>
      <c r="BZ70" s="1">
        <v>0</v>
      </c>
      <c r="CA70" s="1">
        <v>0</v>
      </c>
      <c r="CB70" s="1">
        <v>1</v>
      </c>
      <c r="CC70" s="1">
        <v>1</v>
      </c>
      <c r="CD70" s="1">
        <v>1</v>
      </c>
      <c r="CE70" s="1">
        <v>0</v>
      </c>
      <c r="CF70" s="1">
        <v>0</v>
      </c>
      <c r="CG70" s="1">
        <v>0</v>
      </c>
      <c r="CH70" s="1">
        <v>0</v>
      </c>
      <c r="CI70" s="1">
        <v>0</v>
      </c>
      <c r="CJ70" s="1">
        <v>4</v>
      </c>
      <c r="CK70" s="1">
        <v>3</v>
      </c>
      <c r="CL70" s="1">
        <v>3</v>
      </c>
      <c r="CM70" s="1">
        <v>4</v>
      </c>
      <c r="CN70" s="1">
        <v>4</v>
      </c>
      <c r="CO70" s="1">
        <v>4</v>
      </c>
      <c r="CP70" s="1">
        <v>3</v>
      </c>
      <c r="CU70" s="1">
        <v>1</v>
      </c>
    </row>
    <row r="71" spans="1:99" x14ac:dyDescent="0.35">
      <c r="A71" s="1" t="s">
        <v>1495</v>
      </c>
      <c r="B71" s="1">
        <v>181411089</v>
      </c>
      <c r="C71" s="1">
        <v>0</v>
      </c>
      <c r="D71" s="1">
        <v>1</v>
      </c>
      <c r="E71" s="1">
        <v>0</v>
      </c>
      <c r="F71" s="1">
        <v>0</v>
      </c>
      <c r="G71" s="1">
        <v>0</v>
      </c>
      <c r="H71" s="1">
        <v>0</v>
      </c>
      <c r="I71" s="1">
        <v>0</v>
      </c>
      <c r="J71" s="1">
        <v>0</v>
      </c>
      <c r="K71" s="1">
        <v>1</v>
      </c>
      <c r="L71" s="1">
        <v>0</v>
      </c>
      <c r="M71" s="1">
        <v>0</v>
      </c>
      <c r="N71" s="1">
        <v>0</v>
      </c>
      <c r="O71" s="1">
        <v>0</v>
      </c>
      <c r="P71" s="1">
        <v>8</v>
      </c>
      <c r="Q71" s="1">
        <v>5</v>
      </c>
      <c r="R71" s="1">
        <v>2</v>
      </c>
      <c r="S71" s="1">
        <v>1</v>
      </c>
      <c r="T71" s="1">
        <v>1</v>
      </c>
      <c r="U71" s="1">
        <v>3</v>
      </c>
      <c r="V71" s="1">
        <v>3</v>
      </c>
      <c r="W71" s="1">
        <v>3</v>
      </c>
      <c r="X71" s="1">
        <v>3</v>
      </c>
      <c r="Y71" s="1">
        <v>3</v>
      </c>
      <c r="Z71" s="1">
        <v>3</v>
      </c>
      <c r="AA71" s="1">
        <v>3</v>
      </c>
      <c r="AC71" s="1">
        <v>2</v>
      </c>
      <c r="AE71" s="1">
        <v>1</v>
      </c>
      <c r="AF71" s="3">
        <v>6700000</v>
      </c>
      <c r="AG71" s="1">
        <v>13</v>
      </c>
      <c r="AT71" s="1" t="s">
        <v>75</v>
      </c>
      <c r="BP71" s="1">
        <v>3</v>
      </c>
      <c r="BQ71" s="1" t="s">
        <v>1496</v>
      </c>
      <c r="BR71" s="1" t="s">
        <v>1296</v>
      </c>
      <c r="BT71" s="1" t="s">
        <v>73</v>
      </c>
      <c r="BU71" s="1">
        <v>4</v>
      </c>
      <c r="BV71" s="1">
        <v>3</v>
      </c>
      <c r="BW71" s="1">
        <v>0</v>
      </c>
      <c r="BX71" s="1">
        <v>1</v>
      </c>
      <c r="BY71" s="1">
        <v>1</v>
      </c>
      <c r="BZ71" s="1">
        <v>0</v>
      </c>
      <c r="CA71" s="1">
        <v>0</v>
      </c>
      <c r="CB71" s="1">
        <v>1</v>
      </c>
      <c r="CC71" s="1">
        <v>1</v>
      </c>
      <c r="CD71" s="1">
        <v>0</v>
      </c>
      <c r="CE71" s="1">
        <v>1</v>
      </c>
      <c r="CF71" s="1">
        <v>0</v>
      </c>
      <c r="CG71" s="1">
        <v>1</v>
      </c>
      <c r="CH71" s="1">
        <v>0</v>
      </c>
      <c r="CI71" s="1">
        <v>0</v>
      </c>
      <c r="CJ71" s="1">
        <v>3</v>
      </c>
      <c r="CK71" s="1">
        <v>4</v>
      </c>
      <c r="CL71" s="1">
        <v>4</v>
      </c>
      <c r="CM71" s="1">
        <v>4</v>
      </c>
      <c r="CN71" s="1">
        <v>3</v>
      </c>
      <c r="CO71" s="1">
        <v>3</v>
      </c>
      <c r="CP71" s="1">
        <v>3</v>
      </c>
      <c r="CU71" s="1">
        <v>4</v>
      </c>
    </row>
    <row r="72" spans="1:99" x14ac:dyDescent="0.35">
      <c r="A72" s="1" t="s">
        <v>1497</v>
      </c>
      <c r="B72" s="1">
        <v>181411090</v>
      </c>
    </row>
    <row r="73" spans="1:99" x14ac:dyDescent="0.35">
      <c r="A73" s="1" t="s">
        <v>1498</v>
      </c>
      <c r="B73" s="1">
        <v>181411092</v>
      </c>
      <c r="C73" s="1">
        <v>0</v>
      </c>
      <c r="D73" s="1">
        <v>1</v>
      </c>
      <c r="E73" s="1">
        <v>0</v>
      </c>
      <c r="F73" s="1">
        <v>0</v>
      </c>
      <c r="G73" s="1">
        <v>0</v>
      </c>
      <c r="H73" s="1">
        <v>0</v>
      </c>
      <c r="I73" s="1">
        <v>0</v>
      </c>
      <c r="J73" s="1">
        <v>0</v>
      </c>
      <c r="K73" s="1">
        <v>0</v>
      </c>
      <c r="L73" s="1">
        <v>0</v>
      </c>
      <c r="M73" s="1">
        <v>0</v>
      </c>
      <c r="N73" s="1">
        <v>0</v>
      </c>
      <c r="O73" s="1">
        <v>0</v>
      </c>
      <c r="P73" s="1" t="s">
        <v>1499</v>
      </c>
      <c r="Q73" s="1">
        <v>2</v>
      </c>
      <c r="R73" s="1">
        <v>2</v>
      </c>
      <c r="S73" s="1">
        <v>1</v>
      </c>
      <c r="T73" s="1">
        <v>1</v>
      </c>
      <c r="U73" s="1">
        <v>4</v>
      </c>
      <c r="V73" s="1">
        <v>3</v>
      </c>
      <c r="W73" s="1">
        <v>3</v>
      </c>
      <c r="X73" s="1">
        <v>3</v>
      </c>
      <c r="Y73" s="1">
        <v>3</v>
      </c>
      <c r="Z73" s="1">
        <v>3</v>
      </c>
      <c r="AA73" s="1">
        <v>3</v>
      </c>
      <c r="AC73" s="1">
        <v>1</v>
      </c>
      <c r="AD73" s="1">
        <v>1</v>
      </c>
      <c r="AF73" s="3">
        <v>2200000</v>
      </c>
      <c r="AG73" s="1">
        <v>13</v>
      </c>
      <c r="AT73" s="1" t="s">
        <v>1406</v>
      </c>
      <c r="BP73" s="1">
        <v>3</v>
      </c>
      <c r="BQ73" s="1" t="s">
        <v>1500</v>
      </c>
      <c r="BR73" s="1" t="s">
        <v>1501</v>
      </c>
      <c r="BT73" s="1" t="s">
        <v>79</v>
      </c>
      <c r="BU73" s="1">
        <v>1</v>
      </c>
      <c r="BV73" s="1">
        <v>2</v>
      </c>
      <c r="BW73" s="1">
        <v>1</v>
      </c>
      <c r="BX73" s="1">
        <v>0</v>
      </c>
      <c r="BY73" s="1">
        <v>0</v>
      </c>
      <c r="BZ73" s="1">
        <v>0</v>
      </c>
      <c r="CA73" s="1">
        <v>0</v>
      </c>
      <c r="CB73" s="1">
        <v>0</v>
      </c>
      <c r="CC73" s="1">
        <v>0</v>
      </c>
      <c r="CD73" s="1">
        <v>0</v>
      </c>
      <c r="CE73" s="1">
        <v>0</v>
      </c>
      <c r="CF73" s="1">
        <v>0</v>
      </c>
      <c r="CG73" s="1">
        <v>0</v>
      </c>
      <c r="CH73" s="1">
        <v>0</v>
      </c>
      <c r="CI73" s="1">
        <v>0</v>
      </c>
      <c r="CJ73" s="1">
        <v>4</v>
      </c>
      <c r="CK73" s="1">
        <v>4</v>
      </c>
      <c r="CL73" s="1">
        <v>4</v>
      </c>
      <c r="CM73" s="1">
        <v>4</v>
      </c>
      <c r="CN73" s="1">
        <v>4</v>
      </c>
      <c r="CO73" s="1">
        <v>4</v>
      </c>
      <c r="CP73" s="1">
        <v>4</v>
      </c>
      <c r="CU73" s="1">
        <v>1</v>
      </c>
    </row>
    <row r="74" spans="1:99" x14ac:dyDescent="0.35">
      <c r="A74" s="1" t="s">
        <v>1502</v>
      </c>
      <c r="B74" s="1">
        <v>181411093</v>
      </c>
      <c r="C74" s="1">
        <v>0</v>
      </c>
      <c r="D74" s="1">
        <v>1</v>
      </c>
      <c r="E74" s="1">
        <v>0</v>
      </c>
      <c r="F74" s="1">
        <v>0</v>
      </c>
      <c r="G74" s="1">
        <v>0</v>
      </c>
      <c r="H74" s="1">
        <v>0</v>
      </c>
      <c r="I74" s="1">
        <v>0</v>
      </c>
      <c r="J74" s="1">
        <v>1</v>
      </c>
      <c r="K74" s="1">
        <v>0</v>
      </c>
      <c r="L74" s="1">
        <v>0</v>
      </c>
      <c r="M74" s="1">
        <v>0</v>
      </c>
      <c r="N74" s="1">
        <v>0</v>
      </c>
      <c r="O74" s="1">
        <v>0</v>
      </c>
      <c r="P74" s="4">
        <v>46300</v>
      </c>
      <c r="Q74" s="1">
        <v>4</v>
      </c>
      <c r="R74" s="1">
        <v>2</v>
      </c>
      <c r="S74" s="1">
        <v>1</v>
      </c>
      <c r="T74" s="1">
        <v>1</v>
      </c>
      <c r="U74" s="1">
        <v>4</v>
      </c>
      <c r="V74" s="1">
        <v>3</v>
      </c>
      <c r="W74" s="1">
        <v>3</v>
      </c>
      <c r="X74" s="1">
        <v>3</v>
      </c>
      <c r="Y74" s="1">
        <v>3</v>
      </c>
      <c r="Z74" s="1">
        <v>3</v>
      </c>
      <c r="AA74" s="1">
        <v>3</v>
      </c>
      <c r="AC74" s="1">
        <v>1</v>
      </c>
      <c r="AD74" s="1">
        <v>3</v>
      </c>
      <c r="AF74" s="3">
        <v>5200000</v>
      </c>
      <c r="AG74" s="1">
        <v>13</v>
      </c>
      <c r="AT74" s="1" t="s">
        <v>83</v>
      </c>
      <c r="BP74" s="1">
        <v>3</v>
      </c>
      <c r="BQ74" s="1" t="s">
        <v>1437</v>
      </c>
      <c r="BT74" s="1" t="s">
        <v>73</v>
      </c>
      <c r="BU74" s="1">
        <v>4</v>
      </c>
      <c r="BV74" s="1">
        <v>1</v>
      </c>
      <c r="BW74" s="1">
        <v>0</v>
      </c>
      <c r="BX74" s="1">
        <v>1</v>
      </c>
      <c r="BY74" s="1">
        <v>0</v>
      </c>
      <c r="BZ74" s="1">
        <v>0</v>
      </c>
      <c r="CA74" s="1">
        <v>0</v>
      </c>
      <c r="CB74" s="1">
        <v>0</v>
      </c>
      <c r="CC74" s="1">
        <v>0</v>
      </c>
      <c r="CD74" s="1">
        <v>0</v>
      </c>
      <c r="CE74" s="1">
        <v>0</v>
      </c>
      <c r="CF74" s="1">
        <v>0</v>
      </c>
      <c r="CG74" s="1">
        <v>0</v>
      </c>
      <c r="CH74" s="1">
        <v>0</v>
      </c>
      <c r="CI74" s="1">
        <v>0</v>
      </c>
      <c r="CJ74" s="1">
        <v>4</v>
      </c>
      <c r="CK74" s="1">
        <v>3</v>
      </c>
      <c r="CL74" s="1">
        <v>4</v>
      </c>
      <c r="CM74" s="1">
        <v>4</v>
      </c>
      <c r="CN74" s="1">
        <v>4</v>
      </c>
      <c r="CO74" s="1">
        <v>3</v>
      </c>
      <c r="CP74" s="1">
        <v>4</v>
      </c>
      <c r="CU74" s="1">
        <v>4</v>
      </c>
    </row>
    <row r="75" spans="1:99" x14ac:dyDescent="0.35">
      <c r="A75" s="1" t="s">
        <v>1503</v>
      </c>
      <c r="B75" s="1">
        <v>181411095</v>
      </c>
      <c r="C75" s="1">
        <v>0</v>
      </c>
      <c r="D75" s="1">
        <v>1</v>
      </c>
      <c r="E75" s="1">
        <v>0</v>
      </c>
      <c r="F75" s="1">
        <v>0</v>
      </c>
      <c r="G75" s="1">
        <v>0</v>
      </c>
      <c r="H75" s="1">
        <v>0</v>
      </c>
      <c r="I75" s="1">
        <v>0</v>
      </c>
      <c r="J75" s="1">
        <v>0</v>
      </c>
      <c r="K75" s="1">
        <v>1</v>
      </c>
      <c r="L75" s="1">
        <v>0</v>
      </c>
      <c r="M75" s="1">
        <v>0</v>
      </c>
      <c r="N75" s="1">
        <v>0</v>
      </c>
      <c r="O75" s="1">
        <v>0</v>
      </c>
      <c r="P75" s="1" t="s">
        <v>289</v>
      </c>
      <c r="Q75" s="1">
        <v>10</v>
      </c>
      <c r="R75" s="1">
        <v>5</v>
      </c>
      <c r="S75" s="1">
        <v>1</v>
      </c>
      <c r="T75" s="1">
        <v>1</v>
      </c>
      <c r="U75" s="1">
        <v>3</v>
      </c>
      <c r="V75" s="1">
        <v>3</v>
      </c>
      <c r="W75" s="1">
        <v>3</v>
      </c>
      <c r="X75" s="1">
        <v>3</v>
      </c>
      <c r="Y75" s="1">
        <v>3</v>
      </c>
      <c r="Z75" s="1">
        <v>3</v>
      </c>
      <c r="AA75" s="1">
        <v>3</v>
      </c>
      <c r="AC75" s="1">
        <v>1</v>
      </c>
      <c r="AD75" s="1">
        <v>6</v>
      </c>
      <c r="AF75" s="3">
        <v>6000000</v>
      </c>
      <c r="AG75" s="1">
        <v>12</v>
      </c>
      <c r="AS75" s="1" t="s">
        <v>244</v>
      </c>
      <c r="BP75" s="1">
        <v>3</v>
      </c>
      <c r="BQ75" s="1" t="s">
        <v>1504</v>
      </c>
      <c r="BR75" s="1" t="s">
        <v>1505</v>
      </c>
      <c r="BS75" s="1" t="s">
        <v>1506</v>
      </c>
      <c r="BT75" s="1" t="s">
        <v>73</v>
      </c>
      <c r="BU75" s="1">
        <v>3</v>
      </c>
      <c r="BV75" s="1">
        <v>2</v>
      </c>
      <c r="BW75" s="1">
        <v>0</v>
      </c>
      <c r="BX75" s="1">
        <v>1</v>
      </c>
      <c r="BY75" s="1">
        <v>0</v>
      </c>
      <c r="BZ75" s="1">
        <v>0</v>
      </c>
      <c r="CA75" s="1">
        <v>0</v>
      </c>
      <c r="CB75" s="1">
        <v>0</v>
      </c>
      <c r="CC75" s="1">
        <v>0</v>
      </c>
      <c r="CD75" s="1">
        <v>0</v>
      </c>
      <c r="CE75" s="1">
        <v>0</v>
      </c>
      <c r="CF75" s="1">
        <v>1</v>
      </c>
      <c r="CG75" s="1">
        <v>1</v>
      </c>
      <c r="CH75" s="1">
        <v>1</v>
      </c>
      <c r="CI75" s="1">
        <v>0</v>
      </c>
      <c r="CJ75" s="1">
        <v>3</v>
      </c>
      <c r="CK75" s="1">
        <v>3</v>
      </c>
      <c r="CL75" s="1">
        <v>3</v>
      </c>
      <c r="CM75" s="1">
        <v>3</v>
      </c>
      <c r="CN75" s="1">
        <v>3</v>
      </c>
      <c r="CO75" s="1">
        <v>3</v>
      </c>
      <c r="CP75" s="1">
        <v>3</v>
      </c>
      <c r="CU75" s="1">
        <v>1</v>
      </c>
    </row>
    <row r="76" spans="1:99" x14ac:dyDescent="0.35">
      <c r="A76" s="1" t="s">
        <v>3664</v>
      </c>
      <c r="B76" s="1">
        <v>171411071</v>
      </c>
    </row>
    <row r="77" spans="1:99" x14ac:dyDescent="0.35">
      <c r="A77" s="1" t="s">
        <v>3665</v>
      </c>
      <c r="B77" s="1">
        <v>181411067</v>
      </c>
    </row>
    <row r="78" spans="1:99" x14ac:dyDescent="0.35">
      <c r="A78" s="1" t="s">
        <v>3666</v>
      </c>
      <c r="B78" s="1">
        <v>181411068</v>
      </c>
    </row>
    <row r="79" spans="1:99" x14ac:dyDescent="0.35">
      <c r="A79" s="1" t="s">
        <v>3667</v>
      </c>
      <c r="B79" s="1">
        <v>181411069</v>
      </c>
    </row>
    <row r="80" spans="1:99" x14ac:dyDescent="0.35">
      <c r="A80" s="1" t="s">
        <v>3668</v>
      </c>
      <c r="B80" s="1">
        <v>181411072</v>
      </c>
    </row>
    <row r="81" spans="1:2" x14ac:dyDescent="0.35">
      <c r="A81" s="1" t="s">
        <v>3669</v>
      </c>
      <c r="B81" s="1">
        <v>181411077</v>
      </c>
    </row>
    <row r="82" spans="1:2" x14ac:dyDescent="0.35">
      <c r="A82" s="1" t="s">
        <v>3670</v>
      </c>
      <c r="B82" s="1">
        <v>181411081</v>
      </c>
    </row>
    <row r="83" spans="1:2" x14ac:dyDescent="0.35">
      <c r="A83" s="1" t="s">
        <v>3671</v>
      </c>
      <c r="B83" s="1">
        <v>181411083</v>
      </c>
    </row>
    <row r="84" spans="1:2" x14ac:dyDescent="0.35">
      <c r="A84" s="1" t="s">
        <v>3672</v>
      </c>
      <c r="B84" s="1">
        <v>181411091</v>
      </c>
    </row>
    <row r="85" spans="1:2" x14ac:dyDescent="0.35">
      <c r="A85" s="1" t="s">
        <v>3673</v>
      </c>
      <c r="B85" s="1">
        <v>181411094</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CDDBDF-D401-4A4B-A4ED-777A7FDFD557}">
  <dimension ref="A1:CU33"/>
  <sheetViews>
    <sheetView topLeftCell="T1" zoomScale="40" zoomScaleNormal="40" workbookViewId="0">
      <pane ySplit="1" topLeftCell="A2" activePane="bottomLeft" state="frozen"/>
      <selection activeCell="N1" sqref="N1"/>
      <selection pane="bottomLeft" activeCell="T4" sqref="T4:T28"/>
    </sheetView>
  </sheetViews>
  <sheetFormatPr defaultColWidth="8.90625" defaultRowHeight="14.5" x14ac:dyDescent="0.35"/>
  <cols>
    <col min="1" max="1" width="44" style="1" bestFit="1" customWidth="1"/>
    <col min="2" max="2" width="11.7265625" style="1" bestFit="1" customWidth="1"/>
    <col min="3" max="9" width="76" style="1" bestFit="1" customWidth="1"/>
    <col min="10" max="10" width="76.7265625" style="1" bestFit="1" customWidth="1"/>
    <col min="11" max="11" width="76.26953125" style="1" bestFit="1" customWidth="1"/>
    <col min="12" max="14" width="76.7265625" style="1" bestFit="1" customWidth="1"/>
    <col min="15" max="15" width="80.08984375" style="1" bestFit="1" customWidth="1"/>
    <col min="16" max="16" width="129.453125" style="1" bestFit="1" customWidth="1"/>
    <col min="17" max="17" width="76" style="1" bestFit="1" customWidth="1"/>
    <col min="18" max="18" width="86.26953125" style="1" bestFit="1" customWidth="1"/>
    <col min="19" max="19" width="30.81640625" style="1" bestFit="1" customWidth="1"/>
    <col min="20" max="20" width="49" style="1" bestFit="1" customWidth="1"/>
    <col min="21" max="21" width="80.36328125" style="1" bestFit="1" customWidth="1"/>
    <col min="22" max="22" width="107.81640625" style="1" bestFit="1" customWidth="1"/>
    <col min="23" max="23" width="89.90625" style="1" bestFit="1" customWidth="1"/>
    <col min="24" max="24" width="108.08984375" style="1" bestFit="1" customWidth="1"/>
    <col min="25" max="25" width="87.1796875" style="1" bestFit="1" customWidth="1"/>
    <col min="26" max="26" width="89.90625" style="1" bestFit="1" customWidth="1"/>
    <col min="27" max="27" width="94.6328125" style="1" bestFit="1" customWidth="1"/>
    <col min="28" max="28" width="50.36328125" style="1" bestFit="1" customWidth="1"/>
    <col min="29" max="29" width="86.90625" style="1" bestFit="1" customWidth="1"/>
    <col min="30" max="30" width="51" style="1" bestFit="1" customWidth="1"/>
    <col min="31" max="31" width="59.1796875" style="1" bestFit="1" customWidth="1"/>
    <col min="32" max="32" width="142.81640625" style="1" bestFit="1" customWidth="1"/>
    <col min="33" max="33" width="47.1796875" style="1" bestFit="1" customWidth="1"/>
    <col min="34" max="35" width="54.90625" style="1" bestFit="1" customWidth="1"/>
    <col min="36" max="37" width="55.36328125" style="1" bestFit="1" customWidth="1"/>
    <col min="38" max="38" width="54.90625" style="1" bestFit="1" customWidth="1"/>
    <col min="39" max="52" width="55.36328125" style="1" bestFit="1" customWidth="1"/>
    <col min="53" max="55" width="54.90625" style="1" bestFit="1" customWidth="1"/>
    <col min="56" max="64" width="55.36328125" style="1" bestFit="1" customWidth="1"/>
    <col min="65" max="67" width="54.90625" style="1" bestFit="1" customWidth="1"/>
    <col min="68" max="68" width="69.6328125" style="1" bestFit="1" customWidth="1"/>
    <col min="69" max="69" width="51.90625" style="1" bestFit="1" customWidth="1"/>
    <col min="70" max="71" width="54.6328125" style="1" bestFit="1" customWidth="1"/>
    <col min="72" max="72" width="67.1796875" style="1" bestFit="1" customWidth="1"/>
    <col min="73" max="73" width="255.6328125" style="1" bestFit="1" customWidth="1"/>
    <col min="74" max="74" width="76.90625" style="1" bestFit="1" customWidth="1"/>
    <col min="75" max="75" width="138.08984375" style="1" bestFit="1" customWidth="1"/>
    <col min="76" max="83" width="138.54296875" style="1" bestFit="1" customWidth="1"/>
    <col min="84" max="84" width="139.453125" style="1" bestFit="1" customWidth="1"/>
    <col min="85" max="85" width="138.7265625" style="1" bestFit="1" customWidth="1"/>
    <col min="86" max="86" width="139.453125" style="1" bestFit="1" customWidth="1"/>
    <col min="87" max="87" width="142.6328125" style="1" bestFit="1" customWidth="1"/>
    <col min="88" max="88" width="90.54296875" style="1" bestFit="1" customWidth="1"/>
    <col min="89" max="89" width="118.08984375" style="1" bestFit="1" customWidth="1"/>
    <col min="90" max="90" width="100.08984375" style="1" bestFit="1" customWidth="1"/>
    <col min="91" max="91" width="118.26953125" style="1" bestFit="1" customWidth="1"/>
    <col min="92" max="92" width="97.36328125" style="1" bestFit="1" customWidth="1"/>
    <col min="93" max="93" width="100.08984375" style="1" bestFit="1" customWidth="1"/>
    <col min="94" max="94" width="104.90625" style="1" bestFit="1" customWidth="1"/>
    <col min="95" max="95" width="47.6328125" style="1" bestFit="1" customWidth="1"/>
    <col min="96" max="96" width="64.453125" style="1" bestFit="1" customWidth="1"/>
    <col min="97" max="97" width="29.6328125" style="1" bestFit="1" customWidth="1"/>
    <col min="98" max="98" width="30.54296875" style="1" bestFit="1" customWidth="1"/>
    <col min="99" max="99" width="62.1796875" style="1" bestFit="1" customWidth="1"/>
    <col min="100" max="16384" width="8.90625" style="1"/>
  </cols>
  <sheetData>
    <row r="1" spans="1:99" s="6" customFormat="1" x14ac:dyDescent="0.35">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6" t="s">
        <v>15</v>
      </c>
      <c r="Q1" s="6" t="s">
        <v>16</v>
      </c>
      <c r="R1" s="6" t="s">
        <v>17</v>
      </c>
      <c r="S1" s="6" t="s">
        <v>18</v>
      </c>
      <c r="T1" s="6" t="s">
        <v>19</v>
      </c>
      <c r="U1" s="6" t="s">
        <v>20</v>
      </c>
      <c r="V1" s="6" t="s">
        <v>21</v>
      </c>
      <c r="W1" s="6" t="s">
        <v>22</v>
      </c>
      <c r="X1" s="6" t="s">
        <v>23</v>
      </c>
      <c r="Y1" s="6" t="s">
        <v>24</v>
      </c>
      <c r="Z1" s="6" t="s">
        <v>25</v>
      </c>
      <c r="AA1" s="6" t="s">
        <v>26</v>
      </c>
      <c r="AB1" s="6" t="s">
        <v>27</v>
      </c>
      <c r="AC1" s="6" t="s">
        <v>28</v>
      </c>
      <c r="AD1" s="6" t="s">
        <v>29</v>
      </c>
      <c r="AE1" s="6" t="s">
        <v>30</v>
      </c>
      <c r="AF1" s="6" t="s">
        <v>31</v>
      </c>
      <c r="AG1" s="6" t="s">
        <v>32</v>
      </c>
      <c r="AH1" s="6" t="s">
        <v>33</v>
      </c>
      <c r="AI1" s="6" t="s">
        <v>33</v>
      </c>
      <c r="AJ1" s="6" t="s">
        <v>34</v>
      </c>
      <c r="AK1" s="6" t="s">
        <v>34</v>
      </c>
      <c r="AL1" s="6" t="s">
        <v>33</v>
      </c>
      <c r="AM1" s="6" t="s">
        <v>34</v>
      </c>
      <c r="AN1" s="6" t="s">
        <v>34</v>
      </c>
      <c r="AO1" s="6" t="s">
        <v>34</v>
      </c>
      <c r="AP1" s="6" t="s">
        <v>34</v>
      </c>
      <c r="AQ1" s="6" t="s">
        <v>34</v>
      </c>
      <c r="AR1" s="6" t="s">
        <v>34</v>
      </c>
      <c r="AS1" s="6" t="s">
        <v>34</v>
      </c>
      <c r="AT1" s="6" t="s">
        <v>34</v>
      </c>
      <c r="AU1" s="6" t="s">
        <v>34</v>
      </c>
      <c r="AV1" s="6" t="s">
        <v>34</v>
      </c>
      <c r="AW1" s="6" t="s">
        <v>34</v>
      </c>
      <c r="AX1" s="6" t="s">
        <v>34</v>
      </c>
      <c r="AY1" s="6" t="s">
        <v>34</v>
      </c>
      <c r="AZ1" s="6" t="s">
        <v>34</v>
      </c>
      <c r="BA1" s="6" t="s">
        <v>33</v>
      </c>
      <c r="BB1" s="6" t="s">
        <v>33</v>
      </c>
      <c r="BC1" s="6" t="s">
        <v>33</v>
      </c>
      <c r="BD1" s="6" t="s">
        <v>34</v>
      </c>
      <c r="BE1" s="6" t="s">
        <v>34</v>
      </c>
      <c r="BF1" s="6" t="s">
        <v>34</v>
      </c>
      <c r="BG1" s="6" t="s">
        <v>34</v>
      </c>
      <c r="BH1" s="6" t="s">
        <v>34</v>
      </c>
      <c r="BI1" s="6" t="s">
        <v>34</v>
      </c>
      <c r="BJ1" s="6" t="s">
        <v>34</v>
      </c>
      <c r="BK1" s="6" t="s">
        <v>34</v>
      </c>
      <c r="BL1" s="6" t="s">
        <v>34</v>
      </c>
      <c r="BM1" s="6" t="s">
        <v>33</v>
      </c>
      <c r="BN1" s="6" t="s">
        <v>33</v>
      </c>
      <c r="BO1" s="6" t="s">
        <v>33</v>
      </c>
      <c r="BP1" s="6" t="s">
        <v>35</v>
      </c>
      <c r="BQ1" s="6" t="s">
        <v>36</v>
      </c>
      <c r="BR1" s="6" t="s">
        <v>37</v>
      </c>
      <c r="BS1" s="6" t="s">
        <v>38</v>
      </c>
      <c r="BT1" s="6" t="s">
        <v>39</v>
      </c>
      <c r="BU1" s="6" t="s">
        <v>40</v>
      </c>
      <c r="BV1" s="6" t="s">
        <v>41</v>
      </c>
      <c r="BW1" s="6" t="s">
        <v>42</v>
      </c>
      <c r="BX1" s="6" t="s">
        <v>43</v>
      </c>
      <c r="BY1" s="6" t="s">
        <v>44</v>
      </c>
      <c r="BZ1" s="6" t="s">
        <v>45</v>
      </c>
      <c r="CA1" s="6" t="s">
        <v>46</v>
      </c>
      <c r="CB1" s="6" t="s">
        <v>47</v>
      </c>
      <c r="CC1" s="6" t="s">
        <v>48</v>
      </c>
      <c r="CD1" s="6" t="s">
        <v>49</v>
      </c>
      <c r="CE1" s="6" t="s">
        <v>50</v>
      </c>
      <c r="CF1" s="6" t="s">
        <v>51</v>
      </c>
      <c r="CG1" s="6" t="s">
        <v>52</v>
      </c>
      <c r="CH1" s="6" t="s">
        <v>53</v>
      </c>
      <c r="CI1" s="6" t="s">
        <v>54</v>
      </c>
      <c r="CJ1" s="6" t="s">
        <v>55</v>
      </c>
      <c r="CK1" s="6" t="s">
        <v>56</v>
      </c>
      <c r="CL1" s="6" t="s">
        <v>57</v>
      </c>
      <c r="CM1" s="6" t="s">
        <v>58</v>
      </c>
      <c r="CN1" s="6" t="s">
        <v>59</v>
      </c>
      <c r="CO1" s="6" t="s">
        <v>60</v>
      </c>
      <c r="CP1" s="6" t="s">
        <v>61</v>
      </c>
      <c r="CQ1" s="6" t="s">
        <v>62</v>
      </c>
      <c r="CR1" s="6" t="s">
        <v>63</v>
      </c>
      <c r="CS1" s="6" t="s">
        <v>64</v>
      </c>
      <c r="CT1" s="6" t="s">
        <v>65</v>
      </c>
      <c r="CU1" s="6" t="s">
        <v>66</v>
      </c>
    </row>
    <row r="2" spans="1:99" x14ac:dyDescent="0.35">
      <c r="A2" s="1" t="s">
        <v>1507</v>
      </c>
      <c r="B2" s="1">
        <v>161424017</v>
      </c>
      <c r="S2" s="1">
        <v>3</v>
      </c>
      <c r="T2" s="1">
        <v>1</v>
      </c>
      <c r="U2" s="1">
        <v>2</v>
      </c>
      <c r="V2" s="1">
        <v>2</v>
      </c>
      <c r="W2" s="1">
        <v>2</v>
      </c>
      <c r="X2" s="1">
        <v>2</v>
      </c>
      <c r="Y2" s="1">
        <v>2</v>
      </c>
      <c r="Z2" s="1">
        <v>2</v>
      </c>
      <c r="AA2" s="1">
        <v>2</v>
      </c>
      <c r="AB2" s="1">
        <v>1</v>
      </c>
      <c r="AC2" s="1">
        <v>1</v>
      </c>
      <c r="AD2" s="1">
        <v>0</v>
      </c>
      <c r="AF2" s="3">
        <v>2000000</v>
      </c>
      <c r="AG2" s="1">
        <v>13</v>
      </c>
      <c r="AT2" s="1" t="s">
        <v>86</v>
      </c>
      <c r="BP2" s="1" t="s">
        <v>1508</v>
      </c>
      <c r="BQ2" s="1" t="s">
        <v>1509</v>
      </c>
      <c r="BR2" s="1" t="s">
        <v>1510</v>
      </c>
      <c r="BS2" s="1" t="s">
        <v>1511</v>
      </c>
      <c r="BT2" s="1" t="s">
        <v>107</v>
      </c>
      <c r="BU2" s="1">
        <v>4</v>
      </c>
      <c r="BV2" s="1">
        <v>4</v>
      </c>
      <c r="BW2" s="1">
        <v>0</v>
      </c>
      <c r="BX2" s="1">
        <v>0</v>
      </c>
      <c r="BY2" s="1">
        <v>0</v>
      </c>
      <c r="BZ2" s="1">
        <v>1</v>
      </c>
      <c r="CA2" s="1">
        <v>0</v>
      </c>
      <c r="CB2" s="1">
        <v>0</v>
      </c>
      <c r="CC2" s="1">
        <v>0</v>
      </c>
      <c r="CD2" s="1">
        <v>1</v>
      </c>
      <c r="CE2" s="1">
        <v>1</v>
      </c>
      <c r="CF2" s="1">
        <v>0</v>
      </c>
      <c r="CG2" s="1">
        <v>0</v>
      </c>
      <c r="CH2" s="1">
        <v>0</v>
      </c>
      <c r="CI2" s="1">
        <v>0</v>
      </c>
      <c r="CJ2" s="1">
        <v>3</v>
      </c>
      <c r="CK2" s="1">
        <v>3</v>
      </c>
      <c r="CL2" s="1">
        <v>2</v>
      </c>
      <c r="CM2" s="1">
        <v>3</v>
      </c>
      <c r="CN2" s="1">
        <v>3</v>
      </c>
      <c r="CO2" s="1">
        <v>3</v>
      </c>
      <c r="CP2" s="1">
        <v>3</v>
      </c>
      <c r="CU2" s="1">
        <v>1</v>
      </c>
    </row>
    <row r="3" spans="1:99" x14ac:dyDescent="0.35">
      <c r="A3" s="1" t="s">
        <v>1512</v>
      </c>
      <c r="B3" s="1">
        <v>171424002</v>
      </c>
      <c r="C3" s="1">
        <v>0</v>
      </c>
      <c r="D3" s="1">
        <v>1</v>
      </c>
      <c r="E3" s="1">
        <v>1</v>
      </c>
      <c r="F3" s="1">
        <v>0</v>
      </c>
      <c r="G3" s="1">
        <v>0</v>
      </c>
      <c r="H3" s="1">
        <v>1</v>
      </c>
      <c r="I3" s="1">
        <v>0</v>
      </c>
      <c r="J3" s="1">
        <v>1</v>
      </c>
      <c r="K3" s="1">
        <v>1</v>
      </c>
      <c r="L3" s="1">
        <v>0</v>
      </c>
      <c r="M3" s="1">
        <v>0</v>
      </c>
      <c r="N3" s="1">
        <v>0</v>
      </c>
      <c r="O3" s="1">
        <v>0</v>
      </c>
      <c r="P3" s="1">
        <v>90</v>
      </c>
      <c r="Q3" s="1">
        <v>10</v>
      </c>
      <c r="R3" s="1">
        <v>7</v>
      </c>
      <c r="S3" s="1">
        <v>1</v>
      </c>
      <c r="T3" s="1">
        <v>1</v>
      </c>
      <c r="U3" s="1">
        <v>4</v>
      </c>
      <c r="V3" s="1">
        <v>4</v>
      </c>
      <c r="W3" s="1">
        <v>4</v>
      </c>
      <c r="X3" s="1">
        <v>4</v>
      </c>
      <c r="Y3" s="1">
        <v>3</v>
      </c>
      <c r="Z3" s="1">
        <v>3</v>
      </c>
      <c r="AA3" s="1">
        <v>3</v>
      </c>
      <c r="AC3" s="1">
        <v>1</v>
      </c>
      <c r="AD3" s="1">
        <v>4</v>
      </c>
      <c r="AF3" s="3">
        <v>4500000</v>
      </c>
      <c r="AG3" s="1">
        <v>13</v>
      </c>
      <c r="AT3" s="1" t="s">
        <v>86</v>
      </c>
      <c r="BP3" s="1">
        <v>3</v>
      </c>
      <c r="BQ3" s="1" t="s">
        <v>1513</v>
      </c>
      <c r="BR3" s="1" t="s">
        <v>1514</v>
      </c>
      <c r="BS3" s="1" t="s">
        <v>1515</v>
      </c>
      <c r="BT3" s="1" t="s">
        <v>107</v>
      </c>
      <c r="BU3" s="1">
        <v>1</v>
      </c>
      <c r="BV3" s="1">
        <v>2</v>
      </c>
      <c r="BW3" s="1">
        <v>1</v>
      </c>
      <c r="BX3" s="1">
        <v>0</v>
      </c>
      <c r="BY3" s="1">
        <v>0</v>
      </c>
      <c r="BZ3" s="1">
        <v>0</v>
      </c>
      <c r="CA3" s="1">
        <v>0</v>
      </c>
      <c r="CB3" s="1">
        <v>0</v>
      </c>
      <c r="CC3" s="1">
        <v>0</v>
      </c>
      <c r="CD3" s="1">
        <v>0</v>
      </c>
      <c r="CE3" s="1">
        <v>0</v>
      </c>
      <c r="CF3" s="1">
        <v>0</v>
      </c>
      <c r="CG3" s="1">
        <v>0</v>
      </c>
      <c r="CH3" s="1">
        <v>0</v>
      </c>
      <c r="CI3" s="1">
        <v>0</v>
      </c>
      <c r="CJ3" s="1">
        <v>4</v>
      </c>
      <c r="CK3" s="1">
        <v>4</v>
      </c>
      <c r="CL3" s="1">
        <v>4</v>
      </c>
      <c r="CM3" s="1">
        <v>4</v>
      </c>
      <c r="CN3" s="1">
        <v>4</v>
      </c>
      <c r="CO3" s="1">
        <v>4</v>
      </c>
      <c r="CP3" s="1">
        <v>4</v>
      </c>
      <c r="CU3" s="1">
        <v>1</v>
      </c>
    </row>
    <row r="4" spans="1:99" x14ac:dyDescent="0.35">
      <c r="A4" s="1" t="s">
        <v>1516</v>
      </c>
      <c r="B4" s="1">
        <v>171424003</v>
      </c>
      <c r="C4" s="1">
        <v>0</v>
      </c>
      <c r="D4" s="1">
        <v>0</v>
      </c>
      <c r="E4" s="1">
        <v>0</v>
      </c>
      <c r="F4" s="1">
        <v>0</v>
      </c>
      <c r="G4" s="1">
        <v>0</v>
      </c>
      <c r="H4" s="1">
        <v>1</v>
      </c>
      <c r="I4" s="1">
        <v>0</v>
      </c>
      <c r="J4" s="1">
        <v>0</v>
      </c>
      <c r="K4" s="1">
        <v>1</v>
      </c>
      <c r="L4" s="1">
        <v>0</v>
      </c>
      <c r="M4" s="1">
        <v>0</v>
      </c>
      <c r="N4" s="1">
        <v>0</v>
      </c>
      <c r="O4" s="1">
        <v>0</v>
      </c>
      <c r="P4" s="1">
        <v>25</v>
      </c>
      <c r="Q4" s="1">
        <v>11</v>
      </c>
      <c r="R4" s="1">
        <v>8</v>
      </c>
      <c r="S4" s="1">
        <v>1</v>
      </c>
      <c r="T4" s="1">
        <v>3</v>
      </c>
      <c r="U4" s="1">
        <v>3</v>
      </c>
      <c r="V4" s="1">
        <v>3</v>
      </c>
      <c r="W4" s="1">
        <v>2</v>
      </c>
      <c r="X4" s="1">
        <v>3</v>
      </c>
      <c r="Y4" s="1">
        <v>3</v>
      </c>
      <c r="Z4" s="1">
        <v>3</v>
      </c>
      <c r="AA4" s="1">
        <v>3</v>
      </c>
      <c r="AC4" s="1">
        <v>2</v>
      </c>
      <c r="AE4" s="1">
        <v>3</v>
      </c>
      <c r="AF4" s="3">
        <v>6200000</v>
      </c>
      <c r="AG4" s="1">
        <v>13</v>
      </c>
      <c r="AT4" s="1" t="s">
        <v>86</v>
      </c>
      <c r="BP4" s="1">
        <v>3</v>
      </c>
      <c r="BQ4" s="1" t="s">
        <v>1517</v>
      </c>
      <c r="BR4" s="1" t="s">
        <v>1518</v>
      </c>
      <c r="BS4" s="1" t="s">
        <v>1519</v>
      </c>
      <c r="BT4" s="1" t="s">
        <v>79</v>
      </c>
      <c r="BU4" s="1">
        <v>3</v>
      </c>
      <c r="BV4" s="1">
        <v>2</v>
      </c>
      <c r="BW4" s="1">
        <v>1</v>
      </c>
      <c r="BX4" s="1">
        <v>0</v>
      </c>
      <c r="BY4" s="1">
        <v>0</v>
      </c>
      <c r="BZ4" s="1">
        <v>0</v>
      </c>
      <c r="CA4" s="1">
        <v>0</v>
      </c>
      <c r="CB4" s="1">
        <v>0</v>
      </c>
      <c r="CC4" s="1">
        <v>0</v>
      </c>
      <c r="CD4" s="1">
        <v>0</v>
      </c>
      <c r="CE4" s="1">
        <v>0</v>
      </c>
      <c r="CF4" s="1">
        <v>0</v>
      </c>
      <c r="CG4" s="1">
        <v>0</v>
      </c>
      <c r="CH4" s="1">
        <v>0</v>
      </c>
      <c r="CI4" s="1">
        <v>0</v>
      </c>
      <c r="CJ4" s="1">
        <v>3</v>
      </c>
      <c r="CK4" s="1">
        <v>3</v>
      </c>
      <c r="CL4" s="1">
        <v>2</v>
      </c>
      <c r="CM4" s="1">
        <v>3</v>
      </c>
      <c r="CN4" s="1">
        <v>3</v>
      </c>
      <c r="CO4" s="1">
        <v>3</v>
      </c>
      <c r="CP4" s="1">
        <v>3</v>
      </c>
      <c r="CU4" s="1">
        <v>1</v>
      </c>
    </row>
    <row r="5" spans="1:99" x14ac:dyDescent="0.35">
      <c r="A5" s="1" t="s">
        <v>1520</v>
      </c>
      <c r="B5" s="1">
        <v>171424004</v>
      </c>
      <c r="C5" s="1">
        <v>1</v>
      </c>
      <c r="D5" s="1">
        <v>1</v>
      </c>
      <c r="E5" s="1">
        <v>0</v>
      </c>
      <c r="F5" s="1">
        <v>0</v>
      </c>
      <c r="G5" s="1">
        <v>0</v>
      </c>
      <c r="H5" s="1">
        <v>1</v>
      </c>
      <c r="I5" s="1">
        <v>0</v>
      </c>
      <c r="J5" s="1">
        <v>1</v>
      </c>
      <c r="K5" s="1">
        <v>1</v>
      </c>
      <c r="L5" s="1">
        <v>0</v>
      </c>
      <c r="M5" s="1">
        <v>0</v>
      </c>
      <c r="N5" s="1">
        <v>0</v>
      </c>
      <c r="O5" s="1">
        <v>0</v>
      </c>
      <c r="P5" s="1">
        <v>80</v>
      </c>
      <c r="Q5" s="1">
        <v>40</v>
      </c>
      <c r="R5" s="1">
        <v>20</v>
      </c>
      <c r="S5" s="1">
        <v>1</v>
      </c>
      <c r="T5" s="1">
        <v>1</v>
      </c>
      <c r="U5" s="1">
        <v>3</v>
      </c>
      <c r="V5" s="1">
        <v>3</v>
      </c>
      <c r="W5" s="1">
        <v>2</v>
      </c>
      <c r="X5" s="1">
        <v>3</v>
      </c>
      <c r="Y5" s="1">
        <v>3</v>
      </c>
      <c r="Z5" s="1">
        <v>3</v>
      </c>
      <c r="AA5" s="1">
        <v>3</v>
      </c>
      <c r="AC5" s="1">
        <v>2</v>
      </c>
      <c r="AE5" s="1">
        <v>4</v>
      </c>
      <c r="AF5" s="3">
        <v>4100000</v>
      </c>
      <c r="AG5" s="1">
        <v>13</v>
      </c>
      <c r="AT5" s="1" t="s">
        <v>83</v>
      </c>
      <c r="BP5" s="1">
        <v>3</v>
      </c>
      <c r="BQ5" s="1" t="s">
        <v>1521</v>
      </c>
      <c r="BR5" s="1" t="s">
        <v>1522</v>
      </c>
      <c r="BT5" s="1" t="s">
        <v>79</v>
      </c>
      <c r="BU5" s="1">
        <v>2</v>
      </c>
      <c r="BV5" s="1">
        <v>2</v>
      </c>
      <c r="BW5" s="1">
        <v>0</v>
      </c>
      <c r="BX5" s="1">
        <v>1</v>
      </c>
      <c r="BY5" s="1">
        <v>0</v>
      </c>
      <c r="BZ5" s="1">
        <v>0</v>
      </c>
      <c r="CA5" s="1">
        <v>0</v>
      </c>
      <c r="CB5" s="1">
        <v>0</v>
      </c>
      <c r="CC5" s="1">
        <v>0</v>
      </c>
      <c r="CD5" s="1">
        <v>0</v>
      </c>
      <c r="CE5" s="1">
        <v>0</v>
      </c>
      <c r="CF5" s="1">
        <v>0</v>
      </c>
      <c r="CG5" s="1">
        <v>0</v>
      </c>
      <c r="CH5" s="1">
        <v>0</v>
      </c>
      <c r="CI5" s="1">
        <v>0</v>
      </c>
      <c r="CJ5" s="1">
        <v>3</v>
      </c>
      <c r="CK5" s="1">
        <v>3</v>
      </c>
      <c r="CL5" s="1">
        <v>3</v>
      </c>
      <c r="CM5" s="1">
        <v>3</v>
      </c>
      <c r="CN5" s="1">
        <v>3</v>
      </c>
      <c r="CO5" s="1">
        <v>3</v>
      </c>
      <c r="CP5" s="1">
        <v>3</v>
      </c>
      <c r="CU5" s="1">
        <v>4</v>
      </c>
    </row>
    <row r="6" spans="1:99" x14ac:dyDescent="0.35">
      <c r="A6" s="1" t="s">
        <v>1523</v>
      </c>
      <c r="B6" s="1">
        <v>171424006</v>
      </c>
      <c r="C6" s="1">
        <v>0</v>
      </c>
      <c r="D6" s="1">
        <v>1</v>
      </c>
      <c r="E6" s="1">
        <v>0</v>
      </c>
      <c r="F6" s="1">
        <v>0</v>
      </c>
      <c r="G6" s="1">
        <v>0</v>
      </c>
      <c r="H6" s="1">
        <v>0</v>
      </c>
      <c r="I6" s="1">
        <v>0</v>
      </c>
      <c r="J6" s="1">
        <v>0</v>
      </c>
      <c r="K6" s="1">
        <v>0</v>
      </c>
      <c r="L6" s="1">
        <v>0</v>
      </c>
      <c r="M6" s="1">
        <v>0</v>
      </c>
      <c r="N6" s="1">
        <v>0</v>
      </c>
      <c r="O6" s="1">
        <v>0</v>
      </c>
      <c r="P6" s="1">
        <v>2</v>
      </c>
      <c r="Q6" s="1">
        <v>0</v>
      </c>
      <c r="R6" s="1">
        <v>0</v>
      </c>
      <c r="S6" s="1">
        <v>1</v>
      </c>
      <c r="T6" s="1">
        <v>1</v>
      </c>
      <c r="U6" s="1">
        <v>3</v>
      </c>
      <c r="V6" s="1">
        <v>2</v>
      </c>
      <c r="W6" s="1">
        <v>3</v>
      </c>
      <c r="X6" s="1">
        <v>3</v>
      </c>
      <c r="Y6" s="1">
        <v>3</v>
      </c>
      <c r="Z6" s="1">
        <v>3</v>
      </c>
      <c r="AA6" s="1">
        <v>3</v>
      </c>
      <c r="AC6" s="1">
        <v>2</v>
      </c>
      <c r="AE6" s="1">
        <v>11</v>
      </c>
      <c r="AF6" s="3">
        <v>5000000</v>
      </c>
      <c r="AG6" s="1">
        <v>13</v>
      </c>
      <c r="AT6" s="1" t="s">
        <v>83</v>
      </c>
      <c r="BP6" s="1">
        <v>3</v>
      </c>
      <c r="BQ6" s="1" t="s">
        <v>1524</v>
      </c>
      <c r="BR6" s="1" t="s">
        <v>1525</v>
      </c>
      <c r="BS6" s="1" t="s">
        <v>1526</v>
      </c>
      <c r="BT6" s="1" t="s">
        <v>73</v>
      </c>
      <c r="BU6" s="1">
        <v>5</v>
      </c>
      <c r="BV6" s="1">
        <v>2</v>
      </c>
      <c r="BW6" s="1">
        <v>0</v>
      </c>
      <c r="BX6" s="1">
        <v>1</v>
      </c>
      <c r="BY6" s="1">
        <v>0</v>
      </c>
      <c r="BZ6" s="1">
        <v>0</v>
      </c>
      <c r="CA6" s="1">
        <v>0</v>
      </c>
      <c r="CB6" s="1">
        <v>0</v>
      </c>
      <c r="CC6" s="1">
        <v>0</v>
      </c>
      <c r="CD6" s="1">
        <v>0</v>
      </c>
      <c r="CE6" s="1">
        <v>1</v>
      </c>
      <c r="CF6" s="1">
        <v>0</v>
      </c>
      <c r="CG6" s="1">
        <v>0</v>
      </c>
      <c r="CH6" s="1">
        <v>0</v>
      </c>
      <c r="CI6" s="1" t="s">
        <v>1527</v>
      </c>
      <c r="CJ6" s="1">
        <v>4</v>
      </c>
      <c r="CK6" s="1">
        <v>1</v>
      </c>
      <c r="CL6" s="1">
        <v>4</v>
      </c>
      <c r="CM6" s="1">
        <v>3</v>
      </c>
      <c r="CN6" s="1">
        <v>4</v>
      </c>
      <c r="CO6" s="1">
        <v>3</v>
      </c>
      <c r="CP6" s="1">
        <v>3</v>
      </c>
      <c r="CU6" s="1">
        <v>1</v>
      </c>
    </row>
    <row r="7" spans="1:99" x14ac:dyDescent="0.35">
      <c r="A7" s="1" t="s">
        <v>1528</v>
      </c>
      <c r="B7" s="1">
        <v>171424007</v>
      </c>
      <c r="C7" s="1">
        <v>0</v>
      </c>
      <c r="D7" s="1">
        <v>1</v>
      </c>
      <c r="E7" s="1">
        <v>1</v>
      </c>
      <c r="F7" s="1">
        <v>0</v>
      </c>
      <c r="G7" s="1">
        <v>0</v>
      </c>
      <c r="H7" s="1">
        <v>0</v>
      </c>
      <c r="I7" s="1">
        <v>0</v>
      </c>
      <c r="J7" s="1">
        <v>1</v>
      </c>
      <c r="K7" s="1">
        <v>1</v>
      </c>
      <c r="L7" s="1">
        <v>0</v>
      </c>
      <c r="M7" s="1">
        <v>0</v>
      </c>
      <c r="N7" s="1">
        <v>0</v>
      </c>
      <c r="O7" s="1">
        <v>0</v>
      </c>
      <c r="P7" s="1">
        <v>1</v>
      </c>
      <c r="Q7" s="1">
        <v>1</v>
      </c>
      <c r="R7" s="1">
        <v>1</v>
      </c>
      <c r="S7" s="1">
        <v>1</v>
      </c>
      <c r="T7" s="1">
        <v>1</v>
      </c>
      <c r="U7" s="1">
        <v>4</v>
      </c>
      <c r="V7" s="1">
        <v>3</v>
      </c>
      <c r="W7" s="1">
        <v>3</v>
      </c>
      <c r="X7" s="1">
        <v>4</v>
      </c>
      <c r="Y7" s="1">
        <v>4</v>
      </c>
      <c r="Z7" s="1">
        <v>4</v>
      </c>
      <c r="AA7" s="1">
        <v>4</v>
      </c>
      <c r="AC7" s="1">
        <v>1</v>
      </c>
      <c r="AD7" s="1">
        <v>2</v>
      </c>
      <c r="AF7" s="3">
        <v>4500000</v>
      </c>
      <c r="AG7" s="1">
        <v>12</v>
      </c>
      <c r="AS7" s="1" t="s">
        <v>472</v>
      </c>
      <c r="BP7" s="1">
        <v>3</v>
      </c>
      <c r="BQ7" s="1" t="s">
        <v>1529</v>
      </c>
      <c r="BR7" s="1" t="s">
        <v>1530</v>
      </c>
      <c r="BS7" s="1" t="s">
        <v>1531</v>
      </c>
      <c r="BT7" s="1" t="s">
        <v>73</v>
      </c>
      <c r="BU7" s="1">
        <v>4</v>
      </c>
      <c r="BV7" s="1">
        <v>2</v>
      </c>
      <c r="BW7" s="1">
        <v>0</v>
      </c>
      <c r="BX7" s="1">
        <v>0</v>
      </c>
      <c r="BY7" s="1">
        <v>0</v>
      </c>
      <c r="BZ7" s="1">
        <v>0</v>
      </c>
      <c r="CA7" s="1">
        <v>0</v>
      </c>
      <c r="CB7" s="1">
        <v>0</v>
      </c>
      <c r="CC7" s="1">
        <v>0</v>
      </c>
      <c r="CD7" s="1">
        <v>0</v>
      </c>
      <c r="CE7" s="1">
        <v>0</v>
      </c>
      <c r="CF7" s="1">
        <v>0</v>
      </c>
      <c r="CG7" s="1">
        <v>0</v>
      </c>
      <c r="CH7" s="1">
        <v>0</v>
      </c>
      <c r="CI7" s="1" t="s">
        <v>1532</v>
      </c>
      <c r="CJ7" s="1">
        <v>4</v>
      </c>
      <c r="CK7" s="1">
        <v>4</v>
      </c>
      <c r="CL7" s="1">
        <v>4</v>
      </c>
      <c r="CM7" s="1">
        <v>4</v>
      </c>
      <c r="CN7" s="1">
        <v>4</v>
      </c>
      <c r="CO7" s="1">
        <v>4</v>
      </c>
      <c r="CP7" s="1">
        <v>4</v>
      </c>
      <c r="CU7" s="1">
        <v>1</v>
      </c>
    </row>
    <row r="8" spans="1:99" x14ac:dyDescent="0.35">
      <c r="A8" s="1" t="s">
        <v>1533</v>
      </c>
      <c r="B8" s="1">
        <v>171424008</v>
      </c>
      <c r="C8" s="1">
        <v>0</v>
      </c>
      <c r="D8" s="1">
        <v>1</v>
      </c>
      <c r="E8" s="1">
        <v>1</v>
      </c>
      <c r="F8" s="1">
        <v>0</v>
      </c>
      <c r="G8" s="1">
        <v>0</v>
      </c>
      <c r="H8" s="1">
        <v>1</v>
      </c>
      <c r="I8" s="1">
        <v>0</v>
      </c>
      <c r="J8" s="1">
        <v>0</v>
      </c>
      <c r="K8" s="1">
        <v>1</v>
      </c>
      <c r="L8" s="1">
        <v>0</v>
      </c>
      <c r="M8" s="1">
        <v>0</v>
      </c>
      <c r="N8" s="1">
        <v>0</v>
      </c>
      <c r="O8" s="1">
        <v>0</v>
      </c>
      <c r="P8" s="1" t="s">
        <v>1534</v>
      </c>
      <c r="Q8" s="1">
        <v>30</v>
      </c>
      <c r="R8" s="1">
        <v>10</v>
      </c>
      <c r="S8" s="1">
        <v>1</v>
      </c>
      <c r="T8" s="1">
        <v>1</v>
      </c>
      <c r="U8" s="1">
        <v>4</v>
      </c>
      <c r="V8" s="1">
        <v>3</v>
      </c>
      <c r="W8" s="1">
        <v>3</v>
      </c>
      <c r="X8" s="1">
        <v>4</v>
      </c>
      <c r="Y8" s="1">
        <v>4</v>
      </c>
      <c r="Z8" s="1">
        <v>4</v>
      </c>
      <c r="AA8" s="1">
        <v>4</v>
      </c>
      <c r="AC8" s="1">
        <v>1</v>
      </c>
      <c r="AD8" s="1">
        <v>3</v>
      </c>
      <c r="AF8" s="3">
        <v>5441000</v>
      </c>
      <c r="AG8" s="1">
        <v>13</v>
      </c>
      <c r="AT8" s="1" t="s">
        <v>75</v>
      </c>
      <c r="BP8" s="1">
        <v>3</v>
      </c>
      <c r="BQ8" s="1" t="s">
        <v>1535</v>
      </c>
      <c r="BR8" s="1" t="s">
        <v>1536</v>
      </c>
      <c r="BS8" s="1" t="s">
        <v>1537</v>
      </c>
      <c r="BT8" s="1" t="s">
        <v>79</v>
      </c>
      <c r="BU8" s="1">
        <v>1</v>
      </c>
      <c r="BV8" s="1">
        <v>2</v>
      </c>
      <c r="BW8" s="1">
        <v>1</v>
      </c>
      <c r="BX8" s="1">
        <v>0</v>
      </c>
      <c r="BY8" s="1">
        <v>0</v>
      </c>
      <c r="BZ8" s="1">
        <v>0</v>
      </c>
      <c r="CA8" s="1">
        <v>0</v>
      </c>
      <c r="CB8" s="1">
        <v>0</v>
      </c>
      <c r="CC8" s="1">
        <v>0</v>
      </c>
      <c r="CD8" s="1">
        <v>0</v>
      </c>
      <c r="CE8" s="1">
        <v>0</v>
      </c>
      <c r="CF8" s="1">
        <v>0</v>
      </c>
      <c r="CG8" s="1">
        <v>0</v>
      </c>
      <c r="CH8" s="1">
        <v>0</v>
      </c>
      <c r="CI8" s="1">
        <v>0</v>
      </c>
      <c r="CJ8" s="1">
        <v>4</v>
      </c>
      <c r="CK8" s="1">
        <v>4</v>
      </c>
      <c r="CL8" s="1">
        <v>4</v>
      </c>
      <c r="CM8" s="1">
        <v>4</v>
      </c>
      <c r="CN8" s="1">
        <v>4</v>
      </c>
      <c r="CO8" s="1">
        <v>4</v>
      </c>
      <c r="CP8" s="1">
        <v>4</v>
      </c>
      <c r="CU8" s="1">
        <v>4</v>
      </c>
    </row>
    <row r="9" spans="1:99" x14ac:dyDescent="0.35">
      <c r="A9" s="1" t="s">
        <v>1538</v>
      </c>
      <c r="B9" s="1">
        <v>171424009</v>
      </c>
      <c r="C9" s="1">
        <v>0</v>
      </c>
      <c r="D9" s="1">
        <v>1</v>
      </c>
      <c r="E9" s="1">
        <v>1</v>
      </c>
      <c r="F9" s="1">
        <v>0</v>
      </c>
      <c r="G9" s="1">
        <v>0</v>
      </c>
      <c r="H9" s="1">
        <v>1</v>
      </c>
      <c r="I9" s="1">
        <v>0</v>
      </c>
      <c r="J9" s="1">
        <v>0</v>
      </c>
      <c r="K9" s="1">
        <v>0</v>
      </c>
      <c r="L9" s="1">
        <v>0</v>
      </c>
      <c r="M9" s="1">
        <v>0</v>
      </c>
      <c r="N9" s="1">
        <v>0</v>
      </c>
      <c r="O9" s="1">
        <v>0</v>
      </c>
      <c r="P9" s="1">
        <v>40</v>
      </c>
      <c r="Q9" s="1">
        <v>5</v>
      </c>
      <c r="R9" s="1">
        <v>3</v>
      </c>
      <c r="S9" s="1">
        <v>1</v>
      </c>
      <c r="T9" s="1">
        <v>1</v>
      </c>
      <c r="U9" s="1">
        <v>4</v>
      </c>
      <c r="V9" s="1">
        <v>3</v>
      </c>
      <c r="W9" s="1">
        <v>3</v>
      </c>
      <c r="X9" s="1">
        <v>2</v>
      </c>
      <c r="Y9" s="1">
        <v>3</v>
      </c>
      <c r="Z9" s="1">
        <v>4</v>
      </c>
      <c r="AA9" s="1">
        <v>3</v>
      </c>
      <c r="AC9" s="1">
        <v>2</v>
      </c>
      <c r="AE9" s="1">
        <v>8</v>
      </c>
      <c r="AF9" s="3">
        <v>6000000</v>
      </c>
      <c r="AG9" s="1">
        <v>16</v>
      </c>
      <c r="AW9" s="1" t="s">
        <v>1539</v>
      </c>
      <c r="BP9" s="1">
        <v>6</v>
      </c>
      <c r="BQ9" s="1" t="s">
        <v>1540</v>
      </c>
      <c r="BR9" s="1" t="s">
        <v>1541</v>
      </c>
      <c r="BS9" s="1" t="s">
        <v>1541</v>
      </c>
      <c r="BT9" s="1" t="s">
        <v>79</v>
      </c>
      <c r="BU9" s="1">
        <v>1</v>
      </c>
      <c r="BV9" s="1">
        <v>2</v>
      </c>
      <c r="BW9" s="1">
        <v>1</v>
      </c>
      <c r="BX9" s="1">
        <v>0</v>
      </c>
      <c r="BY9" s="1">
        <v>0</v>
      </c>
      <c r="BZ9" s="1">
        <v>0</v>
      </c>
      <c r="CA9" s="1">
        <v>0</v>
      </c>
      <c r="CB9" s="1">
        <v>0</v>
      </c>
      <c r="CC9" s="1">
        <v>0</v>
      </c>
      <c r="CD9" s="1">
        <v>0</v>
      </c>
      <c r="CE9" s="1">
        <v>0</v>
      </c>
      <c r="CF9" s="1">
        <v>0</v>
      </c>
      <c r="CG9" s="1">
        <v>0</v>
      </c>
      <c r="CH9" s="1">
        <v>0</v>
      </c>
      <c r="CI9" s="1">
        <v>0</v>
      </c>
      <c r="CJ9" s="1">
        <v>4</v>
      </c>
      <c r="CK9" s="1">
        <v>3</v>
      </c>
      <c r="CL9" s="1">
        <v>3</v>
      </c>
      <c r="CM9" s="1">
        <v>3</v>
      </c>
      <c r="CN9" s="1">
        <v>4</v>
      </c>
      <c r="CO9" s="1">
        <v>4</v>
      </c>
      <c r="CP9" s="1">
        <v>3</v>
      </c>
      <c r="CU9" s="1">
        <v>1</v>
      </c>
    </row>
    <row r="10" spans="1:99" x14ac:dyDescent="0.35">
      <c r="A10" s="1" t="s">
        <v>1542</v>
      </c>
      <c r="B10" s="1">
        <v>171424010</v>
      </c>
      <c r="C10" s="1">
        <v>0</v>
      </c>
      <c r="D10" s="1">
        <v>1</v>
      </c>
      <c r="E10" s="1">
        <v>0</v>
      </c>
      <c r="F10" s="1">
        <v>0</v>
      </c>
      <c r="G10" s="1">
        <v>0</v>
      </c>
      <c r="H10" s="1">
        <v>1</v>
      </c>
      <c r="I10" s="1">
        <v>0</v>
      </c>
      <c r="J10" s="1">
        <v>1</v>
      </c>
      <c r="K10" s="1">
        <v>1</v>
      </c>
      <c r="L10" s="1">
        <v>1</v>
      </c>
      <c r="M10" s="1">
        <v>0</v>
      </c>
      <c r="N10" s="1">
        <v>0</v>
      </c>
      <c r="O10" s="1">
        <v>0</v>
      </c>
      <c r="P10" s="1" t="s">
        <v>1323</v>
      </c>
      <c r="Q10" s="1">
        <v>5</v>
      </c>
      <c r="R10" s="1">
        <v>2</v>
      </c>
      <c r="S10" s="1">
        <v>1</v>
      </c>
      <c r="T10" s="1">
        <v>1</v>
      </c>
      <c r="U10" s="1">
        <v>3</v>
      </c>
      <c r="V10" s="1">
        <v>3</v>
      </c>
      <c r="W10" s="1">
        <v>2</v>
      </c>
      <c r="X10" s="1">
        <v>3</v>
      </c>
      <c r="Y10" s="1">
        <v>3</v>
      </c>
      <c r="Z10" s="1">
        <v>3</v>
      </c>
      <c r="AA10" s="1">
        <v>3</v>
      </c>
      <c r="AC10" s="1">
        <v>2</v>
      </c>
      <c r="AE10" s="1">
        <v>9</v>
      </c>
      <c r="AF10" s="3">
        <v>3500000</v>
      </c>
      <c r="AG10" s="1">
        <v>13</v>
      </c>
      <c r="AT10" s="1" t="s">
        <v>209</v>
      </c>
      <c r="BP10" s="1">
        <v>3</v>
      </c>
      <c r="BQ10" s="1" t="s">
        <v>1543</v>
      </c>
      <c r="BR10" s="1" t="s">
        <v>1544</v>
      </c>
      <c r="BS10" s="1" t="s">
        <v>1545</v>
      </c>
      <c r="BT10" s="1" t="s">
        <v>79</v>
      </c>
      <c r="BU10" s="1">
        <v>4</v>
      </c>
      <c r="BV10" s="1">
        <v>2</v>
      </c>
      <c r="BW10" s="1">
        <v>0</v>
      </c>
      <c r="BX10" s="1">
        <v>1</v>
      </c>
      <c r="BY10" s="1">
        <v>0</v>
      </c>
      <c r="BZ10" s="1">
        <v>0</v>
      </c>
      <c r="CA10" s="1">
        <v>0</v>
      </c>
      <c r="CB10" s="1">
        <v>0</v>
      </c>
      <c r="CC10" s="1">
        <v>0</v>
      </c>
      <c r="CD10" s="1">
        <v>0</v>
      </c>
      <c r="CE10" s="1">
        <v>0</v>
      </c>
      <c r="CF10" s="1">
        <v>0</v>
      </c>
      <c r="CG10" s="1">
        <v>0</v>
      </c>
      <c r="CH10" s="1">
        <v>0</v>
      </c>
      <c r="CI10" s="1">
        <v>0</v>
      </c>
      <c r="CJ10" s="1">
        <v>4</v>
      </c>
      <c r="CK10" s="1">
        <v>3</v>
      </c>
      <c r="CL10" s="1">
        <v>2</v>
      </c>
      <c r="CM10" s="1">
        <v>3</v>
      </c>
      <c r="CN10" s="1">
        <v>3</v>
      </c>
      <c r="CO10" s="1">
        <v>3</v>
      </c>
      <c r="CP10" s="1">
        <v>3</v>
      </c>
      <c r="CU10" s="1">
        <v>1</v>
      </c>
    </row>
    <row r="11" spans="1:99" x14ac:dyDescent="0.35">
      <c r="A11" s="1" t="s">
        <v>1546</v>
      </c>
      <c r="B11" s="1">
        <v>171424012</v>
      </c>
      <c r="C11" s="1">
        <v>1</v>
      </c>
      <c r="D11" s="1">
        <v>1</v>
      </c>
      <c r="E11" s="1">
        <v>0</v>
      </c>
      <c r="F11" s="1">
        <v>0</v>
      </c>
      <c r="G11" s="1">
        <v>0</v>
      </c>
      <c r="H11" s="1">
        <v>0</v>
      </c>
      <c r="I11" s="1">
        <v>0</v>
      </c>
      <c r="J11" s="1">
        <v>0</v>
      </c>
      <c r="K11" s="1">
        <v>1</v>
      </c>
      <c r="L11" s="1">
        <v>0</v>
      </c>
      <c r="M11" s="1">
        <v>0</v>
      </c>
      <c r="N11" s="1">
        <v>0</v>
      </c>
      <c r="O11" s="1">
        <v>0</v>
      </c>
      <c r="P11" s="1">
        <v>20</v>
      </c>
      <c r="Q11" s="1">
        <v>10</v>
      </c>
      <c r="R11" s="1">
        <v>6</v>
      </c>
      <c r="S11" s="1">
        <v>5</v>
      </c>
      <c r="T11" s="1">
        <v>1</v>
      </c>
      <c r="U11" s="1">
        <v>4</v>
      </c>
      <c r="V11" s="1">
        <v>3</v>
      </c>
      <c r="W11" s="1">
        <v>2</v>
      </c>
      <c r="X11" s="1">
        <v>3</v>
      </c>
      <c r="Y11" s="1">
        <v>3</v>
      </c>
      <c r="Z11" s="1">
        <v>3</v>
      </c>
      <c r="AA11" s="1">
        <v>3</v>
      </c>
      <c r="CU11" s="1">
        <v>4</v>
      </c>
    </row>
    <row r="12" spans="1:99" x14ac:dyDescent="0.35">
      <c r="A12" s="1" t="s">
        <v>1547</v>
      </c>
      <c r="B12" s="1">
        <v>171424013</v>
      </c>
      <c r="C12" s="1">
        <v>0</v>
      </c>
      <c r="D12" s="1">
        <v>0</v>
      </c>
      <c r="E12" s="1">
        <v>0</v>
      </c>
      <c r="F12" s="1">
        <v>0</v>
      </c>
      <c r="G12" s="1">
        <v>0</v>
      </c>
      <c r="H12" s="1">
        <v>0</v>
      </c>
      <c r="I12" s="1">
        <v>0</v>
      </c>
      <c r="J12" s="1">
        <v>1</v>
      </c>
      <c r="K12" s="1">
        <v>0</v>
      </c>
      <c r="L12" s="1">
        <v>0</v>
      </c>
      <c r="M12" s="1">
        <v>0</v>
      </c>
      <c r="N12" s="1">
        <v>0</v>
      </c>
      <c r="O12" s="1">
        <v>0</v>
      </c>
      <c r="P12" s="1">
        <v>2</v>
      </c>
      <c r="Q12" s="1">
        <v>2</v>
      </c>
      <c r="R12" s="1">
        <v>2</v>
      </c>
      <c r="S12" s="1">
        <v>1</v>
      </c>
      <c r="T12" s="1">
        <v>1</v>
      </c>
      <c r="U12" s="1">
        <v>4</v>
      </c>
      <c r="V12" s="1">
        <v>2</v>
      </c>
      <c r="W12" s="1">
        <v>2</v>
      </c>
      <c r="X12" s="1">
        <v>4</v>
      </c>
      <c r="Y12" s="1">
        <v>4</v>
      </c>
      <c r="Z12" s="1">
        <v>4</v>
      </c>
      <c r="AA12" s="1">
        <v>4</v>
      </c>
      <c r="AC12" s="1">
        <v>1</v>
      </c>
      <c r="AD12" s="1">
        <v>0</v>
      </c>
      <c r="AF12" s="3">
        <v>2000000</v>
      </c>
      <c r="AG12" s="1">
        <v>13</v>
      </c>
      <c r="AT12" s="1" t="s">
        <v>427</v>
      </c>
      <c r="BP12" s="1">
        <v>2</v>
      </c>
      <c r="BQ12" s="1" t="s">
        <v>1548</v>
      </c>
      <c r="BR12" s="1" t="s">
        <v>1549</v>
      </c>
      <c r="BS12" s="1" t="s">
        <v>1550</v>
      </c>
      <c r="BT12" s="1" t="s">
        <v>79</v>
      </c>
      <c r="BU12" s="1">
        <v>5</v>
      </c>
      <c r="BV12" s="1">
        <v>2</v>
      </c>
      <c r="BW12" s="1">
        <v>0</v>
      </c>
      <c r="BX12" s="1">
        <v>0</v>
      </c>
      <c r="BY12" s="1">
        <v>1</v>
      </c>
      <c r="BZ12" s="1">
        <v>1</v>
      </c>
      <c r="CA12" s="1">
        <v>0</v>
      </c>
      <c r="CB12" s="1">
        <v>0</v>
      </c>
      <c r="CC12" s="1">
        <v>0</v>
      </c>
      <c r="CD12" s="1">
        <v>1</v>
      </c>
      <c r="CE12" s="1">
        <v>1</v>
      </c>
      <c r="CF12" s="1">
        <v>1</v>
      </c>
      <c r="CG12" s="1">
        <v>0</v>
      </c>
      <c r="CH12" s="1">
        <v>0</v>
      </c>
      <c r="CI12" s="1">
        <v>0</v>
      </c>
      <c r="CJ12" s="1">
        <v>4</v>
      </c>
      <c r="CK12" s="1">
        <v>2</v>
      </c>
      <c r="CL12" s="1">
        <v>2</v>
      </c>
      <c r="CM12" s="1">
        <v>4</v>
      </c>
      <c r="CN12" s="1">
        <v>4</v>
      </c>
      <c r="CO12" s="1">
        <v>4</v>
      </c>
      <c r="CP12" s="1">
        <v>4</v>
      </c>
      <c r="CU12" s="1" t="s">
        <v>1551</v>
      </c>
    </row>
    <row r="13" spans="1:99" x14ac:dyDescent="0.35">
      <c r="A13" s="1" t="s">
        <v>1552</v>
      </c>
      <c r="B13" s="1">
        <v>171424014</v>
      </c>
      <c r="C13" s="1">
        <v>0</v>
      </c>
      <c r="D13" s="1">
        <v>1</v>
      </c>
      <c r="E13" s="1">
        <v>0</v>
      </c>
      <c r="F13" s="1">
        <v>0</v>
      </c>
      <c r="G13" s="1">
        <v>0</v>
      </c>
      <c r="H13" s="1">
        <v>0</v>
      </c>
      <c r="I13" s="1">
        <v>0</v>
      </c>
      <c r="J13" s="1">
        <v>0</v>
      </c>
      <c r="K13" s="1">
        <v>1</v>
      </c>
      <c r="L13" s="1">
        <v>0</v>
      </c>
      <c r="M13" s="1">
        <v>0</v>
      </c>
      <c r="N13" s="1">
        <v>0</v>
      </c>
      <c r="O13" s="1">
        <v>0</v>
      </c>
      <c r="P13" s="1" t="s">
        <v>1553</v>
      </c>
      <c r="Q13" s="1">
        <v>7</v>
      </c>
      <c r="R13" s="1">
        <v>3</v>
      </c>
      <c r="S13" s="1">
        <v>5</v>
      </c>
      <c r="T13" s="1">
        <v>1</v>
      </c>
      <c r="U13" s="1">
        <v>3</v>
      </c>
      <c r="V13" s="1">
        <v>3</v>
      </c>
      <c r="W13" s="1">
        <v>2</v>
      </c>
      <c r="X13" s="1">
        <v>3</v>
      </c>
      <c r="Y13" s="1">
        <v>3</v>
      </c>
      <c r="Z13" s="1">
        <v>4</v>
      </c>
      <c r="AA13" s="1">
        <v>3</v>
      </c>
      <c r="CU13" s="1">
        <v>3</v>
      </c>
    </row>
    <row r="14" spans="1:99" x14ac:dyDescent="0.35">
      <c r="A14" s="1" t="s">
        <v>1554</v>
      </c>
      <c r="B14" s="1">
        <v>171424015</v>
      </c>
      <c r="C14" s="1">
        <v>0</v>
      </c>
      <c r="D14" s="1">
        <v>0</v>
      </c>
      <c r="E14" s="1">
        <v>0</v>
      </c>
      <c r="F14" s="1">
        <v>0</v>
      </c>
      <c r="G14" s="1">
        <v>0</v>
      </c>
      <c r="H14" s="1">
        <v>0</v>
      </c>
      <c r="I14" s="1">
        <v>0</v>
      </c>
      <c r="J14" s="1">
        <v>1</v>
      </c>
      <c r="K14" s="1">
        <v>1</v>
      </c>
      <c r="L14" s="1">
        <v>0</v>
      </c>
      <c r="M14" s="1">
        <v>0</v>
      </c>
      <c r="N14" s="1">
        <v>0</v>
      </c>
      <c r="O14" s="1">
        <v>0</v>
      </c>
      <c r="P14" s="1">
        <v>11</v>
      </c>
      <c r="Q14" s="1">
        <v>1</v>
      </c>
      <c r="R14" s="1">
        <v>1</v>
      </c>
      <c r="S14" s="1">
        <v>1</v>
      </c>
      <c r="T14" s="1">
        <v>1</v>
      </c>
      <c r="U14" s="1">
        <v>3</v>
      </c>
      <c r="V14" s="1">
        <v>4</v>
      </c>
      <c r="W14" s="1">
        <v>3</v>
      </c>
      <c r="X14" s="1">
        <v>2</v>
      </c>
      <c r="Y14" s="1">
        <v>3</v>
      </c>
      <c r="Z14" s="1">
        <v>4</v>
      </c>
      <c r="AA14" s="1">
        <v>4</v>
      </c>
      <c r="AC14" s="1">
        <v>1</v>
      </c>
      <c r="AD14" s="1">
        <v>6</v>
      </c>
      <c r="AF14" s="3">
        <v>3700000</v>
      </c>
      <c r="AG14" s="1">
        <v>13</v>
      </c>
      <c r="AT14" s="1" t="s">
        <v>392</v>
      </c>
      <c r="BP14" s="1">
        <v>3</v>
      </c>
      <c r="BQ14" s="1" t="s">
        <v>1555</v>
      </c>
      <c r="BR14" s="1" t="s">
        <v>1556</v>
      </c>
      <c r="BS14" s="1" t="s">
        <v>1557</v>
      </c>
      <c r="BT14" s="1" t="s">
        <v>107</v>
      </c>
      <c r="BU14" s="1">
        <v>5</v>
      </c>
      <c r="BV14" s="1">
        <v>4</v>
      </c>
      <c r="BW14" s="1">
        <v>0</v>
      </c>
      <c r="BX14" s="1">
        <v>1</v>
      </c>
      <c r="BY14" s="1">
        <v>0</v>
      </c>
      <c r="BZ14" s="1">
        <v>0</v>
      </c>
      <c r="CA14" s="1">
        <v>0</v>
      </c>
      <c r="CB14" s="1">
        <v>0</v>
      </c>
      <c r="CC14" s="1">
        <v>0</v>
      </c>
      <c r="CD14" s="1">
        <v>0</v>
      </c>
      <c r="CE14" s="1">
        <v>0</v>
      </c>
      <c r="CF14" s="1">
        <v>0</v>
      </c>
      <c r="CG14" s="1">
        <v>0</v>
      </c>
      <c r="CH14" s="1">
        <v>0</v>
      </c>
      <c r="CI14" s="1">
        <v>0</v>
      </c>
      <c r="CJ14" s="1">
        <v>4</v>
      </c>
      <c r="CK14" s="1">
        <v>1</v>
      </c>
      <c r="CL14" s="1">
        <v>3</v>
      </c>
      <c r="CM14" s="1">
        <v>2</v>
      </c>
      <c r="CN14" s="1">
        <v>4</v>
      </c>
      <c r="CO14" s="1">
        <v>4</v>
      </c>
      <c r="CP14" s="1">
        <v>4</v>
      </c>
      <c r="CU14" s="1">
        <v>3</v>
      </c>
    </row>
    <row r="15" spans="1:99" x14ac:dyDescent="0.35">
      <c r="A15" s="1" t="s">
        <v>1558</v>
      </c>
      <c r="B15" s="1">
        <v>171424016</v>
      </c>
      <c r="C15" s="1">
        <v>0</v>
      </c>
      <c r="D15" s="1">
        <v>1</v>
      </c>
      <c r="E15" s="1">
        <v>0</v>
      </c>
      <c r="F15" s="1">
        <v>0</v>
      </c>
      <c r="G15" s="1">
        <v>0</v>
      </c>
      <c r="H15" s="1">
        <v>0</v>
      </c>
      <c r="I15" s="1">
        <v>0</v>
      </c>
      <c r="J15" s="1">
        <v>0</v>
      </c>
      <c r="K15" s="1">
        <v>0</v>
      </c>
      <c r="L15" s="1">
        <v>1</v>
      </c>
      <c r="M15" s="1">
        <v>0</v>
      </c>
      <c r="N15" s="1">
        <v>0</v>
      </c>
      <c r="O15" s="1">
        <v>0</v>
      </c>
      <c r="P15" s="1">
        <v>4</v>
      </c>
      <c r="Q15" s="1">
        <v>2</v>
      </c>
      <c r="R15" s="1">
        <v>1</v>
      </c>
      <c r="S15" s="1">
        <v>1</v>
      </c>
      <c r="T15" s="1">
        <v>1</v>
      </c>
      <c r="U15" s="1">
        <v>4</v>
      </c>
      <c r="V15" s="1">
        <v>3</v>
      </c>
      <c r="W15" s="1">
        <v>3</v>
      </c>
      <c r="X15" s="1">
        <v>4</v>
      </c>
      <c r="Y15" s="1">
        <v>3</v>
      </c>
      <c r="Z15" s="1">
        <v>4</v>
      </c>
      <c r="AA15" s="1">
        <v>3</v>
      </c>
      <c r="AC15" s="1">
        <v>1</v>
      </c>
      <c r="AD15" s="1">
        <v>3</v>
      </c>
      <c r="AF15" s="3">
        <v>8000000</v>
      </c>
      <c r="AG15" s="1">
        <v>12</v>
      </c>
      <c r="AS15" s="1" t="s">
        <v>472</v>
      </c>
      <c r="BP15" s="1">
        <v>3</v>
      </c>
      <c r="BQ15" s="1" t="s">
        <v>1559</v>
      </c>
      <c r="BR15" s="1" t="s">
        <v>1560</v>
      </c>
      <c r="BS15" s="1" t="s">
        <v>1561</v>
      </c>
      <c r="BT15" s="1" t="s">
        <v>79</v>
      </c>
      <c r="BU15" s="1">
        <v>4</v>
      </c>
      <c r="BV15" s="1">
        <v>2</v>
      </c>
      <c r="BW15" s="1">
        <v>0</v>
      </c>
      <c r="BX15" s="1">
        <v>1</v>
      </c>
      <c r="BY15" s="1">
        <v>1</v>
      </c>
      <c r="BZ15" s="1">
        <v>1</v>
      </c>
      <c r="CA15" s="1">
        <v>0</v>
      </c>
      <c r="CB15" s="1">
        <v>0</v>
      </c>
      <c r="CC15" s="1">
        <v>0</v>
      </c>
      <c r="CD15" s="1">
        <v>0</v>
      </c>
      <c r="CE15" s="1">
        <v>0</v>
      </c>
      <c r="CF15" s="1">
        <v>0</v>
      </c>
      <c r="CG15" s="1">
        <v>0</v>
      </c>
      <c r="CH15" s="1">
        <v>1</v>
      </c>
      <c r="CI15" s="1">
        <v>0</v>
      </c>
      <c r="CJ15" s="1">
        <v>4</v>
      </c>
      <c r="CK15" s="1">
        <v>4</v>
      </c>
      <c r="CL15" s="1">
        <v>4</v>
      </c>
      <c r="CM15" s="1">
        <v>4</v>
      </c>
      <c r="CN15" s="1">
        <v>4</v>
      </c>
      <c r="CO15" s="1">
        <v>4</v>
      </c>
      <c r="CP15" s="1">
        <v>4</v>
      </c>
      <c r="CU15" s="1">
        <v>1</v>
      </c>
    </row>
    <row r="16" spans="1:99" x14ac:dyDescent="0.35">
      <c r="A16" s="1" t="s">
        <v>1562</v>
      </c>
      <c r="B16" s="1">
        <v>171424017</v>
      </c>
      <c r="C16" s="1">
        <v>0</v>
      </c>
      <c r="D16" s="1">
        <v>1</v>
      </c>
      <c r="E16" s="1">
        <v>0</v>
      </c>
      <c r="F16" s="1">
        <v>0</v>
      </c>
      <c r="G16" s="1">
        <v>0</v>
      </c>
      <c r="H16" s="1">
        <v>0</v>
      </c>
      <c r="I16" s="1">
        <v>0</v>
      </c>
      <c r="J16" s="1">
        <v>0</v>
      </c>
      <c r="K16" s="1">
        <v>1</v>
      </c>
      <c r="L16" s="1">
        <v>0</v>
      </c>
      <c r="M16" s="1">
        <v>0</v>
      </c>
      <c r="N16" s="1">
        <v>0</v>
      </c>
      <c r="O16" s="1">
        <v>0</v>
      </c>
      <c r="P16" s="1">
        <v>5</v>
      </c>
      <c r="Q16" s="1">
        <v>3</v>
      </c>
      <c r="R16" s="1">
        <v>1</v>
      </c>
      <c r="S16" s="1">
        <v>1</v>
      </c>
      <c r="T16" s="1">
        <v>1</v>
      </c>
      <c r="U16" s="1">
        <v>4</v>
      </c>
      <c r="V16" s="1">
        <v>3</v>
      </c>
      <c r="W16" s="1">
        <v>3</v>
      </c>
      <c r="X16" s="1">
        <v>3</v>
      </c>
      <c r="Y16" s="1">
        <v>4</v>
      </c>
      <c r="Z16" s="1">
        <v>4</v>
      </c>
      <c r="AA16" s="1">
        <v>4</v>
      </c>
      <c r="AC16" s="1">
        <v>1</v>
      </c>
      <c r="AD16" s="1">
        <v>3</v>
      </c>
      <c r="AF16" s="3">
        <v>5500000</v>
      </c>
      <c r="AG16" s="1">
        <v>11</v>
      </c>
      <c r="AR16" s="1" t="s">
        <v>144</v>
      </c>
      <c r="BP16" s="1">
        <v>3</v>
      </c>
      <c r="BQ16" s="1" t="s">
        <v>1563</v>
      </c>
      <c r="BR16" s="1" t="s">
        <v>1564</v>
      </c>
      <c r="BS16" s="1" t="s">
        <v>1332</v>
      </c>
      <c r="BT16" s="1" t="s">
        <v>79</v>
      </c>
      <c r="BU16" s="1">
        <v>1</v>
      </c>
      <c r="BV16" s="1">
        <v>2</v>
      </c>
      <c r="BW16" s="1">
        <v>1</v>
      </c>
      <c r="BX16" s="1">
        <v>0</v>
      </c>
      <c r="BY16" s="1">
        <v>0</v>
      </c>
      <c r="BZ16" s="1">
        <v>0</v>
      </c>
      <c r="CA16" s="1">
        <v>0</v>
      </c>
      <c r="CB16" s="1">
        <v>0</v>
      </c>
      <c r="CC16" s="1">
        <v>0</v>
      </c>
      <c r="CD16" s="1">
        <v>0</v>
      </c>
      <c r="CE16" s="1">
        <v>0</v>
      </c>
      <c r="CF16" s="1">
        <v>0</v>
      </c>
      <c r="CG16" s="1">
        <v>0</v>
      </c>
      <c r="CH16" s="1">
        <v>0</v>
      </c>
      <c r="CI16" s="1">
        <v>0</v>
      </c>
      <c r="CJ16" s="1">
        <v>4</v>
      </c>
      <c r="CK16" s="1">
        <v>4</v>
      </c>
      <c r="CL16" s="1">
        <v>2</v>
      </c>
      <c r="CM16" s="1">
        <v>4</v>
      </c>
      <c r="CN16" s="1">
        <v>4</v>
      </c>
      <c r="CO16" s="1">
        <v>4</v>
      </c>
      <c r="CP16" s="1">
        <v>4</v>
      </c>
      <c r="CU16" s="1">
        <v>1</v>
      </c>
    </row>
    <row r="17" spans="1:99" x14ac:dyDescent="0.35">
      <c r="A17" s="1" t="s">
        <v>1565</v>
      </c>
      <c r="B17" s="1">
        <v>171424018</v>
      </c>
      <c r="C17" s="1">
        <v>0</v>
      </c>
      <c r="D17" s="1">
        <v>1</v>
      </c>
      <c r="E17" s="1">
        <v>0</v>
      </c>
      <c r="F17" s="1">
        <v>0</v>
      </c>
      <c r="G17" s="1">
        <v>0</v>
      </c>
      <c r="H17" s="1">
        <v>1</v>
      </c>
      <c r="I17" s="1">
        <v>0</v>
      </c>
      <c r="J17" s="1">
        <v>0</v>
      </c>
      <c r="K17" s="1">
        <v>1</v>
      </c>
      <c r="L17" s="1">
        <v>0</v>
      </c>
      <c r="M17" s="1">
        <v>0</v>
      </c>
      <c r="N17" s="1">
        <v>0</v>
      </c>
      <c r="O17" s="1">
        <v>0</v>
      </c>
      <c r="P17" s="1" t="s">
        <v>504</v>
      </c>
      <c r="Q17" s="1">
        <v>5</v>
      </c>
      <c r="R17" s="1">
        <v>2</v>
      </c>
      <c r="S17" s="1">
        <v>5</v>
      </c>
      <c r="T17" s="1">
        <v>1</v>
      </c>
      <c r="U17" s="1">
        <v>3</v>
      </c>
      <c r="V17" s="1">
        <v>3</v>
      </c>
      <c r="W17" s="1">
        <v>3</v>
      </c>
      <c r="X17" s="1">
        <v>3</v>
      </c>
      <c r="Y17" s="1">
        <v>3</v>
      </c>
      <c r="Z17" s="1">
        <v>3</v>
      </c>
      <c r="AA17" s="1">
        <v>3</v>
      </c>
      <c r="CU17" s="1">
        <v>2</v>
      </c>
    </row>
    <row r="18" spans="1:99" x14ac:dyDescent="0.35">
      <c r="A18" s="1" t="s">
        <v>1566</v>
      </c>
      <c r="B18" s="1">
        <v>171424020</v>
      </c>
      <c r="S18" s="1">
        <v>5</v>
      </c>
      <c r="T18" s="1">
        <v>1</v>
      </c>
      <c r="U18" s="1">
        <v>3</v>
      </c>
      <c r="V18" s="1">
        <v>3</v>
      </c>
      <c r="W18" s="1">
        <v>4</v>
      </c>
      <c r="X18" s="1">
        <v>4</v>
      </c>
      <c r="Y18" s="1">
        <v>4</v>
      </c>
      <c r="Z18" s="1">
        <v>4</v>
      </c>
      <c r="AA18" s="1">
        <v>3</v>
      </c>
      <c r="CU18" s="1">
        <v>4</v>
      </c>
    </row>
    <row r="19" spans="1:99" x14ac:dyDescent="0.35">
      <c r="A19" s="1" t="s">
        <v>1567</v>
      </c>
      <c r="B19" s="1">
        <v>171424021</v>
      </c>
      <c r="C19" s="1">
        <v>0</v>
      </c>
      <c r="D19" s="1">
        <v>1</v>
      </c>
      <c r="E19" s="1">
        <v>0</v>
      </c>
      <c r="F19" s="1">
        <v>0</v>
      </c>
      <c r="G19" s="1">
        <v>0</v>
      </c>
      <c r="H19" s="1">
        <v>0</v>
      </c>
      <c r="I19" s="1">
        <v>0</v>
      </c>
      <c r="J19" s="1">
        <v>0</v>
      </c>
      <c r="K19" s="1">
        <v>1</v>
      </c>
      <c r="L19" s="1">
        <v>0</v>
      </c>
      <c r="M19" s="1">
        <v>0</v>
      </c>
      <c r="N19" s="1">
        <v>0</v>
      </c>
      <c r="O19" s="1">
        <v>0</v>
      </c>
      <c r="P19" s="1">
        <v>50</v>
      </c>
      <c r="Q19" s="1">
        <v>5</v>
      </c>
      <c r="R19" s="1">
        <v>3</v>
      </c>
      <c r="S19" s="1">
        <v>1</v>
      </c>
      <c r="T19" s="1">
        <v>1</v>
      </c>
      <c r="U19" s="1">
        <v>4</v>
      </c>
      <c r="V19" s="1">
        <v>2</v>
      </c>
      <c r="W19" s="1">
        <v>2</v>
      </c>
      <c r="X19" s="1">
        <v>3</v>
      </c>
      <c r="Y19" s="1">
        <v>4</v>
      </c>
      <c r="Z19" s="1">
        <v>4</v>
      </c>
      <c r="AA19" s="1">
        <v>4</v>
      </c>
      <c r="AC19" s="1">
        <v>2</v>
      </c>
      <c r="AE19" s="1">
        <v>9</v>
      </c>
      <c r="AF19" s="3">
        <v>4000000</v>
      </c>
      <c r="AG19" s="1">
        <v>13</v>
      </c>
      <c r="AT19" s="1" t="s">
        <v>209</v>
      </c>
      <c r="BP19" s="1">
        <v>3</v>
      </c>
      <c r="BQ19" s="1" t="s">
        <v>1568</v>
      </c>
      <c r="BR19" s="1" t="s">
        <v>1569</v>
      </c>
      <c r="BT19" s="1" t="s">
        <v>79</v>
      </c>
      <c r="BU19" s="1">
        <v>2</v>
      </c>
      <c r="BV19" s="1">
        <v>2</v>
      </c>
      <c r="BW19" s="1">
        <v>0</v>
      </c>
      <c r="BX19" s="1">
        <v>1</v>
      </c>
      <c r="BY19" s="1">
        <v>0</v>
      </c>
      <c r="BZ19" s="1">
        <v>0</v>
      </c>
      <c r="CA19" s="1">
        <v>0</v>
      </c>
      <c r="CB19" s="1">
        <v>0</v>
      </c>
      <c r="CC19" s="1">
        <v>0</v>
      </c>
      <c r="CD19" s="1">
        <v>0</v>
      </c>
      <c r="CE19" s="1">
        <v>0</v>
      </c>
      <c r="CF19" s="1">
        <v>0</v>
      </c>
      <c r="CG19" s="1">
        <v>0</v>
      </c>
      <c r="CH19" s="1">
        <v>0</v>
      </c>
      <c r="CI19" s="1">
        <v>0</v>
      </c>
      <c r="CJ19" s="1">
        <v>4</v>
      </c>
      <c r="CK19" s="1">
        <v>4</v>
      </c>
      <c r="CL19" s="1">
        <v>4</v>
      </c>
      <c r="CM19" s="1">
        <v>4</v>
      </c>
      <c r="CN19" s="1">
        <v>4</v>
      </c>
      <c r="CO19" s="1">
        <v>4</v>
      </c>
      <c r="CP19" s="1">
        <v>4</v>
      </c>
      <c r="CU19" s="1">
        <v>1</v>
      </c>
    </row>
    <row r="20" spans="1:99" x14ac:dyDescent="0.35">
      <c r="A20" s="1" t="s">
        <v>1570</v>
      </c>
      <c r="B20" s="1">
        <v>171424022</v>
      </c>
      <c r="C20" s="1">
        <v>0</v>
      </c>
      <c r="D20" s="1">
        <v>0</v>
      </c>
      <c r="E20" s="1">
        <v>0</v>
      </c>
      <c r="F20" s="1">
        <v>0</v>
      </c>
      <c r="G20" s="1">
        <v>0</v>
      </c>
      <c r="H20" s="1">
        <v>1</v>
      </c>
      <c r="I20" s="1">
        <v>1</v>
      </c>
      <c r="J20" s="1">
        <v>1</v>
      </c>
      <c r="K20" s="1">
        <v>1</v>
      </c>
      <c r="L20" s="1">
        <v>0</v>
      </c>
      <c r="M20" s="1">
        <v>0</v>
      </c>
      <c r="N20" s="1">
        <v>0</v>
      </c>
      <c r="O20" s="1">
        <v>0</v>
      </c>
      <c r="P20" s="1" t="s">
        <v>1571</v>
      </c>
      <c r="Q20" s="1">
        <v>5</v>
      </c>
      <c r="R20" s="1">
        <v>3</v>
      </c>
      <c r="S20" s="1">
        <v>1</v>
      </c>
      <c r="T20" s="1">
        <v>1</v>
      </c>
      <c r="U20" s="1">
        <v>4</v>
      </c>
      <c r="V20" s="1">
        <v>4</v>
      </c>
      <c r="W20" s="1">
        <v>4</v>
      </c>
      <c r="X20" s="1">
        <v>4</v>
      </c>
      <c r="Y20" s="1">
        <v>4</v>
      </c>
      <c r="Z20" s="1">
        <v>4</v>
      </c>
      <c r="AA20" s="1">
        <v>4</v>
      </c>
      <c r="AC20" s="1">
        <v>1</v>
      </c>
      <c r="AD20" s="1">
        <v>6</v>
      </c>
      <c r="AF20" s="3">
        <v>3790000</v>
      </c>
      <c r="AG20" s="1">
        <v>13</v>
      </c>
      <c r="AT20" s="1" t="s">
        <v>392</v>
      </c>
      <c r="BP20" s="1">
        <v>3</v>
      </c>
      <c r="BQ20" s="1" t="s">
        <v>1572</v>
      </c>
      <c r="BR20" s="1" t="s">
        <v>1573</v>
      </c>
      <c r="BS20" s="1" t="s">
        <v>1574</v>
      </c>
      <c r="BT20" s="1" t="s">
        <v>73</v>
      </c>
      <c r="BU20" s="1">
        <v>4</v>
      </c>
      <c r="BV20" s="1">
        <v>2</v>
      </c>
      <c r="BW20" s="1">
        <v>0</v>
      </c>
      <c r="BX20" s="1">
        <v>1</v>
      </c>
      <c r="BY20" s="1">
        <v>0</v>
      </c>
      <c r="BZ20" s="1">
        <v>0</v>
      </c>
      <c r="CA20" s="1">
        <v>0</v>
      </c>
      <c r="CB20" s="1">
        <v>0</v>
      </c>
      <c r="CC20" s="1">
        <v>0</v>
      </c>
      <c r="CD20" s="1">
        <v>0</v>
      </c>
      <c r="CE20" s="1">
        <v>0</v>
      </c>
      <c r="CF20" s="1">
        <v>0</v>
      </c>
      <c r="CG20" s="1">
        <v>1</v>
      </c>
      <c r="CH20" s="1">
        <v>0</v>
      </c>
      <c r="CI20" s="1">
        <v>0</v>
      </c>
      <c r="CJ20" s="1">
        <v>4</v>
      </c>
      <c r="CK20" s="1">
        <v>4</v>
      </c>
      <c r="CL20" s="1">
        <v>4</v>
      </c>
      <c r="CM20" s="1">
        <v>4</v>
      </c>
      <c r="CN20" s="1">
        <v>4</v>
      </c>
      <c r="CO20" s="1">
        <v>4</v>
      </c>
      <c r="CP20" s="1">
        <v>4</v>
      </c>
      <c r="CU20" s="1">
        <v>1</v>
      </c>
    </row>
    <row r="21" spans="1:99" x14ac:dyDescent="0.35">
      <c r="A21" s="1" t="s">
        <v>1575</v>
      </c>
      <c r="B21" s="1">
        <v>171424023</v>
      </c>
      <c r="C21" s="1">
        <v>1</v>
      </c>
      <c r="D21" s="1">
        <v>1</v>
      </c>
      <c r="E21" s="1">
        <v>1</v>
      </c>
      <c r="F21" s="1">
        <v>0</v>
      </c>
      <c r="G21" s="1">
        <v>0</v>
      </c>
      <c r="H21" s="1">
        <v>0</v>
      </c>
      <c r="I21" s="1">
        <v>0</v>
      </c>
      <c r="J21" s="1">
        <v>1</v>
      </c>
      <c r="K21" s="1">
        <v>1</v>
      </c>
      <c r="L21" s="1">
        <v>0</v>
      </c>
      <c r="M21" s="1">
        <v>0</v>
      </c>
      <c r="N21" s="1">
        <v>0</v>
      </c>
      <c r="O21" s="1">
        <v>0</v>
      </c>
      <c r="P21" s="1" t="s">
        <v>1576</v>
      </c>
      <c r="Q21" s="1" t="s">
        <v>1577</v>
      </c>
      <c r="R21" s="1" t="s">
        <v>1578</v>
      </c>
      <c r="S21" s="1">
        <v>5</v>
      </c>
      <c r="T21" s="1">
        <v>1</v>
      </c>
      <c r="U21" s="1">
        <v>4</v>
      </c>
      <c r="V21" s="1">
        <v>3</v>
      </c>
      <c r="W21" s="1">
        <v>2</v>
      </c>
      <c r="X21" s="1">
        <v>3</v>
      </c>
      <c r="Y21" s="1">
        <v>4</v>
      </c>
      <c r="Z21" s="1">
        <v>4</v>
      </c>
      <c r="AA21" s="1">
        <v>3</v>
      </c>
      <c r="CU21" s="1">
        <v>4</v>
      </c>
    </row>
    <row r="22" spans="1:99" x14ac:dyDescent="0.35">
      <c r="A22" s="1" t="s">
        <v>1579</v>
      </c>
      <c r="B22" s="1">
        <v>171424024</v>
      </c>
      <c r="C22" s="1">
        <v>1</v>
      </c>
      <c r="D22" s="1">
        <v>1</v>
      </c>
      <c r="E22" s="1">
        <v>1</v>
      </c>
      <c r="F22" s="1">
        <v>0</v>
      </c>
      <c r="G22" s="1">
        <v>0</v>
      </c>
      <c r="H22" s="1">
        <v>1</v>
      </c>
      <c r="I22" s="1">
        <v>0</v>
      </c>
      <c r="J22" s="1">
        <v>0</v>
      </c>
      <c r="K22" s="1">
        <v>1</v>
      </c>
      <c r="L22" s="1">
        <v>0</v>
      </c>
      <c r="M22" s="1">
        <v>0</v>
      </c>
      <c r="N22" s="1">
        <v>0</v>
      </c>
      <c r="O22" s="1">
        <v>0</v>
      </c>
      <c r="P22" s="1">
        <v>200</v>
      </c>
      <c r="Q22" s="1">
        <v>60</v>
      </c>
      <c r="R22" s="1">
        <v>16</v>
      </c>
      <c r="S22" s="1">
        <v>5</v>
      </c>
      <c r="T22" s="1">
        <v>1</v>
      </c>
      <c r="U22" s="1">
        <v>4</v>
      </c>
      <c r="V22" s="1">
        <v>3</v>
      </c>
      <c r="W22" s="1">
        <v>2</v>
      </c>
      <c r="X22" s="1">
        <v>4</v>
      </c>
      <c r="Y22" s="1">
        <v>2</v>
      </c>
      <c r="Z22" s="1">
        <v>3</v>
      </c>
      <c r="AA22" s="1">
        <v>2</v>
      </c>
      <c r="CU22" s="1">
        <v>4</v>
      </c>
    </row>
    <row r="23" spans="1:99" x14ac:dyDescent="0.35">
      <c r="A23" s="1" t="s">
        <v>1580</v>
      </c>
      <c r="B23" s="1">
        <v>171424025</v>
      </c>
      <c r="C23" s="1">
        <v>0</v>
      </c>
      <c r="D23" s="1">
        <v>1</v>
      </c>
      <c r="E23" s="1">
        <v>0</v>
      </c>
      <c r="F23" s="1">
        <v>0</v>
      </c>
      <c r="G23" s="1">
        <v>0</v>
      </c>
      <c r="H23" s="1">
        <v>1</v>
      </c>
      <c r="I23" s="1">
        <v>0</v>
      </c>
      <c r="J23" s="1">
        <v>1</v>
      </c>
      <c r="K23" s="1">
        <v>1</v>
      </c>
      <c r="L23" s="1">
        <v>0</v>
      </c>
      <c r="M23" s="1">
        <v>0</v>
      </c>
      <c r="N23" s="1">
        <v>0</v>
      </c>
      <c r="O23" s="1">
        <v>0</v>
      </c>
      <c r="P23" s="1" t="s">
        <v>1581</v>
      </c>
      <c r="Q23" s="1" t="s">
        <v>706</v>
      </c>
      <c r="R23" s="1" t="s">
        <v>1582</v>
      </c>
      <c r="S23" s="1">
        <v>1</v>
      </c>
      <c r="T23" s="1">
        <v>1</v>
      </c>
      <c r="U23" s="1">
        <v>4</v>
      </c>
      <c r="V23" s="1">
        <v>3</v>
      </c>
      <c r="W23" s="1">
        <v>4</v>
      </c>
      <c r="X23" s="1">
        <v>3</v>
      </c>
      <c r="Y23" s="1">
        <v>4</v>
      </c>
      <c r="Z23" s="1">
        <v>4</v>
      </c>
      <c r="AA23" s="1">
        <v>4</v>
      </c>
      <c r="AC23" s="1">
        <v>1</v>
      </c>
      <c r="AD23" s="1">
        <v>4</v>
      </c>
      <c r="AF23" s="3">
        <v>3500000</v>
      </c>
      <c r="AG23" s="1">
        <v>13</v>
      </c>
      <c r="AT23" s="1" t="s">
        <v>86</v>
      </c>
      <c r="BP23" s="1">
        <v>3</v>
      </c>
      <c r="BQ23" s="1" t="s">
        <v>1583</v>
      </c>
      <c r="BR23" s="1" t="s">
        <v>1584</v>
      </c>
      <c r="BS23" s="1" t="s">
        <v>1585</v>
      </c>
      <c r="BT23" s="1" t="s">
        <v>79</v>
      </c>
      <c r="BU23" s="1">
        <v>4</v>
      </c>
      <c r="BV23" s="1">
        <v>2</v>
      </c>
      <c r="BW23" s="1">
        <v>0</v>
      </c>
      <c r="BX23" s="1">
        <v>1</v>
      </c>
      <c r="BY23" s="1">
        <v>0</v>
      </c>
      <c r="BZ23" s="1">
        <v>0</v>
      </c>
      <c r="CA23" s="1">
        <v>0</v>
      </c>
      <c r="CB23" s="1">
        <v>0</v>
      </c>
      <c r="CC23" s="1">
        <v>0</v>
      </c>
      <c r="CD23" s="1">
        <v>0</v>
      </c>
      <c r="CE23" s="1">
        <v>0</v>
      </c>
      <c r="CF23" s="1">
        <v>0</v>
      </c>
      <c r="CG23" s="1">
        <v>0</v>
      </c>
      <c r="CH23" s="1">
        <v>0</v>
      </c>
      <c r="CI23" s="1">
        <v>0</v>
      </c>
      <c r="CJ23" s="1">
        <v>4</v>
      </c>
      <c r="CK23" s="1">
        <v>4</v>
      </c>
      <c r="CL23" s="1">
        <v>4</v>
      </c>
      <c r="CM23" s="1">
        <v>4</v>
      </c>
      <c r="CN23" s="1">
        <v>4</v>
      </c>
      <c r="CO23" s="1">
        <v>4</v>
      </c>
      <c r="CP23" s="1">
        <v>4</v>
      </c>
      <c r="CU23" s="1">
        <v>1</v>
      </c>
    </row>
    <row r="24" spans="1:99" x14ac:dyDescent="0.35">
      <c r="A24" s="1" t="s">
        <v>1586</v>
      </c>
      <c r="B24" s="1">
        <v>171424026</v>
      </c>
      <c r="C24" s="1">
        <v>0</v>
      </c>
      <c r="D24" s="1">
        <v>1</v>
      </c>
      <c r="E24" s="1">
        <v>0</v>
      </c>
      <c r="F24" s="1">
        <v>0</v>
      </c>
      <c r="G24" s="1">
        <v>0</v>
      </c>
      <c r="H24" s="1">
        <v>1</v>
      </c>
      <c r="I24" s="1">
        <v>0</v>
      </c>
      <c r="J24" s="1">
        <v>0</v>
      </c>
      <c r="K24" s="1">
        <v>1</v>
      </c>
      <c r="L24" s="1">
        <v>0</v>
      </c>
      <c r="M24" s="1">
        <v>0</v>
      </c>
      <c r="N24" s="1">
        <v>0</v>
      </c>
      <c r="O24" s="1">
        <v>0</v>
      </c>
      <c r="P24" s="1">
        <v>50</v>
      </c>
      <c r="Q24" s="1">
        <v>10</v>
      </c>
      <c r="R24" s="1">
        <v>10</v>
      </c>
      <c r="S24" s="1">
        <v>1</v>
      </c>
      <c r="T24" s="1">
        <v>1</v>
      </c>
      <c r="U24" s="1">
        <v>4</v>
      </c>
      <c r="V24" s="1">
        <v>4</v>
      </c>
      <c r="W24" s="1">
        <v>4</v>
      </c>
      <c r="X24" s="1">
        <v>4</v>
      </c>
      <c r="Y24" s="1">
        <v>4</v>
      </c>
      <c r="Z24" s="1">
        <v>4</v>
      </c>
      <c r="AA24" s="1">
        <v>4</v>
      </c>
      <c r="AC24" s="1">
        <v>1</v>
      </c>
      <c r="AD24" s="1">
        <v>6</v>
      </c>
      <c r="AF24" s="3">
        <v>3200000</v>
      </c>
      <c r="AG24" s="1">
        <v>13</v>
      </c>
      <c r="AT24" s="1" t="s">
        <v>93</v>
      </c>
      <c r="BP24" s="1">
        <v>3</v>
      </c>
      <c r="BQ24" s="1" t="s">
        <v>1587</v>
      </c>
      <c r="BR24" s="1" t="s">
        <v>1588</v>
      </c>
      <c r="BS24" s="1" t="s">
        <v>1589</v>
      </c>
      <c r="BT24" s="1" t="s">
        <v>79</v>
      </c>
      <c r="BU24" s="1">
        <v>1</v>
      </c>
      <c r="BV24" s="1">
        <v>2</v>
      </c>
      <c r="BW24" s="1">
        <v>0</v>
      </c>
      <c r="BX24" s="1">
        <v>0</v>
      </c>
      <c r="BY24" s="1">
        <v>0</v>
      </c>
      <c r="BZ24" s="1">
        <v>0</v>
      </c>
      <c r="CA24" s="1">
        <v>0</v>
      </c>
      <c r="CB24" s="1">
        <v>1</v>
      </c>
      <c r="CC24" s="1">
        <v>1</v>
      </c>
      <c r="CD24" s="1">
        <v>0</v>
      </c>
      <c r="CE24" s="1">
        <v>0</v>
      </c>
      <c r="CF24" s="1">
        <v>1</v>
      </c>
      <c r="CG24" s="1">
        <v>1</v>
      </c>
      <c r="CH24" s="1">
        <v>0</v>
      </c>
      <c r="CI24" s="1">
        <v>0</v>
      </c>
      <c r="CJ24" s="1">
        <v>4</v>
      </c>
      <c r="CK24" s="1">
        <v>4</v>
      </c>
      <c r="CL24" s="1">
        <v>4</v>
      </c>
      <c r="CM24" s="1">
        <v>4</v>
      </c>
      <c r="CN24" s="1">
        <v>4</v>
      </c>
      <c r="CO24" s="1">
        <v>4</v>
      </c>
      <c r="CP24" s="1">
        <v>4</v>
      </c>
      <c r="CU24" s="1">
        <v>2</v>
      </c>
    </row>
    <row r="25" spans="1:99" x14ac:dyDescent="0.35">
      <c r="A25" s="1" t="s">
        <v>1590</v>
      </c>
      <c r="B25" s="1">
        <v>171424027</v>
      </c>
      <c r="C25" s="1">
        <v>0</v>
      </c>
      <c r="D25" s="1">
        <v>1</v>
      </c>
      <c r="E25" s="1">
        <v>0</v>
      </c>
      <c r="F25" s="1">
        <v>0</v>
      </c>
      <c r="G25" s="1">
        <v>0</v>
      </c>
      <c r="H25" s="1">
        <v>0</v>
      </c>
      <c r="I25" s="1">
        <v>0</v>
      </c>
      <c r="J25" s="1">
        <v>0</v>
      </c>
      <c r="K25" s="1">
        <v>1</v>
      </c>
      <c r="L25" s="1">
        <v>0</v>
      </c>
      <c r="M25" s="1">
        <v>0</v>
      </c>
      <c r="N25" s="1">
        <v>0</v>
      </c>
      <c r="O25" s="1">
        <v>0</v>
      </c>
      <c r="P25" s="1" t="s">
        <v>1591</v>
      </c>
      <c r="Q25" s="1" t="s">
        <v>117</v>
      </c>
      <c r="R25" s="1">
        <v>5</v>
      </c>
      <c r="S25" s="1">
        <v>1</v>
      </c>
      <c r="T25" s="1">
        <v>1</v>
      </c>
      <c r="U25" s="1">
        <v>4</v>
      </c>
      <c r="V25" s="1">
        <v>2</v>
      </c>
      <c r="W25" s="1">
        <v>4</v>
      </c>
      <c r="X25" s="1">
        <v>3</v>
      </c>
      <c r="Y25" s="1">
        <v>3</v>
      </c>
      <c r="Z25" s="1">
        <v>4</v>
      </c>
      <c r="AA25" s="1">
        <v>4</v>
      </c>
      <c r="AC25" s="1">
        <v>2</v>
      </c>
      <c r="AE25" s="1">
        <v>6</v>
      </c>
      <c r="AF25" s="3">
        <v>4500000</v>
      </c>
      <c r="AG25" s="1">
        <v>11</v>
      </c>
      <c r="AR25" s="1" t="s">
        <v>144</v>
      </c>
      <c r="BP25" s="1">
        <v>3</v>
      </c>
      <c r="BQ25" s="1" t="s">
        <v>1592</v>
      </c>
      <c r="BR25" s="1" t="s">
        <v>78</v>
      </c>
      <c r="BT25" s="1" t="s">
        <v>73</v>
      </c>
      <c r="BU25" s="1">
        <v>5</v>
      </c>
      <c r="BV25" s="1">
        <v>2</v>
      </c>
      <c r="BW25" s="1">
        <v>0</v>
      </c>
      <c r="BX25" s="1">
        <v>0</v>
      </c>
      <c r="BY25" s="1">
        <v>1</v>
      </c>
      <c r="BZ25" s="1">
        <v>0</v>
      </c>
      <c r="CA25" s="1">
        <v>0</v>
      </c>
      <c r="CB25" s="1">
        <v>0</v>
      </c>
      <c r="CC25" s="1">
        <v>0</v>
      </c>
      <c r="CD25" s="1">
        <v>0</v>
      </c>
      <c r="CE25" s="1">
        <v>0</v>
      </c>
      <c r="CF25" s="1">
        <v>0</v>
      </c>
      <c r="CG25" s="1">
        <v>0</v>
      </c>
      <c r="CH25" s="1">
        <v>0</v>
      </c>
      <c r="CI25" s="1">
        <v>0</v>
      </c>
      <c r="CJ25" s="1">
        <v>4</v>
      </c>
      <c r="CK25" s="1">
        <v>1</v>
      </c>
      <c r="CL25" s="1">
        <v>4</v>
      </c>
      <c r="CM25" s="1">
        <v>4</v>
      </c>
      <c r="CN25" s="1">
        <v>4</v>
      </c>
      <c r="CO25" s="1">
        <v>4</v>
      </c>
      <c r="CP25" s="1">
        <v>4</v>
      </c>
      <c r="CU25" s="1">
        <v>1</v>
      </c>
    </row>
    <row r="26" spans="1:99" x14ac:dyDescent="0.35">
      <c r="A26" s="1" t="s">
        <v>1593</v>
      </c>
      <c r="B26" s="1">
        <v>171424028</v>
      </c>
      <c r="C26" s="1">
        <v>1</v>
      </c>
      <c r="D26" s="1">
        <v>1</v>
      </c>
      <c r="E26" s="1">
        <v>0</v>
      </c>
      <c r="F26" s="1">
        <v>0</v>
      </c>
      <c r="G26" s="1">
        <v>0</v>
      </c>
      <c r="H26" s="1">
        <v>0</v>
      </c>
      <c r="I26" s="1">
        <v>0</v>
      </c>
      <c r="J26" s="1">
        <v>0</v>
      </c>
      <c r="K26" s="1">
        <v>0</v>
      </c>
      <c r="L26" s="1">
        <v>0</v>
      </c>
      <c r="M26" s="1">
        <v>0</v>
      </c>
      <c r="N26" s="1">
        <v>0</v>
      </c>
      <c r="O26" s="1">
        <v>0</v>
      </c>
      <c r="P26" s="1" t="s">
        <v>506</v>
      </c>
      <c r="Q26" s="1">
        <v>4</v>
      </c>
      <c r="R26" s="1">
        <v>4</v>
      </c>
      <c r="S26" s="1">
        <v>1</v>
      </c>
      <c r="T26" s="1">
        <v>3</v>
      </c>
      <c r="U26" s="1">
        <v>4</v>
      </c>
      <c r="V26" s="1">
        <v>4</v>
      </c>
      <c r="W26" s="1">
        <v>3</v>
      </c>
      <c r="X26" s="1">
        <v>4</v>
      </c>
      <c r="Y26" s="1">
        <v>4</v>
      </c>
      <c r="Z26" s="1">
        <v>4</v>
      </c>
      <c r="AA26" s="1">
        <v>4</v>
      </c>
      <c r="AC26" s="1">
        <v>1</v>
      </c>
      <c r="AD26" s="1">
        <v>2</v>
      </c>
      <c r="AF26" s="3">
        <v>5000000</v>
      </c>
      <c r="AG26" s="1">
        <v>11</v>
      </c>
      <c r="AR26" s="1" t="s">
        <v>222</v>
      </c>
      <c r="BQ26" s="1" t="s">
        <v>1594</v>
      </c>
      <c r="BR26" s="1" t="s">
        <v>1595</v>
      </c>
      <c r="BS26" s="1" t="s">
        <v>1596</v>
      </c>
      <c r="BT26" s="1" t="s">
        <v>73</v>
      </c>
      <c r="BU26" s="1">
        <v>2</v>
      </c>
      <c r="BV26" s="1">
        <v>2</v>
      </c>
      <c r="BW26" s="1">
        <v>0</v>
      </c>
      <c r="BX26" s="1">
        <v>0</v>
      </c>
      <c r="BY26" s="1">
        <v>0</v>
      </c>
      <c r="BZ26" s="1">
        <v>0</v>
      </c>
      <c r="CA26" s="1">
        <v>0</v>
      </c>
      <c r="CB26" s="1">
        <v>0</v>
      </c>
      <c r="CC26" s="1">
        <v>1</v>
      </c>
      <c r="CD26" s="1">
        <v>1</v>
      </c>
      <c r="CE26" s="1">
        <v>0</v>
      </c>
      <c r="CF26" s="1">
        <v>0</v>
      </c>
      <c r="CG26" s="1">
        <v>0</v>
      </c>
      <c r="CH26" s="1">
        <v>1</v>
      </c>
      <c r="CI26" s="1">
        <v>0</v>
      </c>
      <c r="CJ26" s="1">
        <v>4</v>
      </c>
      <c r="CK26" s="1">
        <v>4</v>
      </c>
      <c r="CL26" s="1">
        <v>4</v>
      </c>
      <c r="CM26" s="1">
        <v>4</v>
      </c>
      <c r="CN26" s="1">
        <v>4</v>
      </c>
      <c r="CO26" s="1">
        <v>4</v>
      </c>
      <c r="CP26" s="1">
        <v>4</v>
      </c>
      <c r="CU26" s="1">
        <v>4</v>
      </c>
    </row>
    <row r="27" spans="1:99" x14ac:dyDescent="0.35">
      <c r="A27" s="1" t="s">
        <v>1597</v>
      </c>
      <c r="B27" s="1">
        <v>171424029</v>
      </c>
      <c r="C27" s="1">
        <v>0</v>
      </c>
      <c r="D27" s="1">
        <v>1</v>
      </c>
      <c r="E27" s="1">
        <v>0</v>
      </c>
      <c r="F27" s="1">
        <v>0</v>
      </c>
      <c r="G27" s="1">
        <v>0</v>
      </c>
      <c r="H27" s="1">
        <v>0</v>
      </c>
      <c r="I27" s="1">
        <v>0</v>
      </c>
      <c r="J27" s="1">
        <v>0</v>
      </c>
      <c r="K27" s="1">
        <v>1</v>
      </c>
      <c r="L27" s="1">
        <v>0</v>
      </c>
      <c r="M27" s="1">
        <v>0</v>
      </c>
      <c r="N27" s="1">
        <v>0</v>
      </c>
      <c r="O27" s="1">
        <v>0</v>
      </c>
      <c r="P27" s="1" t="s">
        <v>545</v>
      </c>
      <c r="Q27" s="4">
        <v>46300</v>
      </c>
      <c r="R27" s="1">
        <v>1</v>
      </c>
      <c r="S27" s="1">
        <v>4</v>
      </c>
      <c r="T27" s="1">
        <v>1</v>
      </c>
      <c r="U27" s="1">
        <v>3</v>
      </c>
      <c r="V27" s="1">
        <v>3</v>
      </c>
      <c r="W27" s="1">
        <v>2</v>
      </c>
      <c r="X27" s="1">
        <v>3</v>
      </c>
      <c r="Y27" s="1">
        <v>3</v>
      </c>
      <c r="Z27" s="1">
        <v>3</v>
      </c>
      <c r="AA27" s="1">
        <v>2</v>
      </c>
      <c r="CQ27" s="1">
        <v>1</v>
      </c>
      <c r="CR27" s="1" t="s">
        <v>328</v>
      </c>
      <c r="CS27" s="1" t="s">
        <v>1598</v>
      </c>
      <c r="CT27" s="5">
        <v>44781</v>
      </c>
      <c r="CU27" s="1">
        <v>1</v>
      </c>
    </row>
    <row r="28" spans="1:99" x14ac:dyDescent="0.35">
      <c r="A28" s="1" t="s">
        <v>1599</v>
      </c>
      <c r="B28" s="1">
        <v>171424030</v>
      </c>
      <c r="C28" s="1">
        <v>0</v>
      </c>
      <c r="D28" s="1">
        <v>1</v>
      </c>
      <c r="E28" s="1">
        <v>0</v>
      </c>
      <c r="F28" s="1">
        <v>0</v>
      </c>
      <c r="G28" s="1">
        <v>0</v>
      </c>
      <c r="H28" s="1">
        <v>1</v>
      </c>
      <c r="I28" s="1">
        <v>0</v>
      </c>
      <c r="J28" s="1">
        <v>0</v>
      </c>
      <c r="K28" s="1">
        <v>0</v>
      </c>
      <c r="L28" s="1">
        <v>0</v>
      </c>
      <c r="M28" s="1">
        <v>0</v>
      </c>
      <c r="N28" s="1">
        <v>0</v>
      </c>
      <c r="O28" s="1">
        <v>0</v>
      </c>
      <c r="P28" s="1">
        <v>40</v>
      </c>
      <c r="Q28" s="1">
        <v>2</v>
      </c>
      <c r="R28" s="1">
        <v>2</v>
      </c>
      <c r="S28" s="1">
        <v>1</v>
      </c>
      <c r="T28" s="1">
        <v>1</v>
      </c>
      <c r="U28" s="1">
        <v>4</v>
      </c>
      <c r="V28" s="1">
        <v>3</v>
      </c>
      <c r="W28" s="1">
        <v>4</v>
      </c>
      <c r="X28" s="1">
        <v>3</v>
      </c>
      <c r="Y28" s="1">
        <v>4</v>
      </c>
      <c r="Z28" s="1">
        <v>4</v>
      </c>
      <c r="AA28" s="1">
        <v>4</v>
      </c>
      <c r="AC28" s="1">
        <v>2</v>
      </c>
      <c r="AE28" s="1">
        <v>5</v>
      </c>
      <c r="AF28" s="3">
        <v>6000000</v>
      </c>
      <c r="AG28" s="1">
        <v>13</v>
      </c>
      <c r="AT28" s="1" t="s">
        <v>83</v>
      </c>
      <c r="BP28" s="1">
        <v>3</v>
      </c>
      <c r="BQ28" s="1" t="s">
        <v>1600</v>
      </c>
      <c r="BR28" s="1" t="s">
        <v>1601</v>
      </c>
      <c r="BT28" s="1" t="s">
        <v>73</v>
      </c>
      <c r="BU28" s="1">
        <v>4</v>
      </c>
      <c r="BV28" s="1">
        <v>2</v>
      </c>
      <c r="BW28" s="1">
        <v>1</v>
      </c>
      <c r="BX28" s="1">
        <v>0</v>
      </c>
      <c r="BY28" s="1">
        <v>0</v>
      </c>
      <c r="BZ28" s="1">
        <v>0</v>
      </c>
      <c r="CA28" s="1">
        <v>0</v>
      </c>
      <c r="CB28" s="1">
        <v>0</v>
      </c>
      <c r="CC28" s="1">
        <v>0</v>
      </c>
      <c r="CD28" s="1">
        <v>0</v>
      </c>
      <c r="CE28" s="1">
        <v>0</v>
      </c>
      <c r="CF28" s="1">
        <v>0</v>
      </c>
      <c r="CG28" s="1">
        <v>0</v>
      </c>
      <c r="CH28" s="1">
        <v>0</v>
      </c>
      <c r="CI28" s="1">
        <v>0</v>
      </c>
      <c r="CJ28" s="1">
        <v>4</v>
      </c>
      <c r="CK28" s="1">
        <v>2</v>
      </c>
      <c r="CL28" s="1">
        <v>4</v>
      </c>
      <c r="CM28" s="1">
        <v>2</v>
      </c>
      <c r="CN28" s="1">
        <v>4</v>
      </c>
      <c r="CO28" s="1">
        <v>4</v>
      </c>
      <c r="CP28" s="1">
        <v>4</v>
      </c>
      <c r="CU28" s="1">
        <v>1</v>
      </c>
    </row>
    <row r="29" spans="1:99" x14ac:dyDescent="0.35">
      <c r="A29" s="1" t="s">
        <v>1602</v>
      </c>
      <c r="B29" s="1">
        <v>171424031</v>
      </c>
      <c r="C29" s="1">
        <v>0</v>
      </c>
      <c r="D29" s="1">
        <v>1</v>
      </c>
      <c r="E29" s="1">
        <v>0</v>
      </c>
      <c r="F29" s="1">
        <v>0</v>
      </c>
      <c r="G29" s="1">
        <v>0</v>
      </c>
      <c r="H29" s="1">
        <v>1</v>
      </c>
      <c r="I29" s="1">
        <v>0</v>
      </c>
      <c r="J29" s="1">
        <v>0</v>
      </c>
      <c r="K29" s="1">
        <v>1</v>
      </c>
      <c r="L29" s="1">
        <v>1</v>
      </c>
      <c r="M29" s="1">
        <v>0</v>
      </c>
      <c r="N29" s="1">
        <v>0</v>
      </c>
      <c r="O29" s="1">
        <v>0</v>
      </c>
      <c r="P29" s="1">
        <v>21</v>
      </c>
      <c r="Q29" s="1">
        <v>14</v>
      </c>
      <c r="R29" s="1">
        <v>7</v>
      </c>
      <c r="S29" s="1">
        <v>5</v>
      </c>
      <c r="T29" s="1">
        <v>1</v>
      </c>
      <c r="U29" s="1">
        <v>3</v>
      </c>
      <c r="V29" s="1">
        <v>3</v>
      </c>
      <c r="W29" s="1">
        <v>4</v>
      </c>
      <c r="X29" s="1">
        <v>3</v>
      </c>
      <c r="Y29" s="1">
        <v>4</v>
      </c>
      <c r="Z29" s="1">
        <v>4</v>
      </c>
      <c r="AA29" s="1">
        <v>4</v>
      </c>
      <c r="CU29" s="1">
        <v>4</v>
      </c>
    </row>
    <row r="30" spans="1:99" x14ac:dyDescent="0.35">
      <c r="A30" s="1" t="s">
        <v>1603</v>
      </c>
      <c r="B30" s="1">
        <v>171424032</v>
      </c>
      <c r="C30" s="1">
        <v>0</v>
      </c>
      <c r="D30" s="1">
        <v>1</v>
      </c>
      <c r="E30" s="1">
        <v>1</v>
      </c>
      <c r="F30" s="1">
        <v>0</v>
      </c>
      <c r="G30" s="1">
        <v>0</v>
      </c>
      <c r="H30" s="1">
        <v>0</v>
      </c>
      <c r="I30" s="1">
        <v>0</v>
      </c>
      <c r="J30" s="1">
        <v>0</v>
      </c>
      <c r="K30" s="1">
        <v>1</v>
      </c>
      <c r="L30" s="1">
        <v>0</v>
      </c>
      <c r="M30" s="1">
        <v>0</v>
      </c>
      <c r="N30" s="1">
        <v>0</v>
      </c>
      <c r="O30" s="1">
        <v>0</v>
      </c>
      <c r="P30" s="1">
        <v>30</v>
      </c>
      <c r="Q30" s="1">
        <v>15</v>
      </c>
      <c r="R30" s="1">
        <v>10</v>
      </c>
      <c r="S30" s="1">
        <v>5</v>
      </c>
      <c r="T30" s="1">
        <v>1</v>
      </c>
      <c r="U30" s="1">
        <v>4</v>
      </c>
      <c r="V30" s="1">
        <v>2</v>
      </c>
      <c r="W30" s="1">
        <v>3</v>
      </c>
      <c r="X30" s="1">
        <v>3</v>
      </c>
      <c r="Y30" s="1">
        <v>3</v>
      </c>
      <c r="Z30" s="1">
        <v>3</v>
      </c>
      <c r="AA30" s="1">
        <v>3</v>
      </c>
      <c r="CU30" s="1">
        <v>4</v>
      </c>
    </row>
    <row r="31" spans="1:99" x14ac:dyDescent="0.35">
      <c r="A31" s="1" t="s">
        <v>4316</v>
      </c>
      <c r="B31" s="1">
        <v>191427010</v>
      </c>
    </row>
    <row r="32" spans="1:99" x14ac:dyDescent="0.35">
      <c r="A32" s="1" t="s">
        <v>4317</v>
      </c>
      <c r="B32" s="1">
        <v>191427011</v>
      </c>
    </row>
    <row r="33" spans="1:2" x14ac:dyDescent="0.35">
      <c r="A33" s="1" t="s">
        <v>4318</v>
      </c>
      <c r="B33" s="1">
        <v>191427014</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75B805-12D6-4FFF-9BBE-DB6B54EC026B}">
  <dimension ref="A1:CU29"/>
  <sheetViews>
    <sheetView zoomScale="40" zoomScaleNormal="40" workbookViewId="0">
      <pane ySplit="1" topLeftCell="A2" activePane="bottomLeft" state="frozen"/>
      <selection pane="bottomLeft" activeCell="T1" sqref="T1"/>
    </sheetView>
  </sheetViews>
  <sheetFormatPr defaultColWidth="8.90625" defaultRowHeight="14.5" x14ac:dyDescent="0.35"/>
  <cols>
    <col min="1" max="1" width="42.81640625" style="1" bestFit="1" customWidth="1"/>
    <col min="2" max="2" width="11.7265625" style="1" bestFit="1" customWidth="1"/>
    <col min="3" max="9" width="76" style="1" bestFit="1" customWidth="1"/>
    <col min="10" max="10" width="76.7265625" style="1" bestFit="1" customWidth="1"/>
    <col min="11" max="11" width="76.26953125" style="1" bestFit="1" customWidth="1"/>
    <col min="12" max="14" width="76.7265625" style="1" bestFit="1" customWidth="1"/>
    <col min="15" max="15" width="80.08984375" style="1" bestFit="1" customWidth="1"/>
    <col min="16" max="16" width="129.453125" style="1" bestFit="1" customWidth="1"/>
    <col min="17" max="17" width="76" style="1" bestFit="1" customWidth="1"/>
    <col min="18" max="18" width="86.26953125" style="1" bestFit="1" customWidth="1"/>
    <col min="19" max="19" width="30.81640625" style="1" bestFit="1" customWidth="1"/>
    <col min="20" max="20" width="49" style="1" bestFit="1" customWidth="1"/>
    <col min="21" max="21" width="80.36328125" style="1" bestFit="1" customWidth="1"/>
    <col min="22" max="22" width="107.81640625" style="1" bestFit="1" customWidth="1"/>
    <col min="23" max="23" width="89.90625" style="1" bestFit="1" customWidth="1"/>
    <col min="24" max="24" width="108.08984375" style="1" bestFit="1" customWidth="1"/>
    <col min="25" max="25" width="87.1796875" style="1" bestFit="1" customWidth="1"/>
    <col min="26" max="26" width="89.90625" style="1" bestFit="1" customWidth="1"/>
    <col min="27" max="27" width="94.6328125" style="1" bestFit="1" customWidth="1"/>
    <col min="28" max="28" width="50.36328125" style="1" bestFit="1" customWidth="1"/>
    <col min="29" max="29" width="86.90625" style="1" bestFit="1" customWidth="1"/>
    <col min="30" max="30" width="51" style="1" bestFit="1" customWidth="1"/>
    <col min="31" max="31" width="59.1796875" style="1" bestFit="1" customWidth="1"/>
    <col min="32" max="32" width="142.81640625" style="1" bestFit="1" customWidth="1"/>
    <col min="33" max="33" width="47.1796875" style="1" bestFit="1" customWidth="1"/>
    <col min="34" max="35" width="54.90625" style="1" bestFit="1" customWidth="1"/>
    <col min="36" max="37" width="55.36328125" style="1" bestFit="1" customWidth="1"/>
    <col min="38" max="38" width="54.90625" style="1" bestFit="1" customWidth="1"/>
    <col min="39" max="52" width="55.36328125" style="1" bestFit="1" customWidth="1"/>
    <col min="53" max="55" width="54.90625" style="1" bestFit="1" customWidth="1"/>
    <col min="56" max="64" width="55.36328125" style="1" bestFit="1" customWidth="1"/>
    <col min="65" max="67" width="54.90625" style="1" bestFit="1" customWidth="1"/>
    <col min="68" max="68" width="69.6328125" style="1" bestFit="1" customWidth="1"/>
    <col min="69" max="69" width="51.90625" style="1" bestFit="1" customWidth="1"/>
    <col min="70" max="71" width="54.6328125" style="1" bestFit="1" customWidth="1"/>
    <col min="72" max="72" width="67.1796875" style="1" bestFit="1" customWidth="1"/>
    <col min="73" max="73" width="255.6328125" style="1" bestFit="1" customWidth="1"/>
    <col min="74" max="74" width="76.90625" style="1" bestFit="1" customWidth="1"/>
    <col min="75" max="75" width="138.08984375" style="1" bestFit="1" customWidth="1"/>
    <col min="76" max="83" width="138.54296875" style="1" bestFit="1" customWidth="1"/>
    <col min="84" max="84" width="139.453125" style="1" bestFit="1" customWidth="1"/>
    <col min="85" max="85" width="138.7265625" style="1" bestFit="1" customWidth="1"/>
    <col min="86" max="86" width="139.453125" style="1" bestFit="1" customWidth="1"/>
    <col min="87" max="87" width="142.6328125" style="1" bestFit="1" customWidth="1"/>
    <col min="88" max="88" width="90.54296875" style="1" bestFit="1" customWidth="1"/>
    <col min="89" max="89" width="118.08984375" style="1" bestFit="1" customWidth="1"/>
    <col min="90" max="90" width="100.08984375" style="1" bestFit="1" customWidth="1"/>
    <col min="91" max="91" width="118.26953125" style="1" bestFit="1" customWidth="1"/>
    <col min="92" max="92" width="97.36328125" style="1" bestFit="1" customWidth="1"/>
    <col min="93" max="93" width="100.08984375" style="1" bestFit="1" customWidth="1"/>
    <col min="94" max="94" width="104.90625" style="1" bestFit="1" customWidth="1"/>
    <col min="95" max="95" width="47.6328125" style="1" bestFit="1" customWidth="1"/>
    <col min="96" max="96" width="64.453125" style="1" bestFit="1" customWidth="1"/>
    <col min="97" max="97" width="29.6328125" style="1" bestFit="1" customWidth="1"/>
    <col min="98" max="98" width="30.54296875" style="1" bestFit="1" customWidth="1"/>
    <col min="99" max="99" width="62.1796875" style="1" bestFit="1" customWidth="1"/>
    <col min="100" max="16384" width="8.90625" style="1"/>
  </cols>
  <sheetData>
    <row r="1" spans="1:99" s="6" customFormat="1" x14ac:dyDescent="0.35">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6" t="s">
        <v>15</v>
      </c>
      <c r="Q1" s="6" t="s">
        <v>16</v>
      </c>
      <c r="R1" s="6" t="s">
        <v>17</v>
      </c>
      <c r="S1" s="6" t="s">
        <v>18</v>
      </c>
      <c r="T1" s="6" t="s">
        <v>19</v>
      </c>
      <c r="U1" s="6" t="s">
        <v>20</v>
      </c>
      <c r="V1" s="6" t="s">
        <v>21</v>
      </c>
      <c r="W1" s="6" t="s">
        <v>22</v>
      </c>
      <c r="X1" s="6" t="s">
        <v>23</v>
      </c>
      <c r="Y1" s="6" t="s">
        <v>24</v>
      </c>
      <c r="Z1" s="6" t="s">
        <v>25</v>
      </c>
      <c r="AA1" s="6" t="s">
        <v>26</v>
      </c>
      <c r="AB1" s="6" t="s">
        <v>27</v>
      </c>
      <c r="AC1" s="6" t="s">
        <v>28</v>
      </c>
      <c r="AD1" s="6" t="s">
        <v>29</v>
      </c>
      <c r="AE1" s="6" t="s">
        <v>30</v>
      </c>
      <c r="AF1" s="6" t="s">
        <v>31</v>
      </c>
      <c r="AG1" s="6" t="s">
        <v>32</v>
      </c>
      <c r="AH1" s="6" t="s">
        <v>33</v>
      </c>
      <c r="AI1" s="6" t="s">
        <v>33</v>
      </c>
      <c r="AJ1" s="6" t="s">
        <v>34</v>
      </c>
      <c r="AK1" s="6" t="s">
        <v>34</v>
      </c>
      <c r="AL1" s="6" t="s">
        <v>33</v>
      </c>
      <c r="AM1" s="6" t="s">
        <v>34</v>
      </c>
      <c r="AN1" s="6" t="s">
        <v>34</v>
      </c>
      <c r="AO1" s="6" t="s">
        <v>34</v>
      </c>
      <c r="AP1" s="6" t="s">
        <v>34</v>
      </c>
      <c r="AQ1" s="6" t="s">
        <v>34</v>
      </c>
      <c r="AR1" s="6" t="s">
        <v>34</v>
      </c>
      <c r="AS1" s="6" t="s">
        <v>34</v>
      </c>
      <c r="AT1" s="6" t="s">
        <v>34</v>
      </c>
      <c r="AU1" s="6" t="s">
        <v>34</v>
      </c>
      <c r="AV1" s="6" t="s">
        <v>34</v>
      </c>
      <c r="AW1" s="6" t="s">
        <v>34</v>
      </c>
      <c r="AX1" s="6" t="s">
        <v>34</v>
      </c>
      <c r="AY1" s="6" t="s">
        <v>34</v>
      </c>
      <c r="AZ1" s="6" t="s">
        <v>34</v>
      </c>
      <c r="BA1" s="6" t="s">
        <v>33</v>
      </c>
      <c r="BB1" s="6" t="s">
        <v>33</v>
      </c>
      <c r="BC1" s="6" t="s">
        <v>33</v>
      </c>
      <c r="BD1" s="6" t="s">
        <v>34</v>
      </c>
      <c r="BE1" s="6" t="s">
        <v>34</v>
      </c>
      <c r="BF1" s="6" t="s">
        <v>34</v>
      </c>
      <c r="BG1" s="6" t="s">
        <v>34</v>
      </c>
      <c r="BH1" s="6" t="s">
        <v>34</v>
      </c>
      <c r="BI1" s="6" t="s">
        <v>34</v>
      </c>
      <c r="BJ1" s="6" t="s">
        <v>34</v>
      </c>
      <c r="BK1" s="6" t="s">
        <v>34</v>
      </c>
      <c r="BL1" s="6" t="s">
        <v>34</v>
      </c>
      <c r="BM1" s="6" t="s">
        <v>33</v>
      </c>
      <c r="BN1" s="6" t="s">
        <v>33</v>
      </c>
      <c r="BO1" s="6" t="s">
        <v>33</v>
      </c>
      <c r="BP1" s="6" t="s">
        <v>35</v>
      </c>
      <c r="BQ1" s="6" t="s">
        <v>36</v>
      </c>
      <c r="BR1" s="6" t="s">
        <v>37</v>
      </c>
      <c r="BS1" s="6" t="s">
        <v>38</v>
      </c>
      <c r="BT1" s="6" t="s">
        <v>39</v>
      </c>
      <c r="BU1" s="6" t="s">
        <v>40</v>
      </c>
      <c r="BV1" s="6" t="s">
        <v>41</v>
      </c>
      <c r="BW1" s="6" t="s">
        <v>42</v>
      </c>
      <c r="BX1" s="6" t="s">
        <v>43</v>
      </c>
      <c r="BY1" s="6" t="s">
        <v>44</v>
      </c>
      <c r="BZ1" s="6" t="s">
        <v>45</v>
      </c>
      <c r="CA1" s="6" t="s">
        <v>46</v>
      </c>
      <c r="CB1" s="6" t="s">
        <v>47</v>
      </c>
      <c r="CC1" s="6" t="s">
        <v>48</v>
      </c>
      <c r="CD1" s="6" t="s">
        <v>49</v>
      </c>
      <c r="CE1" s="6" t="s">
        <v>50</v>
      </c>
      <c r="CF1" s="6" t="s">
        <v>51</v>
      </c>
      <c r="CG1" s="6" t="s">
        <v>52</v>
      </c>
      <c r="CH1" s="6" t="s">
        <v>53</v>
      </c>
      <c r="CI1" s="6" t="s">
        <v>54</v>
      </c>
      <c r="CJ1" s="6" t="s">
        <v>55</v>
      </c>
      <c r="CK1" s="6" t="s">
        <v>56</v>
      </c>
      <c r="CL1" s="6" t="s">
        <v>57</v>
      </c>
      <c r="CM1" s="6" t="s">
        <v>58</v>
      </c>
      <c r="CN1" s="6" t="s">
        <v>59</v>
      </c>
      <c r="CO1" s="6" t="s">
        <v>60</v>
      </c>
      <c r="CP1" s="6" t="s">
        <v>61</v>
      </c>
      <c r="CQ1" s="6" t="s">
        <v>62</v>
      </c>
      <c r="CR1" s="6" t="s">
        <v>63</v>
      </c>
      <c r="CS1" s="6" t="s">
        <v>64</v>
      </c>
      <c r="CT1" s="6" t="s">
        <v>65</v>
      </c>
      <c r="CU1" s="6" t="s">
        <v>66</v>
      </c>
    </row>
    <row r="2" spans="1:99" x14ac:dyDescent="0.35">
      <c r="A2" s="1" t="s">
        <v>1604</v>
      </c>
      <c r="B2" s="1">
        <v>161734011</v>
      </c>
      <c r="C2" s="1">
        <v>0</v>
      </c>
      <c r="D2" s="1">
        <v>1</v>
      </c>
      <c r="E2" s="1">
        <v>0</v>
      </c>
      <c r="F2" s="1">
        <v>0</v>
      </c>
      <c r="G2" s="1">
        <v>0</v>
      </c>
      <c r="H2" s="1">
        <v>0</v>
      </c>
      <c r="I2" s="1">
        <v>0</v>
      </c>
      <c r="J2" s="1">
        <v>0</v>
      </c>
      <c r="K2" s="1">
        <v>0</v>
      </c>
      <c r="L2" s="1">
        <v>0</v>
      </c>
      <c r="M2" s="1">
        <v>0</v>
      </c>
      <c r="N2" s="1">
        <v>0</v>
      </c>
      <c r="O2" s="1">
        <v>0</v>
      </c>
    </row>
    <row r="3" spans="1:99" x14ac:dyDescent="0.35">
      <c r="A3" s="1" t="s">
        <v>1605</v>
      </c>
      <c r="B3" s="1">
        <v>171734002</v>
      </c>
      <c r="C3" s="1">
        <v>0</v>
      </c>
      <c r="D3" s="1">
        <v>1</v>
      </c>
      <c r="E3" s="1">
        <v>0</v>
      </c>
      <c r="F3" s="1">
        <v>0</v>
      </c>
      <c r="G3" s="1">
        <v>1</v>
      </c>
      <c r="H3" s="1">
        <v>0</v>
      </c>
      <c r="I3" s="1">
        <v>0</v>
      </c>
      <c r="J3" s="1">
        <v>0</v>
      </c>
      <c r="K3" s="1">
        <v>1</v>
      </c>
      <c r="L3" s="1">
        <v>0</v>
      </c>
      <c r="M3" s="1">
        <v>0</v>
      </c>
      <c r="N3" s="1">
        <v>0</v>
      </c>
      <c r="O3" s="1">
        <v>0</v>
      </c>
      <c r="P3" s="1">
        <v>5</v>
      </c>
      <c r="Q3" s="1">
        <v>0</v>
      </c>
      <c r="R3" s="1">
        <v>0</v>
      </c>
      <c r="S3" s="1">
        <v>1</v>
      </c>
      <c r="T3" s="1">
        <v>1</v>
      </c>
      <c r="U3" s="1">
        <v>4</v>
      </c>
      <c r="V3" s="1">
        <v>3</v>
      </c>
      <c r="W3" s="1">
        <v>4</v>
      </c>
      <c r="X3" s="1">
        <v>4</v>
      </c>
      <c r="Y3" s="1">
        <v>4</v>
      </c>
      <c r="Z3" s="1">
        <v>3</v>
      </c>
      <c r="AA3" s="1">
        <v>3</v>
      </c>
      <c r="AC3" s="1">
        <v>1</v>
      </c>
      <c r="AD3" s="1">
        <v>3</v>
      </c>
      <c r="AF3" s="3">
        <v>3500000</v>
      </c>
      <c r="AG3" s="1">
        <v>13</v>
      </c>
      <c r="AT3" s="1" t="s">
        <v>86</v>
      </c>
      <c r="BP3" s="1">
        <v>3</v>
      </c>
      <c r="BQ3" s="1" t="s">
        <v>1606</v>
      </c>
      <c r="BR3" s="1" t="s">
        <v>1607</v>
      </c>
      <c r="BS3" s="1" t="s">
        <v>1608</v>
      </c>
      <c r="BT3" s="1" t="s">
        <v>79</v>
      </c>
      <c r="BU3" s="1">
        <v>4</v>
      </c>
      <c r="BV3" s="1">
        <v>3</v>
      </c>
      <c r="BW3" s="1">
        <v>0</v>
      </c>
      <c r="BX3" s="1">
        <v>1</v>
      </c>
      <c r="BY3" s="1">
        <v>1</v>
      </c>
      <c r="BZ3" s="1">
        <v>0</v>
      </c>
      <c r="CA3" s="1">
        <v>0</v>
      </c>
      <c r="CB3" s="1">
        <v>0</v>
      </c>
      <c r="CC3" s="1">
        <v>0</v>
      </c>
      <c r="CD3" s="1">
        <v>1</v>
      </c>
      <c r="CE3" s="1">
        <v>1</v>
      </c>
      <c r="CF3" s="1">
        <v>1</v>
      </c>
      <c r="CG3" s="1">
        <v>0</v>
      </c>
      <c r="CH3" s="1">
        <v>0</v>
      </c>
      <c r="CI3" s="1">
        <v>0</v>
      </c>
      <c r="CJ3" s="1">
        <v>4</v>
      </c>
      <c r="CK3" s="1">
        <v>3</v>
      </c>
      <c r="CL3" s="1">
        <v>2</v>
      </c>
      <c r="CM3" s="1">
        <v>3</v>
      </c>
      <c r="CN3" s="1">
        <v>4</v>
      </c>
      <c r="CO3" s="1">
        <v>4</v>
      </c>
      <c r="CP3" s="1">
        <v>4</v>
      </c>
      <c r="CU3" s="1">
        <v>1</v>
      </c>
    </row>
    <row r="4" spans="1:99" x14ac:dyDescent="0.35">
      <c r="A4" s="1" t="s">
        <v>1609</v>
      </c>
      <c r="B4" s="1">
        <v>171734004</v>
      </c>
      <c r="C4" s="1">
        <v>0</v>
      </c>
      <c r="D4" s="1">
        <v>1</v>
      </c>
      <c r="E4" s="1">
        <v>0</v>
      </c>
      <c r="F4" s="1">
        <v>0</v>
      </c>
      <c r="G4" s="1">
        <v>0</v>
      </c>
      <c r="H4" s="1">
        <v>0</v>
      </c>
      <c r="I4" s="1">
        <v>0</v>
      </c>
      <c r="J4" s="1">
        <v>0</v>
      </c>
      <c r="K4" s="1">
        <v>0</v>
      </c>
      <c r="L4" s="1">
        <v>0</v>
      </c>
      <c r="M4" s="1">
        <v>0</v>
      </c>
      <c r="N4" s="1">
        <v>0</v>
      </c>
      <c r="O4" s="1">
        <v>0</v>
      </c>
      <c r="P4" s="1">
        <v>10</v>
      </c>
      <c r="Q4" s="1">
        <v>2</v>
      </c>
      <c r="R4" s="1">
        <v>1</v>
      </c>
    </row>
    <row r="5" spans="1:99" x14ac:dyDescent="0.35">
      <c r="A5" s="1" t="s">
        <v>1610</v>
      </c>
      <c r="B5" s="1">
        <v>171734010</v>
      </c>
      <c r="C5" s="1">
        <v>0</v>
      </c>
      <c r="D5" s="1">
        <v>1</v>
      </c>
      <c r="E5" s="1">
        <v>0</v>
      </c>
      <c r="F5" s="1">
        <v>0</v>
      </c>
      <c r="G5" s="1">
        <v>0</v>
      </c>
      <c r="H5" s="1">
        <v>0</v>
      </c>
      <c r="I5" s="1">
        <v>0</v>
      </c>
      <c r="J5" s="1">
        <v>1</v>
      </c>
      <c r="K5" s="1">
        <v>1</v>
      </c>
      <c r="L5" s="1">
        <v>0</v>
      </c>
      <c r="M5" s="1">
        <v>0</v>
      </c>
      <c r="N5" s="1">
        <v>0</v>
      </c>
      <c r="O5" s="1">
        <v>0</v>
      </c>
      <c r="P5" s="1">
        <v>20</v>
      </c>
      <c r="Q5" s="1">
        <v>5</v>
      </c>
      <c r="R5" s="1">
        <v>3</v>
      </c>
      <c r="S5" s="1">
        <v>1</v>
      </c>
      <c r="T5" s="1">
        <v>3</v>
      </c>
      <c r="U5" s="1">
        <v>4</v>
      </c>
      <c r="V5" s="1">
        <v>3</v>
      </c>
      <c r="W5" s="1">
        <v>2</v>
      </c>
      <c r="X5" s="1">
        <v>3</v>
      </c>
      <c r="Y5" s="1">
        <v>4</v>
      </c>
      <c r="Z5" s="1">
        <v>4</v>
      </c>
      <c r="AA5" s="1">
        <v>3</v>
      </c>
      <c r="AC5" s="1">
        <v>2</v>
      </c>
      <c r="AE5" s="1">
        <v>1</v>
      </c>
      <c r="AF5" s="3">
        <v>6500000</v>
      </c>
      <c r="AG5" s="1">
        <v>11</v>
      </c>
      <c r="AR5" s="1" t="s">
        <v>130</v>
      </c>
      <c r="BP5" s="1">
        <v>3</v>
      </c>
      <c r="BQ5" s="1" t="s">
        <v>1611</v>
      </c>
      <c r="BR5" s="1" t="s">
        <v>1612</v>
      </c>
      <c r="BS5" s="1" t="s">
        <v>1613</v>
      </c>
      <c r="BT5" s="1" t="s">
        <v>73</v>
      </c>
      <c r="BU5" s="1">
        <v>1</v>
      </c>
      <c r="BV5" s="1">
        <v>2</v>
      </c>
      <c r="BW5" s="1">
        <v>1</v>
      </c>
      <c r="BX5" s="1">
        <v>0</v>
      </c>
      <c r="BY5" s="1">
        <v>0</v>
      </c>
      <c r="BZ5" s="1">
        <v>0</v>
      </c>
      <c r="CA5" s="1">
        <v>0</v>
      </c>
      <c r="CB5" s="1">
        <v>0</v>
      </c>
      <c r="CC5" s="1">
        <v>0</v>
      </c>
      <c r="CD5" s="1">
        <v>0</v>
      </c>
      <c r="CE5" s="1">
        <v>0</v>
      </c>
      <c r="CF5" s="1">
        <v>0</v>
      </c>
      <c r="CG5" s="1">
        <v>0</v>
      </c>
      <c r="CH5" s="1">
        <v>0</v>
      </c>
      <c r="CI5" s="1">
        <v>0</v>
      </c>
      <c r="CJ5" s="1">
        <v>4</v>
      </c>
      <c r="CK5" s="1">
        <v>4</v>
      </c>
      <c r="CL5" s="1">
        <v>4</v>
      </c>
      <c r="CM5" s="1">
        <v>3</v>
      </c>
      <c r="CN5" s="1">
        <v>4</v>
      </c>
      <c r="CO5" s="1">
        <v>4</v>
      </c>
      <c r="CP5" s="1">
        <v>4</v>
      </c>
      <c r="CU5" s="1">
        <v>1</v>
      </c>
    </row>
    <row r="6" spans="1:99" x14ac:dyDescent="0.35">
      <c r="A6" s="1" t="s">
        <v>1614</v>
      </c>
      <c r="B6" s="1">
        <v>171734016</v>
      </c>
      <c r="C6" s="1">
        <v>0</v>
      </c>
      <c r="D6" s="1">
        <v>1</v>
      </c>
      <c r="E6" s="1">
        <v>0</v>
      </c>
      <c r="F6" s="1">
        <v>0</v>
      </c>
      <c r="G6" s="1">
        <v>0</v>
      </c>
      <c r="H6" s="1">
        <v>1</v>
      </c>
      <c r="I6" s="1">
        <v>0</v>
      </c>
      <c r="J6" s="1">
        <v>0</v>
      </c>
      <c r="K6" s="1">
        <v>1</v>
      </c>
      <c r="L6" s="1">
        <v>0</v>
      </c>
      <c r="M6" s="1">
        <v>0</v>
      </c>
      <c r="N6" s="1">
        <v>0</v>
      </c>
      <c r="O6" s="1">
        <v>0</v>
      </c>
      <c r="P6" s="1" t="s">
        <v>1615</v>
      </c>
      <c r="Q6" s="1" t="s">
        <v>1616</v>
      </c>
      <c r="R6" s="1" t="s">
        <v>360</v>
      </c>
      <c r="S6" s="1">
        <v>1</v>
      </c>
      <c r="T6" s="1">
        <v>1</v>
      </c>
      <c r="U6" s="1">
        <v>3</v>
      </c>
      <c r="V6" s="1">
        <v>2</v>
      </c>
      <c r="W6" s="1">
        <v>2</v>
      </c>
      <c r="X6" s="1">
        <v>2</v>
      </c>
      <c r="Y6" s="1">
        <v>3</v>
      </c>
      <c r="Z6" s="1">
        <v>3</v>
      </c>
      <c r="AA6" s="1">
        <v>3</v>
      </c>
      <c r="AC6" s="1">
        <v>2</v>
      </c>
      <c r="AE6" s="1">
        <v>3</v>
      </c>
      <c r="AF6" s="3">
        <v>5000000</v>
      </c>
      <c r="AG6" s="1">
        <v>13</v>
      </c>
      <c r="AT6" s="1" t="s">
        <v>402</v>
      </c>
      <c r="BP6" s="1">
        <v>4</v>
      </c>
      <c r="BQ6" s="1" t="s">
        <v>1617</v>
      </c>
      <c r="BR6" s="1" t="s">
        <v>1618</v>
      </c>
      <c r="BS6" s="1" t="s">
        <v>1619</v>
      </c>
      <c r="BT6" s="1" t="s">
        <v>79</v>
      </c>
      <c r="BU6" s="1">
        <v>3</v>
      </c>
      <c r="BV6" s="1">
        <v>3</v>
      </c>
      <c r="BW6" s="1">
        <v>0</v>
      </c>
      <c r="BX6" s="1">
        <v>1</v>
      </c>
      <c r="BY6" s="1">
        <v>0</v>
      </c>
      <c r="BZ6" s="1">
        <v>0</v>
      </c>
      <c r="CA6" s="1">
        <v>0</v>
      </c>
      <c r="CB6" s="1">
        <v>0</v>
      </c>
      <c r="CC6" s="1">
        <v>0</v>
      </c>
      <c r="CD6" s="1">
        <v>0</v>
      </c>
      <c r="CE6" s="1">
        <v>0</v>
      </c>
      <c r="CF6" s="1">
        <v>0</v>
      </c>
      <c r="CG6" s="1">
        <v>0</v>
      </c>
      <c r="CH6" s="1">
        <v>0</v>
      </c>
      <c r="CI6" s="1" t="s">
        <v>1620</v>
      </c>
      <c r="CJ6" s="1">
        <v>4</v>
      </c>
      <c r="CK6" s="1">
        <v>3</v>
      </c>
      <c r="CL6" s="1">
        <v>2</v>
      </c>
      <c r="CM6" s="1">
        <v>3</v>
      </c>
      <c r="CN6" s="1">
        <v>4</v>
      </c>
      <c r="CO6" s="1">
        <v>4</v>
      </c>
      <c r="CP6" s="1">
        <v>4</v>
      </c>
      <c r="CU6" s="1">
        <v>4</v>
      </c>
    </row>
    <row r="7" spans="1:99" x14ac:dyDescent="0.35">
      <c r="A7" s="1" t="s">
        <v>1621</v>
      </c>
      <c r="B7" s="1">
        <v>171734018</v>
      </c>
      <c r="C7" s="1">
        <v>1</v>
      </c>
      <c r="D7" s="1">
        <v>1</v>
      </c>
      <c r="E7" s="1">
        <v>0</v>
      </c>
      <c r="F7" s="1">
        <v>0</v>
      </c>
      <c r="G7" s="1">
        <v>0</v>
      </c>
      <c r="H7" s="1">
        <v>1</v>
      </c>
      <c r="I7" s="1">
        <v>1</v>
      </c>
      <c r="J7" s="1">
        <v>0</v>
      </c>
      <c r="K7" s="1">
        <v>1</v>
      </c>
      <c r="L7" s="1">
        <v>0</v>
      </c>
      <c r="M7" s="1">
        <v>0</v>
      </c>
      <c r="N7" s="1">
        <v>0</v>
      </c>
      <c r="O7" s="1">
        <v>0</v>
      </c>
      <c r="P7" s="1">
        <v>250</v>
      </c>
      <c r="Q7" s="1">
        <v>6</v>
      </c>
      <c r="R7" s="1">
        <v>3</v>
      </c>
      <c r="S7" s="1">
        <v>5</v>
      </c>
      <c r="T7" s="1">
        <v>1</v>
      </c>
      <c r="U7" s="1">
        <v>4</v>
      </c>
      <c r="V7" s="1">
        <v>3</v>
      </c>
      <c r="W7" s="1">
        <v>4</v>
      </c>
      <c r="X7" s="1">
        <v>3</v>
      </c>
      <c r="Y7" s="1">
        <v>3</v>
      </c>
      <c r="Z7" s="1">
        <v>4</v>
      </c>
      <c r="AA7" s="1">
        <v>3</v>
      </c>
      <c r="CU7" s="1">
        <v>4</v>
      </c>
    </row>
    <row r="8" spans="1:99" x14ac:dyDescent="0.35">
      <c r="A8" s="1" t="s">
        <v>1622</v>
      </c>
      <c r="B8" s="1">
        <v>171734019</v>
      </c>
      <c r="C8" s="1">
        <v>0</v>
      </c>
      <c r="D8" s="1">
        <v>1</v>
      </c>
      <c r="E8" s="1">
        <v>0</v>
      </c>
      <c r="F8" s="1">
        <v>0</v>
      </c>
      <c r="G8" s="1">
        <v>0</v>
      </c>
      <c r="H8" s="1">
        <v>0</v>
      </c>
      <c r="I8" s="1">
        <v>0</v>
      </c>
      <c r="J8" s="1">
        <v>1</v>
      </c>
      <c r="K8" s="1">
        <v>0</v>
      </c>
      <c r="L8" s="1">
        <v>0</v>
      </c>
      <c r="M8" s="1">
        <v>0</v>
      </c>
      <c r="N8" s="1">
        <v>0</v>
      </c>
      <c r="O8" s="1">
        <v>0</v>
      </c>
      <c r="P8" s="1">
        <v>2</v>
      </c>
      <c r="Q8" s="1">
        <v>2</v>
      </c>
      <c r="R8" s="1">
        <v>2</v>
      </c>
      <c r="S8" s="1">
        <v>1</v>
      </c>
      <c r="T8" s="1">
        <v>1</v>
      </c>
      <c r="U8" s="1">
        <v>3</v>
      </c>
      <c r="V8" s="1">
        <v>2</v>
      </c>
      <c r="W8" s="1">
        <v>3</v>
      </c>
      <c r="X8" s="1">
        <v>2</v>
      </c>
      <c r="Y8" s="1">
        <v>3</v>
      </c>
      <c r="Z8" s="1">
        <v>3</v>
      </c>
      <c r="AA8" s="1">
        <v>3</v>
      </c>
      <c r="AC8" s="1">
        <v>1</v>
      </c>
      <c r="AD8" s="1">
        <v>1</v>
      </c>
      <c r="AF8" s="3">
        <v>7000000</v>
      </c>
      <c r="AG8" s="1">
        <v>11</v>
      </c>
      <c r="AR8" s="1" t="s">
        <v>144</v>
      </c>
      <c r="BP8" s="1">
        <v>6</v>
      </c>
      <c r="BQ8" s="1" t="s">
        <v>1623</v>
      </c>
      <c r="BR8" s="1" t="s">
        <v>1624</v>
      </c>
      <c r="BS8" s="1" t="s">
        <v>1625</v>
      </c>
      <c r="BT8" s="1" t="s">
        <v>79</v>
      </c>
      <c r="BU8" s="1">
        <v>3</v>
      </c>
      <c r="BV8" s="1">
        <v>2</v>
      </c>
      <c r="BW8" s="1">
        <v>1</v>
      </c>
      <c r="BX8" s="1">
        <v>0</v>
      </c>
      <c r="BY8" s="1">
        <v>0</v>
      </c>
      <c r="BZ8" s="1">
        <v>0</v>
      </c>
      <c r="CA8" s="1">
        <v>0</v>
      </c>
      <c r="CB8" s="1">
        <v>0</v>
      </c>
      <c r="CC8" s="1">
        <v>0</v>
      </c>
      <c r="CD8" s="1">
        <v>0</v>
      </c>
      <c r="CE8" s="1">
        <v>0</v>
      </c>
      <c r="CF8" s="1">
        <v>0</v>
      </c>
      <c r="CG8" s="1">
        <v>0</v>
      </c>
      <c r="CH8" s="1">
        <v>0</v>
      </c>
      <c r="CI8" s="1">
        <v>0</v>
      </c>
      <c r="CJ8" s="1">
        <v>4</v>
      </c>
      <c r="CK8" s="1">
        <v>4</v>
      </c>
      <c r="CL8" s="1">
        <v>4</v>
      </c>
      <c r="CM8" s="1">
        <v>4</v>
      </c>
      <c r="CN8" s="1">
        <v>4</v>
      </c>
      <c r="CO8" s="1">
        <v>4</v>
      </c>
      <c r="CP8" s="1">
        <v>4</v>
      </c>
      <c r="CU8" s="1">
        <v>1</v>
      </c>
    </row>
    <row r="9" spans="1:99" x14ac:dyDescent="0.35">
      <c r="A9" s="1" t="s">
        <v>1626</v>
      </c>
      <c r="B9" s="1">
        <v>171734022</v>
      </c>
      <c r="C9" s="1">
        <v>0</v>
      </c>
      <c r="D9" s="1">
        <v>1</v>
      </c>
      <c r="E9" s="1">
        <v>0</v>
      </c>
      <c r="F9" s="1">
        <v>0</v>
      </c>
      <c r="G9" s="1">
        <v>0</v>
      </c>
      <c r="H9" s="1">
        <v>0</v>
      </c>
      <c r="I9" s="1">
        <v>0</v>
      </c>
      <c r="J9" s="1">
        <v>0</v>
      </c>
      <c r="K9" s="1">
        <v>1</v>
      </c>
      <c r="L9" s="1">
        <v>0</v>
      </c>
      <c r="M9" s="1">
        <v>0</v>
      </c>
      <c r="N9" s="1">
        <v>0</v>
      </c>
      <c r="O9" s="1">
        <v>0</v>
      </c>
      <c r="P9" s="1">
        <v>30</v>
      </c>
      <c r="Q9" s="1">
        <v>5</v>
      </c>
      <c r="R9" s="1">
        <v>5</v>
      </c>
      <c r="S9" s="1">
        <v>1</v>
      </c>
      <c r="T9" s="1">
        <v>1</v>
      </c>
      <c r="U9" s="1">
        <v>3</v>
      </c>
      <c r="V9" s="1">
        <v>3</v>
      </c>
      <c r="W9" s="1">
        <v>4</v>
      </c>
      <c r="X9" s="1">
        <v>4</v>
      </c>
      <c r="Y9" s="1">
        <v>4</v>
      </c>
      <c r="Z9" s="1">
        <v>4</v>
      </c>
      <c r="AA9" s="1">
        <v>4</v>
      </c>
      <c r="AC9" s="1">
        <v>2</v>
      </c>
      <c r="AE9" s="1">
        <v>9</v>
      </c>
      <c r="AF9" s="3">
        <v>5800000</v>
      </c>
      <c r="AG9" s="1">
        <v>13</v>
      </c>
      <c r="AT9" s="1" t="s">
        <v>750</v>
      </c>
      <c r="BP9" s="1">
        <v>3</v>
      </c>
      <c r="BQ9" s="1" t="s">
        <v>1627</v>
      </c>
      <c r="BR9" s="1" t="s">
        <v>1628</v>
      </c>
      <c r="BS9" s="1" t="s">
        <v>1629</v>
      </c>
      <c r="BT9" s="1" t="s">
        <v>73</v>
      </c>
      <c r="BU9" s="1">
        <v>3</v>
      </c>
      <c r="BV9" s="1">
        <v>2</v>
      </c>
      <c r="BW9" s="1">
        <v>0</v>
      </c>
      <c r="BX9" s="1">
        <v>1</v>
      </c>
      <c r="BY9" s="1">
        <v>0</v>
      </c>
      <c r="BZ9" s="1">
        <v>0</v>
      </c>
      <c r="CA9" s="1">
        <v>0</v>
      </c>
      <c r="CB9" s="1">
        <v>1</v>
      </c>
      <c r="CC9" s="1">
        <v>1</v>
      </c>
      <c r="CD9" s="1">
        <v>1</v>
      </c>
      <c r="CE9" s="1">
        <v>0</v>
      </c>
      <c r="CF9" s="1">
        <v>0</v>
      </c>
      <c r="CG9" s="1">
        <v>0</v>
      </c>
      <c r="CH9" s="1">
        <v>1</v>
      </c>
      <c r="CI9" s="1">
        <v>0</v>
      </c>
      <c r="CJ9" s="1">
        <v>4</v>
      </c>
      <c r="CK9" s="1">
        <v>3</v>
      </c>
      <c r="CL9" s="1">
        <v>4</v>
      </c>
      <c r="CM9" s="1">
        <v>4</v>
      </c>
      <c r="CN9" s="1">
        <v>4</v>
      </c>
      <c r="CO9" s="1">
        <v>4</v>
      </c>
      <c r="CP9" s="1">
        <v>4</v>
      </c>
      <c r="CU9" s="1">
        <v>1</v>
      </c>
    </row>
    <row r="10" spans="1:99" x14ac:dyDescent="0.35">
      <c r="A10" s="1" t="s">
        <v>1630</v>
      </c>
      <c r="B10" s="1">
        <v>171734024</v>
      </c>
      <c r="C10" s="1">
        <v>0</v>
      </c>
      <c r="D10" s="1">
        <v>1</v>
      </c>
      <c r="E10" s="1">
        <v>0</v>
      </c>
      <c r="F10" s="1">
        <v>0</v>
      </c>
      <c r="G10" s="1">
        <v>0</v>
      </c>
      <c r="H10" s="1">
        <v>0</v>
      </c>
      <c r="I10" s="1">
        <v>0</v>
      </c>
      <c r="J10" s="1">
        <v>0</v>
      </c>
      <c r="K10" s="1">
        <v>0</v>
      </c>
      <c r="L10" s="1">
        <v>0</v>
      </c>
      <c r="M10" s="1">
        <v>0</v>
      </c>
      <c r="N10" s="1">
        <v>0</v>
      </c>
      <c r="O10" s="1">
        <v>0</v>
      </c>
      <c r="P10" s="1" t="s">
        <v>1591</v>
      </c>
      <c r="Q10" s="1">
        <v>8</v>
      </c>
      <c r="R10" s="1">
        <v>3</v>
      </c>
      <c r="S10" s="1">
        <v>1</v>
      </c>
      <c r="T10" s="1">
        <v>1</v>
      </c>
      <c r="U10" s="1">
        <v>4</v>
      </c>
      <c r="V10" s="1">
        <v>4</v>
      </c>
      <c r="W10" s="1">
        <v>3</v>
      </c>
      <c r="X10" s="1">
        <v>4</v>
      </c>
      <c r="Y10" s="1">
        <v>4</v>
      </c>
      <c r="Z10" s="1">
        <v>4</v>
      </c>
      <c r="AA10" s="1">
        <v>3</v>
      </c>
      <c r="AC10" s="1">
        <v>2</v>
      </c>
      <c r="AE10" s="1">
        <v>5</v>
      </c>
      <c r="AF10" s="3">
        <v>4850000</v>
      </c>
      <c r="AG10" s="1">
        <v>12</v>
      </c>
      <c r="AS10" s="1" t="s">
        <v>69</v>
      </c>
      <c r="BP10" s="1">
        <v>3</v>
      </c>
      <c r="BQ10" s="1" t="s">
        <v>1631</v>
      </c>
      <c r="BR10" s="1" t="s">
        <v>1632</v>
      </c>
      <c r="BT10" s="1" t="s">
        <v>73</v>
      </c>
      <c r="BU10" s="1">
        <v>1</v>
      </c>
      <c r="BV10" s="1">
        <v>2</v>
      </c>
      <c r="BW10" s="1">
        <v>1</v>
      </c>
      <c r="BX10" s="1">
        <v>0</v>
      </c>
      <c r="BY10" s="1">
        <v>0</v>
      </c>
      <c r="BZ10" s="1">
        <v>0</v>
      </c>
      <c r="CA10" s="1">
        <v>0</v>
      </c>
      <c r="CB10" s="1">
        <v>0</v>
      </c>
      <c r="CC10" s="1">
        <v>0</v>
      </c>
      <c r="CD10" s="1">
        <v>0</v>
      </c>
      <c r="CE10" s="1">
        <v>0</v>
      </c>
      <c r="CF10" s="1">
        <v>0</v>
      </c>
      <c r="CG10" s="1">
        <v>0</v>
      </c>
      <c r="CH10" s="1">
        <v>0</v>
      </c>
      <c r="CI10" s="1">
        <v>0</v>
      </c>
      <c r="CJ10" s="1">
        <v>4</v>
      </c>
      <c r="CK10" s="1">
        <v>4</v>
      </c>
      <c r="CL10" s="1">
        <v>3</v>
      </c>
      <c r="CM10" s="1">
        <v>4</v>
      </c>
      <c r="CN10" s="1">
        <v>4</v>
      </c>
      <c r="CO10" s="1">
        <v>4</v>
      </c>
      <c r="CP10" s="1">
        <v>3</v>
      </c>
      <c r="CU10" s="1">
        <v>1</v>
      </c>
    </row>
    <row r="11" spans="1:99" x14ac:dyDescent="0.35">
      <c r="A11" s="1" t="s">
        <v>3674</v>
      </c>
      <c r="B11" s="1">
        <v>161734024</v>
      </c>
    </row>
    <row r="12" spans="1:99" x14ac:dyDescent="0.35">
      <c r="A12" s="1" t="s">
        <v>3675</v>
      </c>
      <c r="B12" s="1">
        <v>171734001</v>
      </c>
    </row>
    <row r="13" spans="1:99" x14ac:dyDescent="0.35">
      <c r="A13" s="1" t="s">
        <v>3676</v>
      </c>
      <c r="B13" s="1">
        <v>171734003</v>
      </c>
    </row>
    <row r="14" spans="1:99" x14ac:dyDescent="0.35">
      <c r="A14" s="1" t="s">
        <v>3677</v>
      </c>
      <c r="B14" s="1">
        <v>171734005</v>
      </c>
    </row>
    <row r="15" spans="1:99" x14ac:dyDescent="0.35">
      <c r="A15" s="1" t="s">
        <v>3678</v>
      </c>
      <c r="B15" s="1">
        <v>171734007</v>
      </c>
    </row>
    <row r="16" spans="1:99" x14ac:dyDescent="0.35">
      <c r="A16" s="1" t="s">
        <v>3679</v>
      </c>
      <c r="B16" s="1">
        <v>171734009</v>
      </c>
    </row>
    <row r="17" spans="1:2" x14ac:dyDescent="0.35">
      <c r="A17" s="1" t="s">
        <v>3680</v>
      </c>
      <c r="B17" s="1">
        <v>171734011</v>
      </c>
    </row>
    <row r="18" spans="1:2" x14ac:dyDescent="0.35">
      <c r="A18" s="1" t="s">
        <v>3681</v>
      </c>
      <c r="B18" s="1">
        <v>171734012</v>
      </c>
    </row>
    <row r="19" spans="1:2" x14ac:dyDescent="0.35">
      <c r="A19" s="1" t="s">
        <v>3682</v>
      </c>
      <c r="B19" s="1">
        <v>171734014</v>
      </c>
    </row>
    <row r="20" spans="1:2" x14ac:dyDescent="0.35">
      <c r="A20" s="1" t="s">
        <v>3683</v>
      </c>
      <c r="B20" s="1">
        <v>171734015</v>
      </c>
    </row>
    <row r="21" spans="1:2" x14ac:dyDescent="0.35">
      <c r="A21" s="1" t="s">
        <v>3684</v>
      </c>
      <c r="B21" s="1">
        <v>171734020</v>
      </c>
    </row>
    <row r="22" spans="1:2" x14ac:dyDescent="0.35">
      <c r="A22" s="1" t="s">
        <v>3685</v>
      </c>
      <c r="B22" s="1">
        <v>171734023</v>
      </c>
    </row>
    <row r="23" spans="1:2" x14ac:dyDescent="0.35">
      <c r="A23" s="1" t="s">
        <v>3686</v>
      </c>
      <c r="B23" s="1">
        <v>171734025</v>
      </c>
    </row>
    <row r="24" spans="1:2" x14ac:dyDescent="0.35">
      <c r="A24" s="1" t="s">
        <v>3687</v>
      </c>
      <c r="B24" s="1">
        <v>171734028</v>
      </c>
    </row>
    <row r="25" spans="1:2" x14ac:dyDescent="0.35">
      <c r="A25" s="1" t="s">
        <v>3688</v>
      </c>
      <c r="B25" s="1">
        <v>171734029</v>
      </c>
    </row>
    <row r="26" spans="1:2" x14ac:dyDescent="0.35">
      <c r="A26" s="1" t="s">
        <v>3689</v>
      </c>
      <c r="B26" s="1">
        <v>171734031</v>
      </c>
    </row>
    <row r="27" spans="1:2" x14ac:dyDescent="0.35">
      <c r="A27" s="1" t="s">
        <v>3690</v>
      </c>
      <c r="B27" s="1">
        <v>171734032</v>
      </c>
    </row>
    <row r="28" spans="1:2" x14ac:dyDescent="0.35">
      <c r="A28" s="1" t="s">
        <v>4311</v>
      </c>
      <c r="B28" s="1">
        <v>171734021</v>
      </c>
    </row>
    <row r="29" spans="1:2" x14ac:dyDescent="0.35">
      <c r="A29" s="1" t="s">
        <v>4312</v>
      </c>
      <c r="B29" s="1">
        <v>171734030</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665975-A62C-4853-A6FA-5C04F27234AB}">
  <dimension ref="A1:CU41"/>
  <sheetViews>
    <sheetView tabSelected="1" zoomScale="40" zoomScaleNormal="40" workbookViewId="0">
      <pane ySplit="1" topLeftCell="A2" activePane="bottomLeft" state="frozen"/>
      <selection activeCell="M1" sqref="M1"/>
      <selection pane="bottomLeft" activeCell="C25" sqref="C25"/>
    </sheetView>
  </sheetViews>
  <sheetFormatPr defaultColWidth="8.90625" defaultRowHeight="14.5" x14ac:dyDescent="0.35"/>
  <cols>
    <col min="1" max="1" width="48.08984375" style="1" bestFit="1" customWidth="1"/>
    <col min="2" max="2" width="11.7265625" style="1" bestFit="1" customWidth="1"/>
    <col min="3" max="9" width="76" style="1" bestFit="1" customWidth="1"/>
    <col min="10" max="10" width="76.7265625" style="1" bestFit="1" customWidth="1"/>
    <col min="11" max="11" width="76.26953125" style="1" bestFit="1" customWidth="1"/>
    <col min="12" max="14" width="76.7265625" style="1" bestFit="1" customWidth="1"/>
    <col min="15" max="15" width="80.08984375" style="1" bestFit="1" customWidth="1"/>
    <col min="16" max="16" width="129.453125" style="1" bestFit="1" customWidth="1"/>
    <col min="17" max="17" width="76" style="1" bestFit="1" customWidth="1"/>
    <col min="18" max="18" width="86.26953125" style="1" bestFit="1" customWidth="1"/>
    <col min="19" max="19" width="30.81640625" style="1" bestFit="1" customWidth="1"/>
    <col min="20" max="20" width="49" style="1" bestFit="1" customWidth="1"/>
    <col min="21" max="21" width="80.36328125" style="1" bestFit="1" customWidth="1"/>
    <col min="22" max="22" width="107.81640625" style="1" bestFit="1" customWidth="1"/>
    <col min="23" max="23" width="89.90625" style="1" bestFit="1" customWidth="1"/>
    <col min="24" max="24" width="108.08984375" style="1" bestFit="1" customWidth="1"/>
    <col min="25" max="25" width="87.1796875" style="1" bestFit="1" customWidth="1"/>
    <col min="26" max="26" width="89.90625" style="1" bestFit="1" customWidth="1"/>
    <col min="27" max="27" width="94.6328125" style="1" bestFit="1" customWidth="1"/>
    <col min="28" max="28" width="50.36328125" style="1" bestFit="1" customWidth="1"/>
    <col min="29" max="29" width="86.90625" style="1" bestFit="1" customWidth="1"/>
    <col min="30" max="30" width="51" style="1" bestFit="1" customWidth="1"/>
    <col min="31" max="31" width="59.1796875" style="1" bestFit="1" customWidth="1"/>
    <col min="32" max="32" width="142.81640625" style="1" bestFit="1" customWidth="1"/>
    <col min="33" max="33" width="47.1796875" style="1" bestFit="1" customWidth="1"/>
    <col min="34" max="35" width="54.90625" style="1" bestFit="1" customWidth="1"/>
    <col min="36" max="37" width="55.36328125" style="1" bestFit="1" customWidth="1"/>
    <col min="38" max="38" width="54.90625" style="1" bestFit="1" customWidth="1"/>
    <col min="39" max="52" width="55.36328125" style="1" bestFit="1" customWidth="1"/>
    <col min="53" max="55" width="54.90625" style="1" bestFit="1" customWidth="1"/>
    <col min="56" max="64" width="55.36328125" style="1" bestFit="1" customWidth="1"/>
    <col min="65" max="67" width="54.90625" style="1" bestFit="1" customWidth="1"/>
    <col min="68" max="68" width="69.6328125" style="1" bestFit="1" customWidth="1"/>
    <col min="69" max="69" width="51.90625" style="1" bestFit="1" customWidth="1"/>
    <col min="70" max="71" width="54.6328125" style="1" bestFit="1" customWidth="1"/>
    <col min="72" max="72" width="67.1796875" style="1" bestFit="1" customWidth="1"/>
    <col min="73" max="73" width="255.6328125" style="1" bestFit="1" customWidth="1"/>
    <col min="74" max="74" width="76.90625" style="1" bestFit="1" customWidth="1"/>
    <col min="75" max="75" width="138.08984375" style="1" bestFit="1" customWidth="1"/>
    <col min="76" max="83" width="138.54296875" style="1" bestFit="1" customWidth="1"/>
    <col min="84" max="84" width="139.453125" style="1" bestFit="1" customWidth="1"/>
    <col min="85" max="85" width="138.7265625" style="1" bestFit="1" customWidth="1"/>
    <col min="86" max="86" width="139.453125" style="1" bestFit="1" customWidth="1"/>
    <col min="87" max="87" width="142.6328125" style="1" bestFit="1" customWidth="1"/>
    <col min="88" max="88" width="90.54296875" style="1" bestFit="1" customWidth="1"/>
    <col min="89" max="89" width="118.08984375" style="1" bestFit="1" customWidth="1"/>
    <col min="90" max="90" width="100.08984375" style="1" bestFit="1" customWidth="1"/>
    <col min="91" max="91" width="118.26953125" style="1" bestFit="1" customWidth="1"/>
    <col min="92" max="92" width="97.36328125" style="1" bestFit="1" customWidth="1"/>
    <col min="93" max="93" width="100.08984375" style="1" bestFit="1" customWidth="1"/>
    <col min="94" max="94" width="104.90625" style="1" bestFit="1" customWidth="1"/>
    <col min="95" max="95" width="47.6328125" style="1" bestFit="1" customWidth="1"/>
    <col min="96" max="96" width="64.453125" style="1" bestFit="1" customWidth="1"/>
    <col min="97" max="97" width="29.6328125" style="1" bestFit="1" customWidth="1"/>
    <col min="98" max="98" width="30.54296875" style="1" bestFit="1" customWidth="1"/>
    <col min="99" max="99" width="62.1796875" style="1" bestFit="1" customWidth="1"/>
    <col min="100" max="16384" width="8.90625" style="1"/>
  </cols>
  <sheetData>
    <row r="1" spans="1:99" s="6" customFormat="1" x14ac:dyDescent="0.35">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6" t="s">
        <v>15</v>
      </c>
      <c r="Q1" s="6" t="s">
        <v>16</v>
      </c>
      <c r="R1" s="6" t="s">
        <v>17</v>
      </c>
      <c r="S1" s="6" t="s">
        <v>18</v>
      </c>
      <c r="T1" s="6" t="s">
        <v>19</v>
      </c>
      <c r="U1" s="6" t="s">
        <v>20</v>
      </c>
      <c r="V1" s="6" t="s">
        <v>21</v>
      </c>
      <c r="W1" s="6" t="s">
        <v>22</v>
      </c>
      <c r="X1" s="6" t="s">
        <v>23</v>
      </c>
      <c r="Y1" s="6" t="s">
        <v>24</v>
      </c>
      <c r="Z1" s="6" t="s">
        <v>25</v>
      </c>
      <c r="AA1" s="6" t="s">
        <v>26</v>
      </c>
      <c r="AB1" s="6" t="s">
        <v>27</v>
      </c>
      <c r="AC1" s="6" t="s">
        <v>28</v>
      </c>
      <c r="AD1" s="6" t="s">
        <v>29</v>
      </c>
      <c r="AE1" s="6" t="s">
        <v>30</v>
      </c>
      <c r="AF1" s="6" t="s">
        <v>31</v>
      </c>
      <c r="AG1" s="6" t="s">
        <v>32</v>
      </c>
      <c r="AH1" s="6" t="s">
        <v>33</v>
      </c>
      <c r="AI1" s="6" t="s">
        <v>33</v>
      </c>
      <c r="AJ1" s="6" t="s">
        <v>34</v>
      </c>
      <c r="AK1" s="6" t="s">
        <v>34</v>
      </c>
      <c r="AL1" s="6" t="s">
        <v>33</v>
      </c>
      <c r="AM1" s="6" t="s">
        <v>34</v>
      </c>
      <c r="AN1" s="6" t="s">
        <v>34</v>
      </c>
      <c r="AO1" s="6" t="s">
        <v>34</v>
      </c>
      <c r="AP1" s="6" t="s">
        <v>34</v>
      </c>
      <c r="AQ1" s="6" t="s">
        <v>34</v>
      </c>
      <c r="AR1" s="6" t="s">
        <v>34</v>
      </c>
      <c r="AS1" s="6" t="s">
        <v>34</v>
      </c>
      <c r="AT1" s="6" t="s">
        <v>34</v>
      </c>
      <c r="AU1" s="6" t="s">
        <v>34</v>
      </c>
      <c r="AV1" s="6" t="s">
        <v>34</v>
      </c>
      <c r="AW1" s="6" t="s">
        <v>34</v>
      </c>
      <c r="AX1" s="6" t="s">
        <v>34</v>
      </c>
      <c r="AY1" s="6" t="s">
        <v>34</v>
      </c>
      <c r="AZ1" s="6" t="s">
        <v>34</v>
      </c>
      <c r="BA1" s="6" t="s">
        <v>33</v>
      </c>
      <c r="BB1" s="6" t="s">
        <v>33</v>
      </c>
      <c r="BC1" s="6" t="s">
        <v>33</v>
      </c>
      <c r="BD1" s="6" t="s">
        <v>34</v>
      </c>
      <c r="BE1" s="6" t="s">
        <v>34</v>
      </c>
      <c r="BF1" s="6" t="s">
        <v>34</v>
      </c>
      <c r="BG1" s="6" t="s">
        <v>34</v>
      </c>
      <c r="BH1" s="6" t="s">
        <v>34</v>
      </c>
      <c r="BI1" s="6" t="s">
        <v>34</v>
      </c>
      <c r="BJ1" s="6" t="s">
        <v>34</v>
      </c>
      <c r="BK1" s="6" t="s">
        <v>34</v>
      </c>
      <c r="BL1" s="6" t="s">
        <v>34</v>
      </c>
      <c r="BM1" s="6" t="s">
        <v>33</v>
      </c>
      <c r="BN1" s="6" t="s">
        <v>33</v>
      </c>
      <c r="BO1" s="6" t="s">
        <v>33</v>
      </c>
      <c r="BP1" s="6" t="s">
        <v>35</v>
      </c>
      <c r="BQ1" s="6" t="s">
        <v>36</v>
      </c>
      <c r="BR1" s="6" t="s">
        <v>37</v>
      </c>
      <c r="BS1" s="6" t="s">
        <v>38</v>
      </c>
      <c r="BT1" s="6" t="s">
        <v>39</v>
      </c>
      <c r="BU1" s="6" t="s">
        <v>40</v>
      </c>
      <c r="BV1" s="6" t="s">
        <v>41</v>
      </c>
      <c r="BW1" s="6" t="s">
        <v>42</v>
      </c>
      <c r="BX1" s="6" t="s">
        <v>43</v>
      </c>
      <c r="BY1" s="6" t="s">
        <v>44</v>
      </c>
      <c r="BZ1" s="6" t="s">
        <v>45</v>
      </c>
      <c r="CA1" s="6" t="s">
        <v>46</v>
      </c>
      <c r="CB1" s="6" t="s">
        <v>47</v>
      </c>
      <c r="CC1" s="6" t="s">
        <v>48</v>
      </c>
      <c r="CD1" s="6" t="s">
        <v>49</v>
      </c>
      <c r="CE1" s="6" t="s">
        <v>50</v>
      </c>
      <c r="CF1" s="6" t="s">
        <v>51</v>
      </c>
      <c r="CG1" s="6" t="s">
        <v>52</v>
      </c>
      <c r="CH1" s="6" t="s">
        <v>53</v>
      </c>
      <c r="CI1" s="6" t="s">
        <v>54</v>
      </c>
      <c r="CJ1" s="6" t="s">
        <v>55</v>
      </c>
      <c r="CK1" s="6" t="s">
        <v>56</v>
      </c>
      <c r="CL1" s="6" t="s">
        <v>57</v>
      </c>
      <c r="CM1" s="6" t="s">
        <v>58</v>
      </c>
      <c r="CN1" s="6" t="s">
        <v>59</v>
      </c>
      <c r="CO1" s="6" t="s">
        <v>60</v>
      </c>
      <c r="CP1" s="6" t="s">
        <v>61</v>
      </c>
      <c r="CQ1" s="6" t="s">
        <v>62</v>
      </c>
      <c r="CR1" s="6" t="s">
        <v>63</v>
      </c>
      <c r="CS1" s="6" t="s">
        <v>64</v>
      </c>
      <c r="CT1" s="6" t="s">
        <v>65</v>
      </c>
      <c r="CU1" s="6" t="s">
        <v>66</v>
      </c>
    </row>
    <row r="2" spans="1:99" x14ac:dyDescent="0.35">
      <c r="A2" s="1" t="s">
        <v>1953</v>
      </c>
      <c r="B2" s="1">
        <v>171711031</v>
      </c>
      <c r="C2" s="1">
        <v>0</v>
      </c>
      <c r="D2" s="1">
        <v>1</v>
      </c>
      <c r="E2" s="1">
        <v>0</v>
      </c>
      <c r="F2" s="1">
        <v>0</v>
      </c>
      <c r="G2" s="1">
        <v>0</v>
      </c>
      <c r="H2" s="1">
        <v>0</v>
      </c>
      <c r="I2" s="1">
        <v>0</v>
      </c>
      <c r="J2" s="1">
        <v>0</v>
      </c>
      <c r="K2" s="1">
        <v>0</v>
      </c>
      <c r="L2" s="1">
        <v>0</v>
      </c>
      <c r="M2" s="1">
        <v>0</v>
      </c>
      <c r="N2" s="1">
        <v>0</v>
      </c>
      <c r="O2" s="1">
        <v>0</v>
      </c>
      <c r="P2" s="1" t="s">
        <v>463</v>
      </c>
      <c r="Q2" s="1">
        <v>4</v>
      </c>
      <c r="R2" s="1">
        <v>1</v>
      </c>
      <c r="S2" s="1">
        <v>5</v>
      </c>
      <c r="T2" s="1">
        <v>1</v>
      </c>
      <c r="U2" s="1">
        <v>4</v>
      </c>
      <c r="V2" s="1">
        <v>3</v>
      </c>
      <c r="W2" s="1">
        <v>4</v>
      </c>
      <c r="X2" s="1">
        <v>3</v>
      </c>
      <c r="Y2" s="1">
        <v>3</v>
      </c>
      <c r="Z2" s="1">
        <v>3</v>
      </c>
      <c r="AA2" s="1">
        <v>2</v>
      </c>
      <c r="CU2" s="1">
        <v>4</v>
      </c>
    </row>
    <row r="3" spans="1:99" x14ac:dyDescent="0.35">
      <c r="A3" s="1" t="s">
        <v>1954</v>
      </c>
      <c r="B3" s="1">
        <v>181711013</v>
      </c>
      <c r="C3" s="1">
        <v>0</v>
      </c>
      <c r="D3" s="1">
        <v>0</v>
      </c>
      <c r="E3" s="1">
        <v>0</v>
      </c>
      <c r="F3" s="1">
        <v>0</v>
      </c>
      <c r="G3" s="1">
        <v>0</v>
      </c>
      <c r="H3" s="1">
        <v>0</v>
      </c>
      <c r="I3" s="1">
        <v>0</v>
      </c>
      <c r="J3" s="1">
        <v>0</v>
      </c>
      <c r="K3" s="1">
        <v>1</v>
      </c>
      <c r="L3" s="1">
        <v>0</v>
      </c>
      <c r="M3" s="1">
        <v>0</v>
      </c>
      <c r="N3" s="1">
        <v>0</v>
      </c>
      <c r="O3" s="1">
        <v>0</v>
      </c>
      <c r="P3" s="1">
        <v>6</v>
      </c>
      <c r="Q3" s="1">
        <v>4</v>
      </c>
      <c r="R3" s="1">
        <v>3</v>
      </c>
      <c r="S3" s="1">
        <v>1</v>
      </c>
      <c r="T3" s="1">
        <v>1</v>
      </c>
      <c r="U3" s="1">
        <v>4</v>
      </c>
      <c r="V3" s="1">
        <v>4</v>
      </c>
      <c r="W3" s="1">
        <v>4</v>
      </c>
      <c r="X3" s="1">
        <v>4</v>
      </c>
      <c r="Y3" s="1">
        <v>4</v>
      </c>
      <c r="Z3" s="1">
        <v>4</v>
      </c>
      <c r="AA3" s="1">
        <v>4</v>
      </c>
      <c r="AC3" s="1">
        <v>1</v>
      </c>
      <c r="AD3" s="1">
        <v>6</v>
      </c>
      <c r="AF3" s="3">
        <v>4000000</v>
      </c>
      <c r="AG3" s="1">
        <v>13</v>
      </c>
      <c r="AT3" s="1" t="s">
        <v>271</v>
      </c>
      <c r="BP3" s="1">
        <v>3</v>
      </c>
      <c r="BQ3" s="1" t="s">
        <v>801</v>
      </c>
      <c r="BR3" s="1" t="s">
        <v>1955</v>
      </c>
      <c r="BS3" s="1" t="s">
        <v>1956</v>
      </c>
      <c r="BT3" s="1" t="s">
        <v>73</v>
      </c>
      <c r="BU3" s="1">
        <v>1</v>
      </c>
      <c r="BV3" s="1">
        <v>1</v>
      </c>
      <c r="BW3" s="1">
        <v>1</v>
      </c>
      <c r="BX3" s="1">
        <v>0</v>
      </c>
      <c r="BY3" s="1">
        <v>0</v>
      </c>
      <c r="BZ3" s="1">
        <v>0</v>
      </c>
      <c r="CA3" s="1">
        <v>0</v>
      </c>
      <c r="CB3" s="1">
        <v>0</v>
      </c>
      <c r="CC3" s="1">
        <v>0</v>
      </c>
      <c r="CD3" s="1">
        <v>0</v>
      </c>
      <c r="CE3" s="1">
        <v>0</v>
      </c>
      <c r="CF3" s="1">
        <v>0</v>
      </c>
      <c r="CG3" s="1">
        <v>0</v>
      </c>
      <c r="CH3" s="1">
        <v>0</v>
      </c>
      <c r="CI3" s="1">
        <v>0</v>
      </c>
      <c r="CJ3" s="1">
        <v>4</v>
      </c>
      <c r="CK3" s="1">
        <v>4</v>
      </c>
      <c r="CL3" s="1">
        <v>4</v>
      </c>
      <c r="CM3" s="1">
        <v>4</v>
      </c>
      <c r="CN3" s="1">
        <v>4</v>
      </c>
      <c r="CO3" s="1">
        <v>4</v>
      </c>
      <c r="CP3" s="1">
        <v>4</v>
      </c>
      <c r="CU3" s="1">
        <v>1</v>
      </c>
    </row>
    <row r="4" spans="1:99" x14ac:dyDescent="0.35">
      <c r="A4" s="1" t="s">
        <v>1957</v>
      </c>
      <c r="B4" s="1">
        <v>181711015</v>
      </c>
      <c r="C4" s="1">
        <v>0</v>
      </c>
      <c r="D4" s="1">
        <v>1</v>
      </c>
      <c r="E4" s="1">
        <v>0</v>
      </c>
      <c r="F4" s="1">
        <v>0</v>
      </c>
      <c r="G4" s="1">
        <v>0</v>
      </c>
      <c r="H4" s="1">
        <v>1</v>
      </c>
      <c r="I4" s="1">
        <v>1</v>
      </c>
      <c r="J4" s="1">
        <v>1</v>
      </c>
      <c r="K4" s="1">
        <v>1</v>
      </c>
      <c r="L4" s="1">
        <v>0</v>
      </c>
      <c r="M4" s="1">
        <v>0</v>
      </c>
      <c r="N4" s="1">
        <v>0</v>
      </c>
      <c r="O4" s="1">
        <v>0</v>
      </c>
      <c r="P4" s="1">
        <v>400</v>
      </c>
      <c r="Q4" s="1">
        <v>30</v>
      </c>
      <c r="R4" s="1">
        <v>25</v>
      </c>
      <c r="S4" s="1">
        <v>5</v>
      </c>
      <c r="T4" s="1">
        <v>1</v>
      </c>
      <c r="U4" s="1">
        <v>4</v>
      </c>
      <c r="V4" s="1">
        <v>4</v>
      </c>
      <c r="W4" s="1">
        <v>4</v>
      </c>
      <c r="X4" s="1">
        <v>4</v>
      </c>
      <c r="Y4" s="1">
        <v>4</v>
      </c>
      <c r="Z4" s="1">
        <v>4</v>
      </c>
      <c r="AA4" s="1">
        <v>4</v>
      </c>
      <c r="CU4" s="1">
        <v>4</v>
      </c>
    </row>
    <row r="5" spans="1:99" x14ac:dyDescent="0.35">
      <c r="A5" s="1" t="s">
        <v>1958</v>
      </c>
      <c r="B5" s="1">
        <v>181711016</v>
      </c>
      <c r="C5" s="1">
        <v>1</v>
      </c>
      <c r="D5" s="1">
        <v>1</v>
      </c>
      <c r="E5" s="1">
        <v>0</v>
      </c>
      <c r="F5" s="1">
        <v>0</v>
      </c>
      <c r="G5" s="1">
        <v>0</v>
      </c>
      <c r="H5" s="1">
        <v>0</v>
      </c>
      <c r="I5" s="1">
        <v>0</v>
      </c>
      <c r="J5" s="1">
        <v>0</v>
      </c>
      <c r="K5" s="1">
        <v>1</v>
      </c>
      <c r="L5" s="1">
        <v>0</v>
      </c>
      <c r="M5" s="1">
        <v>0</v>
      </c>
      <c r="N5" s="1">
        <v>0</v>
      </c>
      <c r="O5" s="1">
        <v>0</v>
      </c>
      <c r="P5" s="1">
        <v>100</v>
      </c>
      <c r="Q5" s="1">
        <v>20</v>
      </c>
      <c r="R5" s="1">
        <v>7</v>
      </c>
      <c r="S5" s="1">
        <v>5</v>
      </c>
      <c r="T5" s="1">
        <v>1</v>
      </c>
      <c r="U5" s="1">
        <v>4</v>
      </c>
      <c r="V5" s="1">
        <v>3</v>
      </c>
      <c r="W5" s="1">
        <v>3</v>
      </c>
      <c r="X5" s="1">
        <v>3</v>
      </c>
      <c r="Y5" s="1">
        <v>4</v>
      </c>
      <c r="Z5" s="1">
        <v>4</v>
      </c>
      <c r="AA5" s="1">
        <v>3</v>
      </c>
      <c r="CU5" s="1">
        <v>4</v>
      </c>
    </row>
    <row r="6" spans="1:99" x14ac:dyDescent="0.35">
      <c r="A6" s="1" t="s">
        <v>1959</v>
      </c>
      <c r="B6" s="1">
        <v>181711020</v>
      </c>
      <c r="C6" s="1">
        <v>0</v>
      </c>
      <c r="D6" s="1">
        <v>1</v>
      </c>
      <c r="E6" s="1">
        <v>0</v>
      </c>
      <c r="F6" s="1">
        <v>0</v>
      </c>
      <c r="G6" s="1">
        <v>0</v>
      </c>
      <c r="H6" s="1">
        <v>0</v>
      </c>
      <c r="I6" s="1">
        <v>0</v>
      </c>
      <c r="J6" s="1">
        <v>0</v>
      </c>
      <c r="K6" s="1">
        <v>0</v>
      </c>
      <c r="L6" s="1">
        <v>0</v>
      </c>
      <c r="M6" s="1">
        <v>0</v>
      </c>
      <c r="N6" s="1">
        <v>0</v>
      </c>
      <c r="O6" s="1">
        <v>0</v>
      </c>
      <c r="P6" s="1">
        <v>12</v>
      </c>
      <c r="Q6" s="1">
        <v>4</v>
      </c>
      <c r="R6" s="1">
        <v>2</v>
      </c>
      <c r="S6" s="1">
        <v>5</v>
      </c>
      <c r="T6" s="1">
        <v>1</v>
      </c>
      <c r="U6" s="1">
        <v>4</v>
      </c>
      <c r="V6" s="1">
        <v>3</v>
      </c>
      <c r="W6" s="1">
        <v>3</v>
      </c>
      <c r="X6" s="1">
        <v>3</v>
      </c>
      <c r="Y6" s="1">
        <v>4</v>
      </c>
      <c r="Z6" s="1">
        <v>4</v>
      </c>
      <c r="AA6" s="1">
        <v>4</v>
      </c>
      <c r="CU6" s="1">
        <v>4</v>
      </c>
    </row>
    <row r="7" spans="1:99" x14ac:dyDescent="0.35">
      <c r="A7" s="1" t="s">
        <v>1960</v>
      </c>
      <c r="B7" s="1">
        <v>181711029</v>
      </c>
      <c r="C7" s="1">
        <v>1</v>
      </c>
      <c r="D7" s="1">
        <v>1</v>
      </c>
      <c r="E7" s="1">
        <v>0</v>
      </c>
      <c r="F7" s="1">
        <v>0</v>
      </c>
      <c r="G7" s="1">
        <v>0</v>
      </c>
      <c r="H7" s="1">
        <v>1</v>
      </c>
      <c r="I7" s="1">
        <v>1</v>
      </c>
      <c r="J7" s="1">
        <v>1</v>
      </c>
      <c r="K7" s="1">
        <v>1</v>
      </c>
      <c r="L7" s="1">
        <v>0</v>
      </c>
      <c r="M7" s="1">
        <v>0</v>
      </c>
      <c r="N7" s="1">
        <v>0</v>
      </c>
      <c r="O7" s="1">
        <v>0</v>
      </c>
      <c r="P7" s="1" t="s">
        <v>1961</v>
      </c>
      <c r="Q7" s="1" t="s">
        <v>780</v>
      </c>
      <c r="R7" s="1">
        <v>4</v>
      </c>
    </row>
    <row r="8" spans="1:99" x14ac:dyDescent="0.35">
      <c r="A8" s="1" t="s">
        <v>1962</v>
      </c>
      <c r="B8" s="1">
        <v>181711030</v>
      </c>
      <c r="C8" s="1">
        <v>0</v>
      </c>
      <c r="D8" s="1">
        <v>1</v>
      </c>
      <c r="E8" s="1">
        <v>0</v>
      </c>
      <c r="F8" s="1">
        <v>0</v>
      </c>
      <c r="G8" s="1">
        <v>0</v>
      </c>
      <c r="H8" s="1">
        <v>1</v>
      </c>
      <c r="I8" s="1">
        <v>0</v>
      </c>
      <c r="J8" s="1">
        <v>0</v>
      </c>
      <c r="K8" s="1">
        <v>1</v>
      </c>
      <c r="L8" s="1">
        <v>0</v>
      </c>
      <c r="M8" s="1">
        <v>0</v>
      </c>
      <c r="N8" s="1">
        <v>0</v>
      </c>
      <c r="O8" s="1">
        <v>0</v>
      </c>
      <c r="P8" s="1">
        <v>200</v>
      </c>
      <c r="Q8" s="1">
        <v>9</v>
      </c>
      <c r="R8" s="1">
        <v>5</v>
      </c>
      <c r="S8" s="1">
        <v>5</v>
      </c>
      <c r="T8" s="1">
        <v>1</v>
      </c>
      <c r="U8" s="1">
        <v>4</v>
      </c>
      <c r="V8" s="1">
        <v>3</v>
      </c>
      <c r="W8" s="1">
        <v>3</v>
      </c>
      <c r="X8" s="1">
        <v>4</v>
      </c>
      <c r="Y8" s="1">
        <v>4</v>
      </c>
      <c r="Z8" s="1">
        <v>4</v>
      </c>
      <c r="AA8" s="1">
        <v>4</v>
      </c>
      <c r="CU8" s="1">
        <v>4</v>
      </c>
    </row>
    <row r="9" spans="1:99" x14ac:dyDescent="0.35">
      <c r="A9" s="1" t="s">
        <v>1963</v>
      </c>
      <c r="B9" s="1">
        <v>181711032</v>
      </c>
      <c r="C9" s="1">
        <v>1</v>
      </c>
      <c r="D9" s="1">
        <v>1</v>
      </c>
      <c r="E9" s="1">
        <v>0</v>
      </c>
      <c r="F9" s="1">
        <v>0</v>
      </c>
      <c r="G9" s="1">
        <v>0</v>
      </c>
      <c r="H9" s="1">
        <v>1</v>
      </c>
      <c r="I9" s="1">
        <v>0</v>
      </c>
      <c r="J9" s="1">
        <v>0</v>
      </c>
      <c r="K9" s="1">
        <v>0</v>
      </c>
      <c r="L9" s="1">
        <v>0</v>
      </c>
      <c r="M9" s="1">
        <v>1</v>
      </c>
      <c r="N9" s="1">
        <v>0</v>
      </c>
      <c r="O9" s="1">
        <v>0</v>
      </c>
      <c r="P9" s="1">
        <v>50</v>
      </c>
      <c r="Q9" s="1">
        <v>25</v>
      </c>
      <c r="R9" s="1">
        <v>15</v>
      </c>
      <c r="S9" s="1">
        <v>1</v>
      </c>
      <c r="T9" s="1">
        <v>1</v>
      </c>
      <c r="U9" s="1">
        <v>4</v>
      </c>
      <c r="V9" s="1">
        <v>2</v>
      </c>
      <c r="W9" s="1">
        <v>2</v>
      </c>
      <c r="X9" s="1">
        <v>3</v>
      </c>
      <c r="Y9" s="1">
        <v>3</v>
      </c>
      <c r="Z9" s="1">
        <v>4</v>
      </c>
      <c r="AA9" s="1">
        <v>3</v>
      </c>
      <c r="AC9" s="1">
        <v>2</v>
      </c>
      <c r="AE9" s="1">
        <v>10</v>
      </c>
      <c r="BP9" s="1">
        <v>3</v>
      </c>
      <c r="BQ9" s="1" t="s">
        <v>1964</v>
      </c>
      <c r="BR9" s="1" t="s">
        <v>1965</v>
      </c>
      <c r="BT9" s="1" t="s">
        <v>79</v>
      </c>
      <c r="BU9" s="1">
        <v>1</v>
      </c>
      <c r="BV9" s="1">
        <v>2</v>
      </c>
      <c r="BW9" s="1">
        <v>1</v>
      </c>
      <c r="BX9" s="1">
        <v>0</v>
      </c>
      <c r="BY9" s="1">
        <v>0</v>
      </c>
      <c r="BZ9" s="1">
        <v>0</v>
      </c>
      <c r="CA9" s="1">
        <v>0</v>
      </c>
      <c r="CB9" s="1">
        <v>0</v>
      </c>
      <c r="CC9" s="1">
        <v>0</v>
      </c>
      <c r="CD9" s="1">
        <v>0</v>
      </c>
      <c r="CE9" s="1">
        <v>0</v>
      </c>
      <c r="CF9" s="1">
        <v>0</v>
      </c>
      <c r="CG9" s="1">
        <v>0</v>
      </c>
      <c r="CH9" s="1">
        <v>0</v>
      </c>
      <c r="CI9" s="1">
        <v>0</v>
      </c>
      <c r="CJ9" s="1">
        <v>4</v>
      </c>
      <c r="CK9" s="1">
        <v>4</v>
      </c>
      <c r="CL9" s="1">
        <v>2</v>
      </c>
      <c r="CM9" s="1">
        <v>4</v>
      </c>
      <c r="CN9" s="1">
        <v>3</v>
      </c>
      <c r="CO9" s="1">
        <v>4</v>
      </c>
      <c r="CP9" s="1">
        <v>3</v>
      </c>
    </row>
    <row r="10" spans="1:99" x14ac:dyDescent="0.35">
      <c r="A10" s="1" t="s">
        <v>1966</v>
      </c>
      <c r="B10" s="1">
        <v>181711035</v>
      </c>
      <c r="C10" s="1">
        <v>0</v>
      </c>
      <c r="D10" s="1">
        <v>1</v>
      </c>
      <c r="E10" s="1">
        <v>0</v>
      </c>
      <c r="F10" s="1">
        <v>0</v>
      </c>
      <c r="G10" s="1">
        <v>0</v>
      </c>
      <c r="H10" s="1">
        <v>0</v>
      </c>
      <c r="I10" s="1">
        <v>0</v>
      </c>
      <c r="J10" s="1">
        <v>0</v>
      </c>
      <c r="K10" s="1">
        <v>0</v>
      </c>
      <c r="L10" s="1">
        <v>0</v>
      </c>
      <c r="M10" s="1">
        <v>0</v>
      </c>
      <c r="N10" s="1">
        <v>0</v>
      </c>
      <c r="O10" s="1" t="s">
        <v>1967</v>
      </c>
      <c r="P10" s="1">
        <v>5</v>
      </c>
      <c r="Q10" s="1">
        <v>2</v>
      </c>
      <c r="R10" s="1">
        <v>3</v>
      </c>
      <c r="S10" s="1">
        <v>1</v>
      </c>
      <c r="T10" s="1">
        <v>1</v>
      </c>
      <c r="U10" s="1">
        <v>3</v>
      </c>
      <c r="V10" s="1">
        <v>3</v>
      </c>
      <c r="W10" s="1">
        <v>3</v>
      </c>
      <c r="X10" s="1">
        <v>3</v>
      </c>
      <c r="Y10" s="1">
        <v>3</v>
      </c>
      <c r="Z10" s="1">
        <v>3</v>
      </c>
      <c r="AA10" s="1">
        <v>3</v>
      </c>
      <c r="AC10" s="1">
        <v>1</v>
      </c>
      <c r="AD10" s="1">
        <v>1</v>
      </c>
      <c r="AF10" s="3">
        <v>5000000</v>
      </c>
      <c r="AG10" s="1">
        <v>13</v>
      </c>
      <c r="AT10" s="1" t="s">
        <v>86</v>
      </c>
      <c r="BP10" s="1">
        <v>6</v>
      </c>
      <c r="BQ10" s="1" t="s">
        <v>1968</v>
      </c>
      <c r="BT10" s="1" t="s">
        <v>79</v>
      </c>
      <c r="BU10" s="1">
        <v>5</v>
      </c>
      <c r="BV10" s="1">
        <v>1</v>
      </c>
      <c r="BW10" s="1">
        <v>0</v>
      </c>
      <c r="BX10" s="1">
        <v>0</v>
      </c>
      <c r="BY10" s="1">
        <v>0</v>
      </c>
      <c r="BZ10" s="1">
        <v>0</v>
      </c>
      <c r="CA10" s="1">
        <v>0</v>
      </c>
      <c r="CB10" s="1">
        <v>0</v>
      </c>
      <c r="CC10" s="1">
        <v>0</v>
      </c>
      <c r="CD10" s="1">
        <v>1</v>
      </c>
      <c r="CE10" s="1">
        <v>0</v>
      </c>
      <c r="CF10" s="1">
        <v>0</v>
      </c>
      <c r="CG10" s="1">
        <v>0</v>
      </c>
      <c r="CH10" s="1">
        <v>1</v>
      </c>
      <c r="CI10" s="1">
        <v>0</v>
      </c>
      <c r="CJ10" s="1">
        <v>4</v>
      </c>
      <c r="CK10" s="1">
        <v>2</v>
      </c>
      <c r="CL10" s="1">
        <v>3</v>
      </c>
      <c r="CM10" s="1">
        <v>4</v>
      </c>
      <c r="CN10" s="1">
        <v>4</v>
      </c>
      <c r="CO10" s="1">
        <v>4</v>
      </c>
      <c r="CP10" s="1">
        <v>4</v>
      </c>
      <c r="CU10" s="1">
        <v>1</v>
      </c>
    </row>
    <row r="11" spans="1:99" x14ac:dyDescent="0.35">
      <c r="A11" s="1" t="s">
        <v>1969</v>
      </c>
      <c r="B11" s="1">
        <v>181711036</v>
      </c>
      <c r="C11" s="1">
        <v>1</v>
      </c>
      <c r="D11" s="1">
        <v>1</v>
      </c>
      <c r="E11" s="1">
        <v>0</v>
      </c>
      <c r="F11" s="1">
        <v>0</v>
      </c>
      <c r="G11" s="1">
        <v>0</v>
      </c>
      <c r="H11" s="1">
        <v>0</v>
      </c>
      <c r="I11" s="1">
        <v>0</v>
      </c>
      <c r="J11" s="1">
        <v>0</v>
      </c>
      <c r="K11" s="1">
        <v>1</v>
      </c>
      <c r="L11" s="1">
        <v>0</v>
      </c>
      <c r="M11" s="1">
        <v>0</v>
      </c>
      <c r="N11" s="1">
        <v>0</v>
      </c>
      <c r="O11" s="1">
        <v>0</v>
      </c>
      <c r="P11" s="1" t="s">
        <v>289</v>
      </c>
      <c r="Q11" s="1" t="s">
        <v>570</v>
      </c>
      <c r="R11" s="1" t="s">
        <v>1316</v>
      </c>
      <c r="S11" s="1">
        <v>1</v>
      </c>
      <c r="T11" s="1">
        <v>1</v>
      </c>
      <c r="U11" s="1">
        <v>3</v>
      </c>
      <c r="V11" s="1">
        <v>3</v>
      </c>
      <c r="W11" s="1">
        <v>3</v>
      </c>
      <c r="X11" s="1">
        <v>3</v>
      </c>
      <c r="Y11" s="1">
        <v>3</v>
      </c>
      <c r="Z11" s="1">
        <v>3</v>
      </c>
      <c r="AA11" s="1">
        <v>3</v>
      </c>
      <c r="AC11" s="1">
        <v>1</v>
      </c>
      <c r="AD11" s="1">
        <v>3</v>
      </c>
      <c r="AF11" s="3">
        <v>6000000</v>
      </c>
      <c r="AG11" s="1">
        <v>13</v>
      </c>
      <c r="AT11" s="1" t="s">
        <v>1414</v>
      </c>
      <c r="BP11" s="1">
        <v>3</v>
      </c>
      <c r="BQ11" s="1" t="s">
        <v>1970</v>
      </c>
      <c r="BR11" s="1" t="s">
        <v>1971</v>
      </c>
      <c r="BT11" s="1" t="s">
        <v>73</v>
      </c>
      <c r="BU11" s="1">
        <v>1</v>
      </c>
      <c r="BV11" s="1">
        <v>3</v>
      </c>
      <c r="BW11" s="1">
        <v>0</v>
      </c>
      <c r="BX11" s="1">
        <v>0</v>
      </c>
      <c r="BY11" s="1">
        <v>0</v>
      </c>
      <c r="BZ11" s="1">
        <v>0</v>
      </c>
      <c r="CA11" s="1">
        <v>0</v>
      </c>
      <c r="CB11" s="1">
        <v>1</v>
      </c>
      <c r="CC11" s="1">
        <v>0</v>
      </c>
      <c r="CD11" s="1">
        <v>0</v>
      </c>
      <c r="CE11" s="1">
        <v>0</v>
      </c>
      <c r="CF11" s="1">
        <v>1</v>
      </c>
      <c r="CG11" s="1">
        <v>0</v>
      </c>
      <c r="CH11" s="1">
        <v>1</v>
      </c>
      <c r="CI11" s="1">
        <v>0</v>
      </c>
      <c r="CJ11" s="1">
        <v>4</v>
      </c>
      <c r="CK11" s="1">
        <v>3</v>
      </c>
      <c r="CL11" s="1">
        <v>2</v>
      </c>
      <c r="CM11" s="1">
        <v>4</v>
      </c>
      <c r="CN11" s="1">
        <v>4</v>
      </c>
      <c r="CO11" s="1">
        <v>4</v>
      </c>
      <c r="CP11" s="1">
        <v>3</v>
      </c>
      <c r="CU11" s="1">
        <v>4</v>
      </c>
    </row>
    <row r="12" spans="1:99" x14ac:dyDescent="0.35">
      <c r="A12" s="1" t="s">
        <v>1972</v>
      </c>
      <c r="B12" s="1">
        <v>181711039</v>
      </c>
      <c r="C12" s="1">
        <v>0</v>
      </c>
      <c r="D12" s="1">
        <v>1</v>
      </c>
      <c r="E12" s="1">
        <v>0</v>
      </c>
      <c r="F12" s="1">
        <v>0</v>
      </c>
      <c r="G12" s="1">
        <v>0</v>
      </c>
      <c r="H12" s="1">
        <v>1</v>
      </c>
      <c r="I12" s="1">
        <v>0</v>
      </c>
      <c r="J12" s="1">
        <v>1</v>
      </c>
      <c r="K12" s="1">
        <v>0</v>
      </c>
      <c r="L12" s="1">
        <v>0</v>
      </c>
      <c r="M12" s="1">
        <v>0</v>
      </c>
      <c r="N12" s="1">
        <v>0</v>
      </c>
      <c r="O12" s="1">
        <v>0</v>
      </c>
      <c r="P12" s="1">
        <v>50</v>
      </c>
      <c r="Q12" s="1">
        <v>15</v>
      </c>
      <c r="R12" s="1">
        <v>10</v>
      </c>
      <c r="S12" s="1">
        <v>1</v>
      </c>
      <c r="T12" s="1">
        <v>1</v>
      </c>
      <c r="U12" s="1">
        <v>4</v>
      </c>
      <c r="V12" s="1">
        <v>2</v>
      </c>
      <c r="W12" s="1">
        <v>2</v>
      </c>
      <c r="X12" s="1">
        <v>2</v>
      </c>
      <c r="Y12" s="1">
        <v>3</v>
      </c>
      <c r="Z12" s="1">
        <v>3</v>
      </c>
      <c r="AA12" s="1">
        <v>3</v>
      </c>
      <c r="AC12" s="1">
        <v>1</v>
      </c>
      <c r="AD12" s="1">
        <v>5</v>
      </c>
      <c r="AE12" s="1">
        <v>5</v>
      </c>
      <c r="AF12" s="3">
        <v>3300000</v>
      </c>
      <c r="AG12" s="1">
        <v>13</v>
      </c>
      <c r="AT12" s="1" t="s">
        <v>93</v>
      </c>
      <c r="BP12" s="1">
        <v>3</v>
      </c>
      <c r="BQ12" s="1" t="s">
        <v>1973</v>
      </c>
      <c r="BR12" s="1" t="s">
        <v>1974</v>
      </c>
      <c r="BT12" s="1" t="s">
        <v>79</v>
      </c>
      <c r="BU12" s="1">
        <v>2</v>
      </c>
      <c r="BV12" s="1">
        <v>2</v>
      </c>
      <c r="BW12" s="1">
        <v>0</v>
      </c>
      <c r="BX12" s="1">
        <v>1</v>
      </c>
      <c r="BY12" s="1">
        <v>0</v>
      </c>
      <c r="BZ12" s="1">
        <v>0</v>
      </c>
      <c r="CA12" s="1">
        <v>0</v>
      </c>
      <c r="CB12" s="1">
        <v>0</v>
      </c>
      <c r="CC12" s="1">
        <v>0</v>
      </c>
      <c r="CD12" s="1">
        <v>0</v>
      </c>
      <c r="CE12" s="1">
        <v>0</v>
      </c>
      <c r="CF12" s="1">
        <v>0</v>
      </c>
      <c r="CG12" s="1">
        <v>0</v>
      </c>
      <c r="CH12" s="1">
        <v>1</v>
      </c>
      <c r="CI12" s="1">
        <v>0</v>
      </c>
      <c r="CJ12" s="1">
        <v>4</v>
      </c>
      <c r="CK12" s="1">
        <v>4</v>
      </c>
      <c r="CL12" s="1">
        <v>4</v>
      </c>
      <c r="CM12" s="1">
        <v>4</v>
      </c>
      <c r="CN12" s="1">
        <v>4</v>
      </c>
      <c r="CO12" s="1">
        <v>4</v>
      </c>
      <c r="CP12" s="1">
        <v>4</v>
      </c>
      <c r="CU12" s="1">
        <v>1</v>
      </c>
    </row>
    <row r="13" spans="1:99" x14ac:dyDescent="0.35">
      <c r="A13" s="1" t="s">
        <v>1975</v>
      </c>
      <c r="B13" s="1">
        <v>181711043</v>
      </c>
      <c r="C13" s="1">
        <v>0</v>
      </c>
      <c r="D13" s="1">
        <v>1</v>
      </c>
      <c r="E13" s="1">
        <v>0</v>
      </c>
      <c r="F13" s="1">
        <v>0</v>
      </c>
      <c r="G13" s="1">
        <v>0</v>
      </c>
      <c r="H13" s="1">
        <v>0</v>
      </c>
      <c r="I13" s="1">
        <v>0</v>
      </c>
      <c r="J13" s="1">
        <v>1</v>
      </c>
      <c r="K13" s="1">
        <v>1</v>
      </c>
      <c r="L13" s="1">
        <v>0</v>
      </c>
      <c r="M13" s="1">
        <v>0</v>
      </c>
      <c r="N13" s="1">
        <v>0</v>
      </c>
      <c r="O13" s="1">
        <v>0</v>
      </c>
      <c r="P13" s="1">
        <v>7</v>
      </c>
      <c r="Q13" s="1">
        <v>5</v>
      </c>
      <c r="R13" s="1">
        <v>5</v>
      </c>
      <c r="S13" s="1">
        <v>1</v>
      </c>
      <c r="T13" s="1">
        <v>1</v>
      </c>
      <c r="U13" s="1">
        <v>4</v>
      </c>
      <c r="V13" s="1">
        <v>3</v>
      </c>
      <c r="W13" s="1">
        <v>3</v>
      </c>
      <c r="X13" s="1">
        <v>4</v>
      </c>
      <c r="Y13" s="1">
        <v>3</v>
      </c>
      <c r="Z13" s="1">
        <v>3</v>
      </c>
      <c r="AA13" s="1">
        <v>3</v>
      </c>
      <c r="AC13" s="1">
        <v>1</v>
      </c>
      <c r="AD13" s="1">
        <v>5</v>
      </c>
      <c r="AF13" s="3">
        <v>5000000</v>
      </c>
      <c r="AG13" s="1">
        <v>13</v>
      </c>
      <c r="AT13" s="1" t="s">
        <v>75</v>
      </c>
      <c r="BP13" s="1">
        <v>3</v>
      </c>
      <c r="BQ13" s="1" t="s">
        <v>1976</v>
      </c>
      <c r="BR13" s="1" t="s">
        <v>1977</v>
      </c>
      <c r="BS13" s="1" t="s">
        <v>1978</v>
      </c>
      <c r="BT13" s="1" t="s">
        <v>79</v>
      </c>
      <c r="BU13" s="1">
        <v>2</v>
      </c>
      <c r="BV13" s="1">
        <v>2</v>
      </c>
      <c r="BW13" s="1">
        <v>0</v>
      </c>
      <c r="BX13" s="1">
        <v>1</v>
      </c>
      <c r="BY13" s="1">
        <v>1</v>
      </c>
      <c r="BZ13" s="1">
        <v>0</v>
      </c>
      <c r="CA13" s="1">
        <v>0</v>
      </c>
      <c r="CB13" s="1">
        <v>0</v>
      </c>
      <c r="CC13" s="1">
        <v>0</v>
      </c>
      <c r="CD13" s="1">
        <v>0</v>
      </c>
      <c r="CE13" s="1">
        <v>0</v>
      </c>
      <c r="CF13" s="1">
        <v>0</v>
      </c>
      <c r="CG13" s="1">
        <v>0</v>
      </c>
      <c r="CH13" s="1">
        <v>0</v>
      </c>
      <c r="CI13" s="1">
        <v>0</v>
      </c>
      <c r="CJ13" s="1">
        <v>4</v>
      </c>
      <c r="CK13" s="1">
        <v>4</v>
      </c>
      <c r="CL13" s="1">
        <v>3</v>
      </c>
      <c r="CM13" s="1">
        <v>4</v>
      </c>
      <c r="CN13" s="1">
        <v>4</v>
      </c>
      <c r="CO13" s="1">
        <v>4</v>
      </c>
      <c r="CP13" s="1">
        <v>4</v>
      </c>
      <c r="CU13" s="1">
        <v>1</v>
      </c>
    </row>
    <row r="14" spans="1:99" x14ac:dyDescent="0.35">
      <c r="A14" s="1" t="s">
        <v>1979</v>
      </c>
      <c r="B14" s="1">
        <v>181711044</v>
      </c>
      <c r="C14" s="1">
        <v>0</v>
      </c>
      <c r="D14" s="1">
        <v>1</v>
      </c>
      <c r="E14" s="1">
        <v>0</v>
      </c>
      <c r="F14" s="1">
        <v>0</v>
      </c>
      <c r="G14" s="1">
        <v>0</v>
      </c>
      <c r="H14" s="1">
        <v>0</v>
      </c>
      <c r="I14" s="1">
        <v>0</v>
      </c>
      <c r="J14" s="1">
        <v>0</v>
      </c>
      <c r="K14" s="1">
        <v>0</v>
      </c>
      <c r="L14" s="1">
        <v>0</v>
      </c>
      <c r="M14" s="1">
        <v>0</v>
      </c>
      <c r="N14" s="1">
        <v>0</v>
      </c>
      <c r="O14" s="1">
        <v>0</v>
      </c>
      <c r="P14" s="1">
        <v>50</v>
      </c>
      <c r="Q14" s="1">
        <v>15</v>
      </c>
      <c r="R14" s="1">
        <v>7</v>
      </c>
      <c r="S14" s="1">
        <v>1</v>
      </c>
      <c r="T14" s="1">
        <v>1</v>
      </c>
      <c r="U14" s="1">
        <v>4</v>
      </c>
      <c r="V14" s="1">
        <v>3</v>
      </c>
      <c r="W14" s="1">
        <v>3</v>
      </c>
      <c r="X14" s="1">
        <v>4</v>
      </c>
      <c r="Y14" s="1">
        <v>4</v>
      </c>
      <c r="Z14" s="1">
        <v>4</v>
      </c>
      <c r="AA14" s="1">
        <v>4</v>
      </c>
      <c r="AC14" s="1">
        <v>1</v>
      </c>
      <c r="AD14" s="1">
        <v>3</v>
      </c>
      <c r="AF14" s="3">
        <v>4400000</v>
      </c>
      <c r="AG14" s="1">
        <v>13</v>
      </c>
      <c r="AT14" s="1" t="s">
        <v>402</v>
      </c>
      <c r="BP14" s="1">
        <v>3</v>
      </c>
      <c r="BQ14" s="1" t="s">
        <v>1980</v>
      </c>
      <c r="BR14" s="1" t="s">
        <v>1981</v>
      </c>
      <c r="BT14" s="1" t="s">
        <v>73</v>
      </c>
      <c r="BU14" s="1">
        <v>2</v>
      </c>
      <c r="BV14" s="1">
        <v>2</v>
      </c>
      <c r="BW14" s="1">
        <v>1</v>
      </c>
      <c r="BX14" s="1">
        <v>1</v>
      </c>
      <c r="BY14" s="1">
        <v>0</v>
      </c>
      <c r="BZ14" s="1">
        <v>0</v>
      </c>
      <c r="CA14" s="1">
        <v>0</v>
      </c>
      <c r="CB14" s="1">
        <v>0</v>
      </c>
      <c r="CC14" s="1">
        <v>0</v>
      </c>
      <c r="CD14" s="1">
        <v>0</v>
      </c>
      <c r="CE14" s="1">
        <v>0</v>
      </c>
      <c r="CF14" s="1">
        <v>0</v>
      </c>
      <c r="CG14" s="1">
        <v>0</v>
      </c>
      <c r="CH14" s="1">
        <v>0</v>
      </c>
      <c r="CI14" s="1">
        <v>0</v>
      </c>
      <c r="CJ14" s="1">
        <v>4</v>
      </c>
      <c r="CK14" s="1">
        <v>4</v>
      </c>
      <c r="CL14" s="1">
        <v>3</v>
      </c>
      <c r="CM14" s="1">
        <v>4</v>
      </c>
      <c r="CN14" s="1">
        <v>4</v>
      </c>
      <c r="CO14" s="1">
        <v>4</v>
      </c>
      <c r="CP14" s="1">
        <v>4</v>
      </c>
      <c r="CU14" s="1">
        <v>1</v>
      </c>
    </row>
    <row r="15" spans="1:99" x14ac:dyDescent="0.35">
      <c r="A15" s="1" t="s">
        <v>1982</v>
      </c>
      <c r="B15" s="1">
        <v>181711045</v>
      </c>
    </row>
    <row r="16" spans="1:99" x14ac:dyDescent="0.35">
      <c r="A16" s="1" t="s">
        <v>1983</v>
      </c>
      <c r="B16" s="1">
        <v>181711046</v>
      </c>
      <c r="C16" s="1">
        <v>1</v>
      </c>
      <c r="D16" s="1">
        <v>1</v>
      </c>
      <c r="E16" s="1">
        <v>0</v>
      </c>
      <c r="F16" s="1">
        <v>1</v>
      </c>
      <c r="G16" s="1">
        <v>0</v>
      </c>
      <c r="H16" s="1">
        <v>1</v>
      </c>
      <c r="I16" s="1">
        <v>0</v>
      </c>
      <c r="J16" s="1">
        <v>0</v>
      </c>
      <c r="K16" s="1">
        <v>1</v>
      </c>
      <c r="L16" s="1">
        <v>0</v>
      </c>
      <c r="M16" s="1">
        <v>0</v>
      </c>
      <c r="N16" s="1">
        <v>0</v>
      </c>
      <c r="O16" s="1">
        <v>0</v>
      </c>
      <c r="P16" s="1">
        <v>52</v>
      </c>
      <c r="Q16" s="1">
        <v>7</v>
      </c>
      <c r="R16" s="1">
        <v>4</v>
      </c>
    </row>
    <row r="17" spans="1:99" x14ac:dyDescent="0.35">
      <c r="A17" s="1" t="s">
        <v>1984</v>
      </c>
      <c r="B17" s="1">
        <v>181711047</v>
      </c>
      <c r="C17" s="1">
        <v>0</v>
      </c>
      <c r="D17" s="1">
        <v>1</v>
      </c>
      <c r="E17" s="1">
        <v>0</v>
      </c>
      <c r="F17" s="1">
        <v>0</v>
      </c>
      <c r="G17" s="1">
        <v>0</v>
      </c>
      <c r="H17" s="1">
        <v>0</v>
      </c>
      <c r="I17" s="1">
        <v>0</v>
      </c>
      <c r="J17" s="1">
        <v>0</v>
      </c>
      <c r="K17" s="1">
        <v>1</v>
      </c>
      <c r="L17" s="1">
        <v>0</v>
      </c>
      <c r="M17" s="1">
        <v>0</v>
      </c>
      <c r="N17" s="1">
        <v>0</v>
      </c>
      <c r="O17" s="1">
        <v>0</v>
      </c>
      <c r="P17" s="1">
        <v>20</v>
      </c>
      <c r="Q17" s="1">
        <v>6</v>
      </c>
      <c r="R17" s="1">
        <v>4</v>
      </c>
      <c r="S17" s="1">
        <v>1</v>
      </c>
      <c r="T17" s="1">
        <v>1</v>
      </c>
      <c r="U17" s="1">
        <v>4</v>
      </c>
      <c r="V17" s="1">
        <v>3</v>
      </c>
      <c r="W17" s="1">
        <v>3</v>
      </c>
      <c r="X17" s="1">
        <v>3</v>
      </c>
      <c r="Y17" s="1">
        <v>3</v>
      </c>
      <c r="Z17" s="1">
        <v>4</v>
      </c>
      <c r="AA17" s="1">
        <v>3</v>
      </c>
      <c r="AC17" s="1">
        <v>2</v>
      </c>
      <c r="AE17" s="1">
        <v>9</v>
      </c>
      <c r="AF17" s="3">
        <v>4500000</v>
      </c>
      <c r="AG17" s="1">
        <v>13</v>
      </c>
      <c r="AT17" s="1" t="s">
        <v>829</v>
      </c>
      <c r="BP17" s="1">
        <v>3</v>
      </c>
      <c r="BQ17" s="1" t="s">
        <v>1985</v>
      </c>
      <c r="BR17" s="1" t="s">
        <v>1986</v>
      </c>
      <c r="BT17" s="1" t="s">
        <v>79</v>
      </c>
      <c r="BU17" s="1">
        <v>4</v>
      </c>
      <c r="BV17" s="1">
        <v>3</v>
      </c>
      <c r="BW17" s="1">
        <v>0</v>
      </c>
      <c r="BX17" s="1">
        <v>1</v>
      </c>
      <c r="BY17" s="1">
        <v>0</v>
      </c>
      <c r="BZ17" s="1">
        <v>0</v>
      </c>
      <c r="CA17" s="1">
        <v>0</v>
      </c>
      <c r="CB17" s="1">
        <v>0</v>
      </c>
      <c r="CC17" s="1">
        <v>0</v>
      </c>
      <c r="CD17" s="1">
        <v>0</v>
      </c>
      <c r="CE17" s="1">
        <v>0</v>
      </c>
      <c r="CF17" s="1">
        <v>0</v>
      </c>
      <c r="CG17" s="1">
        <v>1</v>
      </c>
      <c r="CH17" s="1">
        <v>1</v>
      </c>
      <c r="CI17" s="1">
        <v>0</v>
      </c>
      <c r="CJ17" s="1">
        <v>3</v>
      </c>
      <c r="CK17" s="1">
        <v>4</v>
      </c>
      <c r="CL17" s="1">
        <v>3</v>
      </c>
      <c r="CM17" s="1">
        <v>3</v>
      </c>
      <c r="CN17" s="1">
        <v>4</v>
      </c>
      <c r="CO17" s="1">
        <v>4</v>
      </c>
      <c r="CP17" s="1">
        <v>4</v>
      </c>
      <c r="CU17" s="1">
        <v>4</v>
      </c>
    </row>
    <row r="18" spans="1:99" x14ac:dyDescent="0.35">
      <c r="A18" s="1" t="s">
        <v>1987</v>
      </c>
      <c r="B18" s="1">
        <v>181711061</v>
      </c>
      <c r="C18" s="1">
        <v>0</v>
      </c>
      <c r="D18" s="1">
        <v>1</v>
      </c>
      <c r="E18" s="1">
        <v>1</v>
      </c>
      <c r="F18" s="1">
        <v>0</v>
      </c>
      <c r="G18" s="1">
        <v>0</v>
      </c>
      <c r="H18" s="1">
        <v>1</v>
      </c>
      <c r="I18" s="1">
        <v>1</v>
      </c>
      <c r="J18" s="1">
        <v>0</v>
      </c>
      <c r="K18" s="1">
        <v>0</v>
      </c>
      <c r="L18" s="1">
        <v>0</v>
      </c>
      <c r="M18" s="1">
        <v>0</v>
      </c>
      <c r="N18" s="1">
        <v>0</v>
      </c>
      <c r="O18" s="1">
        <v>0</v>
      </c>
      <c r="P18" s="1" t="s">
        <v>1988</v>
      </c>
      <c r="Q18" s="1" t="s">
        <v>1827</v>
      </c>
      <c r="R18" s="1">
        <v>7</v>
      </c>
      <c r="S18" s="1">
        <v>1</v>
      </c>
      <c r="T18" s="1">
        <v>1</v>
      </c>
      <c r="U18" s="1">
        <v>3</v>
      </c>
      <c r="V18" s="1">
        <v>3</v>
      </c>
      <c r="W18" s="1">
        <v>4</v>
      </c>
      <c r="X18" s="1">
        <v>4</v>
      </c>
      <c r="Y18" s="1">
        <v>4</v>
      </c>
      <c r="Z18" s="1">
        <v>4</v>
      </c>
      <c r="AA18" s="1">
        <v>4</v>
      </c>
      <c r="AC18" s="1">
        <v>2</v>
      </c>
      <c r="AE18" s="1">
        <v>7</v>
      </c>
      <c r="AF18" s="3">
        <v>5000000</v>
      </c>
      <c r="AG18" s="1">
        <v>13</v>
      </c>
      <c r="AT18" s="1" t="s">
        <v>86</v>
      </c>
      <c r="BP18" s="1">
        <v>3</v>
      </c>
      <c r="BQ18" s="1" t="s">
        <v>1989</v>
      </c>
      <c r="BR18" s="1" t="s">
        <v>1990</v>
      </c>
      <c r="BS18" s="1" t="s">
        <v>1991</v>
      </c>
      <c r="BT18" s="1" t="s">
        <v>79</v>
      </c>
      <c r="BU18" s="1">
        <v>4</v>
      </c>
      <c r="BV18" s="1">
        <v>2</v>
      </c>
      <c r="BW18" s="1">
        <v>0</v>
      </c>
      <c r="BX18" s="1">
        <v>0</v>
      </c>
      <c r="BY18" s="1">
        <v>1</v>
      </c>
      <c r="BZ18" s="1">
        <v>1</v>
      </c>
      <c r="CA18" s="1">
        <v>0</v>
      </c>
      <c r="CB18" s="1">
        <v>0</v>
      </c>
      <c r="CC18" s="1">
        <v>0</v>
      </c>
      <c r="CD18" s="1">
        <v>1</v>
      </c>
      <c r="CE18" s="1">
        <v>1</v>
      </c>
      <c r="CF18" s="1">
        <v>0</v>
      </c>
      <c r="CG18" s="1">
        <v>1</v>
      </c>
      <c r="CH18" s="1">
        <v>0</v>
      </c>
      <c r="CI18" s="1">
        <v>0</v>
      </c>
      <c r="CJ18" s="1">
        <v>4</v>
      </c>
      <c r="CK18" s="1">
        <v>2</v>
      </c>
      <c r="CL18" s="1">
        <v>4</v>
      </c>
      <c r="CM18" s="1">
        <v>4</v>
      </c>
      <c r="CN18" s="1">
        <v>4</v>
      </c>
      <c r="CO18" s="1">
        <v>4</v>
      </c>
      <c r="CP18" s="1">
        <v>4</v>
      </c>
      <c r="CU18" s="1">
        <v>1</v>
      </c>
    </row>
    <row r="19" spans="1:99" x14ac:dyDescent="0.35">
      <c r="A19" s="1" t="s">
        <v>3710</v>
      </c>
      <c r="B19" s="1">
        <v>171711002</v>
      </c>
    </row>
    <row r="20" spans="1:99" x14ac:dyDescent="0.35">
      <c r="A20" s="1" t="s">
        <v>3711</v>
      </c>
      <c r="B20" s="1">
        <v>171711028</v>
      </c>
    </row>
    <row r="21" spans="1:99" x14ac:dyDescent="0.35">
      <c r="A21" s="1" t="s">
        <v>3712</v>
      </c>
      <c r="B21" s="1">
        <v>171711043</v>
      </c>
    </row>
    <row r="22" spans="1:99" x14ac:dyDescent="0.35">
      <c r="A22" s="1" t="s">
        <v>3713</v>
      </c>
      <c r="B22" s="1">
        <v>171711059</v>
      </c>
    </row>
    <row r="23" spans="1:99" x14ac:dyDescent="0.35">
      <c r="A23" s="1" t="s">
        <v>3714</v>
      </c>
      <c r="B23" s="1">
        <v>171711061</v>
      </c>
    </row>
    <row r="24" spans="1:99" x14ac:dyDescent="0.35">
      <c r="A24" s="1" t="s">
        <v>3715</v>
      </c>
      <c r="B24" s="1">
        <v>181711006</v>
      </c>
    </row>
    <row r="25" spans="1:99" x14ac:dyDescent="0.35">
      <c r="A25" s="1" t="s">
        <v>3716</v>
      </c>
      <c r="B25" s="1">
        <v>181711008</v>
      </c>
    </row>
    <row r="26" spans="1:99" x14ac:dyDescent="0.35">
      <c r="A26" s="1" t="s">
        <v>3717</v>
      </c>
      <c r="B26" s="1">
        <v>181711010</v>
      </c>
    </row>
    <row r="27" spans="1:99" x14ac:dyDescent="0.35">
      <c r="A27" s="1" t="s">
        <v>3718</v>
      </c>
      <c r="B27" s="1">
        <v>181711011</v>
      </c>
    </row>
    <row r="28" spans="1:99" x14ac:dyDescent="0.35">
      <c r="A28" s="1" t="s">
        <v>3719</v>
      </c>
      <c r="B28" s="1">
        <v>181711014</v>
      </c>
    </row>
    <row r="29" spans="1:99" x14ac:dyDescent="0.35">
      <c r="A29" s="1" t="s">
        <v>3720</v>
      </c>
      <c r="B29" s="1">
        <v>181711017</v>
      </c>
    </row>
    <row r="30" spans="1:99" x14ac:dyDescent="0.35">
      <c r="A30" s="1" t="s">
        <v>3721</v>
      </c>
      <c r="B30" s="1">
        <v>181711026</v>
      </c>
    </row>
    <row r="31" spans="1:99" x14ac:dyDescent="0.35">
      <c r="A31" s="1" t="s">
        <v>3722</v>
      </c>
      <c r="B31" s="1">
        <v>181711031</v>
      </c>
    </row>
    <row r="32" spans="1:99" x14ac:dyDescent="0.35">
      <c r="A32" s="1" t="s">
        <v>3723</v>
      </c>
      <c r="B32" s="1">
        <v>181711040</v>
      </c>
    </row>
    <row r="33" spans="1:99" x14ac:dyDescent="0.35">
      <c r="A33" s="1" t="s">
        <v>3724</v>
      </c>
      <c r="B33" s="1">
        <v>181711041</v>
      </c>
    </row>
    <row r="34" spans="1:99" x14ac:dyDescent="0.35">
      <c r="A34" s="1" t="s">
        <v>3725</v>
      </c>
      <c r="B34" s="1">
        <v>181711042</v>
      </c>
    </row>
    <row r="35" spans="1:99" x14ac:dyDescent="0.35">
      <c r="A35" s="1" t="s">
        <v>3726</v>
      </c>
      <c r="B35" s="1">
        <v>181711048</v>
      </c>
    </row>
    <row r="36" spans="1:99" x14ac:dyDescent="0.35">
      <c r="A36" s="1" t="s">
        <v>3727</v>
      </c>
      <c r="B36" s="1">
        <v>181711049</v>
      </c>
    </row>
    <row r="37" spans="1:99" x14ac:dyDescent="0.35">
      <c r="A37" s="1" t="s">
        <v>3728</v>
      </c>
      <c r="B37" s="1">
        <v>181711057</v>
      </c>
    </row>
    <row r="38" spans="1:99" x14ac:dyDescent="0.35">
      <c r="A38" s="1" t="s">
        <v>3729</v>
      </c>
      <c r="B38" s="1">
        <v>181711060</v>
      </c>
    </row>
    <row r="39" spans="1:99" x14ac:dyDescent="0.35">
      <c r="A39" s="1" t="s">
        <v>4205</v>
      </c>
      <c r="B39" s="1">
        <v>181711005</v>
      </c>
      <c r="C39" s="1">
        <v>0</v>
      </c>
      <c r="D39" s="1">
        <v>1</v>
      </c>
      <c r="E39" s="1">
        <v>0</v>
      </c>
      <c r="F39" s="1">
        <v>0</v>
      </c>
      <c r="G39" s="1">
        <v>0</v>
      </c>
      <c r="H39" s="1">
        <v>0</v>
      </c>
      <c r="I39" s="1">
        <v>0</v>
      </c>
      <c r="J39" s="1">
        <v>0</v>
      </c>
      <c r="K39" s="1">
        <v>1</v>
      </c>
      <c r="L39" s="1">
        <v>0</v>
      </c>
      <c r="M39" s="1">
        <v>0</v>
      </c>
      <c r="N39" s="1">
        <v>0</v>
      </c>
      <c r="O39" s="1">
        <v>0</v>
      </c>
      <c r="P39" s="1">
        <v>5</v>
      </c>
      <c r="Q39" s="1">
        <v>1</v>
      </c>
      <c r="R39" s="1">
        <v>1</v>
      </c>
      <c r="S39" s="1">
        <v>1</v>
      </c>
      <c r="T39" s="1">
        <v>1</v>
      </c>
      <c r="U39" s="1">
        <v>4</v>
      </c>
      <c r="V39" s="1">
        <v>3</v>
      </c>
      <c r="W39" s="1">
        <v>3</v>
      </c>
      <c r="X39" s="1">
        <v>3</v>
      </c>
      <c r="Y39" s="1">
        <v>3</v>
      </c>
      <c r="Z39" s="1">
        <v>3</v>
      </c>
      <c r="AA39" s="1">
        <v>3</v>
      </c>
      <c r="AC39" s="1">
        <v>2</v>
      </c>
      <c r="AE39" s="1">
        <v>3</v>
      </c>
      <c r="AF39" s="3">
        <v>4800000</v>
      </c>
      <c r="AG39" s="1">
        <v>11</v>
      </c>
      <c r="AR39" s="1" t="s">
        <v>130</v>
      </c>
      <c r="BP39" s="1">
        <v>3</v>
      </c>
      <c r="BQ39" s="1" t="s">
        <v>4206</v>
      </c>
      <c r="BR39" s="1" t="s">
        <v>4207</v>
      </c>
      <c r="BT39" s="1" t="s">
        <v>79</v>
      </c>
      <c r="BU39" s="1">
        <v>2</v>
      </c>
      <c r="BV39" s="1">
        <v>2</v>
      </c>
      <c r="BW39" s="1">
        <v>1</v>
      </c>
      <c r="BX39" s="1">
        <v>1</v>
      </c>
      <c r="BY39" s="1">
        <v>0</v>
      </c>
      <c r="BZ39" s="1">
        <v>0</v>
      </c>
      <c r="CA39" s="1">
        <v>0</v>
      </c>
      <c r="CB39" s="1">
        <v>0</v>
      </c>
      <c r="CC39" s="1">
        <v>0</v>
      </c>
      <c r="CD39" s="1">
        <v>0</v>
      </c>
      <c r="CE39" s="1">
        <v>0</v>
      </c>
      <c r="CF39" s="1">
        <v>0</v>
      </c>
      <c r="CG39" s="1">
        <v>0</v>
      </c>
      <c r="CH39" s="1">
        <v>0</v>
      </c>
      <c r="CI39" s="1">
        <v>0</v>
      </c>
      <c r="CJ39" s="1">
        <v>4</v>
      </c>
      <c r="CK39" s="1">
        <v>3</v>
      </c>
      <c r="CL39" s="1">
        <v>3</v>
      </c>
      <c r="CM39" s="1">
        <v>4</v>
      </c>
      <c r="CN39" s="1">
        <v>4</v>
      </c>
      <c r="CO39" s="1">
        <v>4</v>
      </c>
      <c r="CP39" s="1">
        <v>4</v>
      </c>
      <c r="CU39" s="1">
        <v>4</v>
      </c>
    </row>
    <row r="40" spans="1:99" x14ac:dyDescent="0.35">
      <c r="A40" s="1" t="s">
        <v>4208</v>
      </c>
      <c r="B40" s="1">
        <v>181711009</v>
      </c>
      <c r="C40" s="1">
        <v>0</v>
      </c>
      <c r="D40" s="1">
        <v>1</v>
      </c>
      <c r="E40" s="1">
        <v>0</v>
      </c>
      <c r="F40" s="1">
        <v>0</v>
      </c>
      <c r="G40" s="1">
        <v>0</v>
      </c>
      <c r="H40" s="1">
        <v>0</v>
      </c>
      <c r="I40" s="1">
        <v>0</v>
      </c>
      <c r="J40" s="1">
        <v>0</v>
      </c>
      <c r="K40" s="1">
        <v>0</v>
      </c>
      <c r="L40" s="1">
        <v>0</v>
      </c>
      <c r="M40" s="1">
        <v>0</v>
      </c>
      <c r="N40" s="1">
        <v>0</v>
      </c>
      <c r="O40" s="1">
        <v>0</v>
      </c>
      <c r="P40" s="1">
        <v>42</v>
      </c>
      <c r="Q40" s="1">
        <v>10</v>
      </c>
      <c r="R40" s="1">
        <v>2</v>
      </c>
      <c r="S40" s="1">
        <v>1</v>
      </c>
      <c r="T40" s="1">
        <v>1</v>
      </c>
      <c r="U40" s="1">
        <v>3</v>
      </c>
      <c r="V40" s="1">
        <v>3</v>
      </c>
      <c r="W40" s="1">
        <v>3</v>
      </c>
      <c r="X40" s="1">
        <v>3</v>
      </c>
      <c r="Y40" s="1">
        <v>3</v>
      </c>
      <c r="Z40" s="1">
        <v>3</v>
      </c>
      <c r="AA40" s="1">
        <v>3</v>
      </c>
      <c r="AC40" s="1">
        <v>2</v>
      </c>
      <c r="AE40" s="1">
        <v>7</v>
      </c>
      <c r="AF40" s="3">
        <v>6500000</v>
      </c>
      <c r="AG40" s="1">
        <v>12</v>
      </c>
      <c r="AS40" s="1" t="s">
        <v>69</v>
      </c>
      <c r="BP40" s="1">
        <v>3</v>
      </c>
      <c r="BQ40" s="1" t="s">
        <v>4209</v>
      </c>
      <c r="BR40" s="1" t="s">
        <v>4210</v>
      </c>
      <c r="BS40" s="1" t="s">
        <v>4211</v>
      </c>
      <c r="BT40" s="1" t="s">
        <v>73</v>
      </c>
      <c r="BU40" s="1">
        <v>5</v>
      </c>
      <c r="BV40" s="1">
        <v>1</v>
      </c>
      <c r="BW40" s="1">
        <v>0</v>
      </c>
      <c r="BX40" s="1">
        <v>0</v>
      </c>
      <c r="BY40" s="1">
        <v>1</v>
      </c>
      <c r="BZ40" s="1">
        <v>0</v>
      </c>
      <c r="CA40" s="1">
        <v>0</v>
      </c>
      <c r="CB40" s="1">
        <v>0</v>
      </c>
      <c r="CC40" s="1">
        <v>0</v>
      </c>
      <c r="CD40" s="1">
        <v>0</v>
      </c>
      <c r="CE40" s="1">
        <v>0</v>
      </c>
      <c r="CF40" s="1">
        <v>0</v>
      </c>
      <c r="CG40" s="1">
        <v>0</v>
      </c>
      <c r="CH40" s="1">
        <v>0</v>
      </c>
      <c r="CI40" s="1">
        <v>0</v>
      </c>
      <c r="CJ40" s="1">
        <v>4</v>
      </c>
      <c r="CK40" s="1">
        <v>3</v>
      </c>
      <c r="CL40" s="1">
        <v>3</v>
      </c>
      <c r="CM40" s="1">
        <v>3</v>
      </c>
      <c r="CN40" s="1">
        <v>4</v>
      </c>
      <c r="CO40" s="1">
        <v>4</v>
      </c>
      <c r="CP40" s="1">
        <v>4</v>
      </c>
      <c r="CU40" s="1">
        <v>1</v>
      </c>
    </row>
    <row r="41" spans="1:99" x14ac:dyDescent="0.35">
      <c r="A41" s="1" t="s">
        <v>4205</v>
      </c>
      <c r="B41" s="1">
        <v>181711005</v>
      </c>
      <c r="C41" s="1">
        <v>0</v>
      </c>
      <c r="D41" s="1">
        <v>1</v>
      </c>
      <c r="E41" s="1">
        <v>0</v>
      </c>
      <c r="F41" s="1">
        <v>0</v>
      </c>
      <c r="G41" s="1">
        <v>0</v>
      </c>
      <c r="H41" s="1">
        <v>0</v>
      </c>
      <c r="I41" s="1">
        <v>0</v>
      </c>
      <c r="J41" s="1">
        <v>0</v>
      </c>
      <c r="K41" s="1">
        <v>1</v>
      </c>
      <c r="L41" s="1">
        <v>0</v>
      </c>
      <c r="M41" s="1">
        <v>0</v>
      </c>
      <c r="N41" s="1">
        <v>0</v>
      </c>
      <c r="O41" s="1">
        <v>0</v>
      </c>
      <c r="P41" s="1">
        <v>5</v>
      </c>
      <c r="Q41" s="1">
        <v>1</v>
      </c>
      <c r="R41" s="1">
        <v>1</v>
      </c>
      <c r="S41" s="1">
        <v>1</v>
      </c>
      <c r="T41" s="1">
        <v>1</v>
      </c>
      <c r="U41" s="1">
        <v>4</v>
      </c>
      <c r="V41" s="1">
        <v>3</v>
      </c>
      <c r="W41" s="1">
        <v>3</v>
      </c>
      <c r="X41" s="1">
        <v>3</v>
      </c>
      <c r="Y41" s="1">
        <v>3</v>
      </c>
      <c r="Z41" s="1">
        <v>3</v>
      </c>
      <c r="AA41" s="1">
        <v>3</v>
      </c>
      <c r="AC41" s="1">
        <v>2</v>
      </c>
      <c r="AE41" s="1">
        <v>3</v>
      </c>
      <c r="AF41" s="3">
        <v>4800000</v>
      </c>
      <c r="AG41" s="1">
        <v>11</v>
      </c>
      <c r="AR41" s="1" t="s">
        <v>130</v>
      </c>
      <c r="BP41" s="1">
        <v>3</v>
      </c>
      <c r="BQ41" s="1" t="s">
        <v>4206</v>
      </c>
      <c r="BR41" s="1" t="s">
        <v>4207</v>
      </c>
      <c r="BT41" s="1" t="s">
        <v>79</v>
      </c>
      <c r="BU41" s="1">
        <v>2</v>
      </c>
      <c r="BV41" s="1">
        <v>2</v>
      </c>
      <c r="BW41" s="1">
        <v>1</v>
      </c>
      <c r="BX41" s="1">
        <v>1</v>
      </c>
      <c r="BY41" s="1">
        <v>0</v>
      </c>
      <c r="BZ41" s="1">
        <v>0</v>
      </c>
      <c r="CA41" s="1">
        <v>0</v>
      </c>
      <c r="CB41" s="1">
        <v>0</v>
      </c>
      <c r="CC41" s="1">
        <v>0</v>
      </c>
      <c r="CD41" s="1">
        <v>0</v>
      </c>
      <c r="CE41" s="1">
        <v>0</v>
      </c>
      <c r="CF41" s="1">
        <v>0</v>
      </c>
      <c r="CG41" s="1">
        <v>0</v>
      </c>
      <c r="CH41" s="1">
        <v>0</v>
      </c>
      <c r="CI41" s="1">
        <v>0</v>
      </c>
      <c r="CJ41" s="1">
        <v>4</v>
      </c>
      <c r="CK41" s="1">
        <v>3</v>
      </c>
      <c r="CL41" s="1">
        <v>3</v>
      </c>
      <c r="CM41" s="1">
        <v>4</v>
      </c>
      <c r="CN41" s="1">
        <v>4</v>
      </c>
      <c r="CO41" s="1">
        <v>4</v>
      </c>
      <c r="CP41" s="1">
        <v>4</v>
      </c>
      <c r="CU41" s="1">
        <v>4</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74419-5B4D-429B-8AAC-DF682CBB9B7A}">
  <dimension ref="A1:CU64"/>
  <sheetViews>
    <sheetView topLeftCell="T1" zoomScale="40" zoomScaleNormal="40" workbookViewId="0">
      <pane ySplit="1" topLeftCell="A23" activePane="bottomLeft" state="frozen"/>
      <selection activeCell="P1" sqref="P1"/>
      <selection pane="bottomLeft" activeCell="T26" sqref="T26"/>
    </sheetView>
  </sheetViews>
  <sheetFormatPr defaultColWidth="8.90625" defaultRowHeight="14.5" x14ac:dyDescent="0.35"/>
  <cols>
    <col min="1" max="1" width="46.7265625" style="1" bestFit="1" customWidth="1"/>
    <col min="2" max="2" width="11.7265625" style="1" bestFit="1" customWidth="1"/>
    <col min="3" max="9" width="76" style="1" bestFit="1" customWidth="1"/>
    <col min="10" max="10" width="76.7265625" style="1" bestFit="1" customWidth="1"/>
    <col min="11" max="11" width="76.26953125" style="1" bestFit="1" customWidth="1"/>
    <col min="12" max="14" width="76.7265625" style="1" bestFit="1" customWidth="1"/>
    <col min="15" max="15" width="80.08984375" style="1" bestFit="1" customWidth="1"/>
    <col min="16" max="16" width="129.453125" style="1" bestFit="1" customWidth="1"/>
    <col min="17" max="17" width="76" style="1" bestFit="1" customWidth="1"/>
    <col min="18" max="18" width="86.26953125" style="1" bestFit="1" customWidth="1"/>
    <col min="19" max="19" width="30.81640625" style="1" bestFit="1" customWidth="1"/>
    <col min="20" max="20" width="49" style="1" bestFit="1" customWidth="1"/>
    <col min="21" max="21" width="80.36328125" style="1" bestFit="1" customWidth="1"/>
    <col min="22" max="22" width="107.81640625" style="1" bestFit="1" customWidth="1"/>
    <col min="23" max="23" width="89.90625" style="1" bestFit="1" customWidth="1"/>
    <col min="24" max="24" width="108.08984375" style="1" bestFit="1" customWidth="1"/>
    <col min="25" max="25" width="87.1796875" style="1" bestFit="1" customWidth="1"/>
    <col min="26" max="26" width="89.90625" style="1" bestFit="1" customWidth="1"/>
    <col min="27" max="27" width="94.6328125" style="1" bestFit="1" customWidth="1"/>
    <col min="28" max="28" width="50.36328125" style="1" bestFit="1" customWidth="1"/>
    <col min="29" max="29" width="86.90625" style="1" bestFit="1" customWidth="1"/>
    <col min="30" max="30" width="51" style="1" bestFit="1" customWidth="1"/>
    <col min="31" max="31" width="59.1796875" style="1" bestFit="1" customWidth="1"/>
    <col min="32" max="32" width="142.81640625" style="1" bestFit="1" customWidth="1"/>
    <col min="33" max="33" width="47.1796875" style="1" bestFit="1" customWidth="1"/>
    <col min="34" max="35" width="54.90625" style="1" bestFit="1" customWidth="1"/>
    <col min="36" max="37" width="55.36328125" style="1" bestFit="1" customWidth="1"/>
    <col min="38" max="38" width="54.90625" style="1" bestFit="1" customWidth="1"/>
    <col min="39" max="52" width="55.36328125" style="1" bestFit="1" customWidth="1"/>
    <col min="53" max="55" width="54.90625" style="1" bestFit="1" customWidth="1"/>
    <col min="56" max="64" width="55.36328125" style="1" bestFit="1" customWidth="1"/>
    <col min="65" max="67" width="54.90625" style="1" bestFit="1" customWidth="1"/>
    <col min="68" max="68" width="69.6328125" style="1" bestFit="1" customWidth="1"/>
    <col min="69" max="69" width="51.90625" style="1" bestFit="1" customWidth="1"/>
    <col min="70" max="71" width="54.6328125" style="1" bestFit="1" customWidth="1"/>
    <col min="72" max="72" width="67.1796875" style="1" bestFit="1" customWidth="1"/>
    <col min="73" max="73" width="255.6328125" style="1" bestFit="1" customWidth="1"/>
    <col min="74" max="74" width="76.90625" style="1" bestFit="1" customWidth="1"/>
    <col min="75" max="75" width="138.08984375" style="1" bestFit="1" customWidth="1"/>
    <col min="76" max="83" width="138.54296875" style="1" bestFit="1" customWidth="1"/>
    <col min="84" max="84" width="139.453125" style="1" bestFit="1" customWidth="1"/>
    <col min="85" max="85" width="138.7265625" style="1" bestFit="1" customWidth="1"/>
    <col min="86" max="86" width="139.453125" style="1" bestFit="1" customWidth="1"/>
    <col min="87" max="87" width="142.6328125" style="1" bestFit="1" customWidth="1"/>
    <col min="88" max="88" width="90.54296875" style="1" bestFit="1" customWidth="1"/>
    <col min="89" max="89" width="118.08984375" style="1" bestFit="1" customWidth="1"/>
    <col min="90" max="90" width="100.08984375" style="1" bestFit="1" customWidth="1"/>
    <col min="91" max="91" width="118.26953125" style="1" bestFit="1" customWidth="1"/>
    <col min="92" max="92" width="97.36328125" style="1" bestFit="1" customWidth="1"/>
    <col min="93" max="93" width="100.08984375" style="1" bestFit="1" customWidth="1"/>
    <col min="94" max="94" width="104.90625" style="1" bestFit="1" customWidth="1"/>
    <col min="95" max="95" width="47.6328125" style="1" bestFit="1" customWidth="1"/>
    <col min="96" max="96" width="64.453125" style="1" bestFit="1" customWidth="1"/>
    <col min="97" max="97" width="29.6328125" style="1" bestFit="1" customWidth="1"/>
    <col min="98" max="98" width="30.54296875" style="1" bestFit="1" customWidth="1"/>
    <col min="99" max="99" width="62.1796875" style="1" bestFit="1" customWidth="1"/>
    <col min="100" max="16384" width="8.90625" style="1"/>
  </cols>
  <sheetData>
    <row r="1" spans="1:99" s="6" customFormat="1" x14ac:dyDescent="0.35">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6" t="s">
        <v>15</v>
      </c>
      <c r="Q1" s="6" t="s">
        <v>16</v>
      </c>
      <c r="R1" s="6" t="s">
        <v>17</v>
      </c>
      <c r="S1" s="6" t="s">
        <v>18</v>
      </c>
      <c r="T1" s="6" t="s">
        <v>19</v>
      </c>
      <c r="U1" s="6" t="s">
        <v>20</v>
      </c>
      <c r="V1" s="6" t="s">
        <v>21</v>
      </c>
      <c r="W1" s="6" t="s">
        <v>22</v>
      </c>
      <c r="X1" s="6" t="s">
        <v>23</v>
      </c>
      <c r="Y1" s="6" t="s">
        <v>24</v>
      </c>
      <c r="Z1" s="6" t="s">
        <v>25</v>
      </c>
      <c r="AA1" s="6" t="s">
        <v>26</v>
      </c>
      <c r="AB1" s="6" t="s">
        <v>27</v>
      </c>
      <c r="AC1" s="6" t="s">
        <v>28</v>
      </c>
      <c r="AD1" s="6" t="s">
        <v>29</v>
      </c>
      <c r="AE1" s="6" t="s">
        <v>30</v>
      </c>
      <c r="AF1" s="6" t="s">
        <v>31</v>
      </c>
      <c r="AG1" s="6" t="s">
        <v>32</v>
      </c>
      <c r="AH1" s="6" t="s">
        <v>33</v>
      </c>
      <c r="AI1" s="6" t="s">
        <v>33</v>
      </c>
      <c r="AJ1" s="6" t="s">
        <v>34</v>
      </c>
      <c r="AK1" s="6" t="s">
        <v>34</v>
      </c>
      <c r="AL1" s="6" t="s">
        <v>33</v>
      </c>
      <c r="AM1" s="6" t="s">
        <v>34</v>
      </c>
      <c r="AN1" s="6" t="s">
        <v>34</v>
      </c>
      <c r="AO1" s="6" t="s">
        <v>34</v>
      </c>
      <c r="AP1" s="6" t="s">
        <v>34</v>
      </c>
      <c r="AQ1" s="6" t="s">
        <v>34</v>
      </c>
      <c r="AR1" s="6" t="s">
        <v>34</v>
      </c>
      <c r="AS1" s="6" t="s">
        <v>34</v>
      </c>
      <c r="AT1" s="6" t="s">
        <v>34</v>
      </c>
      <c r="AU1" s="6" t="s">
        <v>34</v>
      </c>
      <c r="AV1" s="6" t="s">
        <v>34</v>
      </c>
      <c r="AW1" s="6" t="s">
        <v>34</v>
      </c>
      <c r="AX1" s="6" t="s">
        <v>34</v>
      </c>
      <c r="AY1" s="6" t="s">
        <v>34</v>
      </c>
      <c r="AZ1" s="6" t="s">
        <v>34</v>
      </c>
      <c r="BA1" s="6" t="s">
        <v>33</v>
      </c>
      <c r="BB1" s="6" t="s">
        <v>33</v>
      </c>
      <c r="BC1" s="6" t="s">
        <v>33</v>
      </c>
      <c r="BD1" s="6" t="s">
        <v>34</v>
      </c>
      <c r="BE1" s="6" t="s">
        <v>34</v>
      </c>
      <c r="BF1" s="6" t="s">
        <v>34</v>
      </c>
      <c r="BG1" s="6" t="s">
        <v>34</v>
      </c>
      <c r="BH1" s="6" t="s">
        <v>34</v>
      </c>
      <c r="BI1" s="6" t="s">
        <v>34</v>
      </c>
      <c r="BJ1" s="6" t="s">
        <v>34</v>
      </c>
      <c r="BK1" s="6" t="s">
        <v>34</v>
      </c>
      <c r="BL1" s="6" t="s">
        <v>34</v>
      </c>
      <c r="BM1" s="6" t="s">
        <v>33</v>
      </c>
      <c r="BN1" s="6" t="s">
        <v>33</v>
      </c>
      <c r="BO1" s="6" t="s">
        <v>33</v>
      </c>
      <c r="BP1" s="6" t="s">
        <v>35</v>
      </c>
      <c r="BQ1" s="6" t="s">
        <v>36</v>
      </c>
      <c r="BR1" s="6" t="s">
        <v>37</v>
      </c>
      <c r="BS1" s="6" t="s">
        <v>38</v>
      </c>
      <c r="BT1" s="6" t="s">
        <v>39</v>
      </c>
      <c r="BU1" s="6" t="s">
        <v>40</v>
      </c>
      <c r="BV1" s="6" t="s">
        <v>41</v>
      </c>
      <c r="BW1" s="6" t="s">
        <v>42</v>
      </c>
      <c r="BX1" s="6" t="s">
        <v>43</v>
      </c>
      <c r="BY1" s="6" t="s">
        <v>44</v>
      </c>
      <c r="BZ1" s="6" t="s">
        <v>45</v>
      </c>
      <c r="CA1" s="6" t="s">
        <v>46</v>
      </c>
      <c r="CB1" s="6" t="s">
        <v>47</v>
      </c>
      <c r="CC1" s="6" t="s">
        <v>48</v>
      </c>
      <c r="CD1" s="6" t="s">
        <v>49</v>
      </c>
      <c r="CE1" s="6" t="s">
        <v>50</v>
      </c>
      <c r="CF1" s="6" t="s">
        <v>51</v>
      </c>
      <c r="CG1" s="6" t="s">
        <v>52</v>
      </c>
      <c r="CH1" s="6" t="s">
        <v>53</v>
      </c>
      <c r="CI1" s="6" t="s">
        <v>54</v>
      </c>
      <c r="CJ1" s="6" t="s">
        <v>55</v>
      </c>
      <c r="CK1" s="6" t="s">
        <v>56</v>
      </c>
      <c r="CL1" s="6" t="s">
        <v>57</v>
      </c>
      <c r="CM1" s="6" t="s">
        <v>58</v>
      </c>
      <c r="CN1" s="6" t="s">
        <v>59</v>
      </c>
      <c r="CO1" s="6" t="s">
        <v>60</v>
      </c>
      <c r="CP1" s="6" t="s">
        <v>61</v>
      </c>
      <c r="CQ1" s="6" t="s">
        <v>62</v>
      </c>
      <c r="CR1" s="6" t="s">
        <v>63</v>
      </c>
      <c r="CS1" s="6" t="s">
        <v>64</v>
      </c>
      <c r="CT1" s="6" t="s">
        <v>65</v>
      </c>
      <c r="CU1" s="6" t="s">
        <v>66</v>
      </c>
    </row>
    <row r="2" spans="1:99" x14ac:dyDescent="0.35">
      <c r="A2" s="1" t="s">
        <v>1992</v>
      </c>
      <c r="B2" s="1">
        <v>181321001</v>
      </c>
      <c r="C2" s="1">
        <v>0</v>
      </c>
      <c r="D2" s="1">
        <v>1</v>
      </c>
      <c r="E2" s="1">
        <v>0</v>
      </c>
      <c r="F2" s="1">
        <v>0</v>
      </c>
      <c r="G2" s="1">
        <v>0</v>
      </c>
      <c r="H2" s="1">
        <v>1</v>
      </c>
      <c r="I2" s="1">
        <v>1</v>
      </c>
      <c r="J2" s="1">
        <v>1</v>
      </c>
      <c r="K2" s="1">
        <v>1</v>
      </c>
      <c r="L2" s="1">
        <v>0</v>
      </c>
      <c r="M2" s="1">
        <v>1</v>
      </c>
      <c r="N2" s="1">
        <v>0</v>
      </c>
      <c r="O2" s="1">
        <v>0</v>
      </c>
      <c r="P2" s="1">
        <f>-100</f>
        <v>-100</v>
      </c>
      <c r="Q2" s="1">
        <f>+-50</f>
        <v>-50</v>
      </c>
      <c r="R2" s="1">
        <f>-50</f>
        <v>-50</v>
      </c>
      <c r="S2" s="1">
        <v>1</v>
      </c>
      <c r="T2" s="1">
        <v>1</v>
      </c>
      <c r="U2" s="1">
        <v>4</v>
      </c>
      <c r="V2" s="1">
        <v>4</v>
      </c>
      <c r="W2" s="1">
        <v>4</v>
      </c>
      <c r="X2" s="1">
        <v>4</v>
      </c>
      <c r="Y2" s="1">
        <v>4</v>
      </c>
      <c r="Z2" s="1">
        <v>4</v>
      </c>
      <c r="AA2" s="1">
        <v>4</v>
      </c>
      <c r="AC2" s="1">
        <v>1</v>
      </c>
      <c r="AD2" s="1">
        <v>4</v>
      </c>
      <c r="AF2" s="3">
        <v>5000000</v>
      </c>
      <c r="AG2" s="1">
        <v>13</v>
      </c>
      <c r="AT2" s="1" t="s">
        <v>750</v>
      </c>
      <c r="BP2" s="1">
        <v>3</v>
      </c>
      <c r="BQ2" s="1" t="s">
        <v>1993</v>
      </c>
      <c r="BR2" s="1" t="s">
        <v>1994</v>
      </c>
      <c r="BT2" s="1" t="s">
        <v>73</v>
      </c>
      <c r="BU2" s="1">
        <v>1</v>
      </c>
      <c r="BV2" s="1">
        <v>2</v>
      </c>
      <c r="BW2" s="1">
        <v>1</v>
      </c>
      <c r="BX2" s="1">
        <v>0</v>
      </c>
      <c r="BY2" s="1">
        <v>0</v>
      </c>
      <c r="BZ2" s="1">
        <v>0</v>
      </c>
      <c r="CA2" s="1">
        <v>0</v>
      </c>
      <c r="CB2" s="1">
        <v>0</v>
      </c>
      <c r="CC2" s="1">
        <v>0</v>
      </c>
      <c r="CD2" s="1">
        <v>0</v>
      </c>
      <c r="CE2" s="1">
        <v>0</v>
      </c>
      <c r="CF2" s="1">
        <v>1</v>
      </c>
      <c r="CG2" s="1">
        <v>0</v>
      </c>
      <c r="CH2" s="1">
        <v>0</v>
      </c>
      <c r="CI2" s="1">
        <v>0</v>
      </c>
      <c r="CJ2" s="1">
        <v>4</v>
      </c>
      <c r="CK2" s="1">
        <v>4</v>
      </c>
      <c r="CL2" s="1">
        <v>4</v>
      </c>
      <c r="CM2" s="1">
        <v>4</v>
      </c>
      <c r="CN2" s="1">
        <v>4</v>
      </c>
      <c r="CO2" s="1">
        <v>4</v>
      </c>
      <c r="CP2" s="1">
        <v>4</v>
      </c>
      <c r="CU2" s="1">
        <v>2</v>
      </c>
    </row>
    <row r="3" spans="1:99" x14ac:dyDescent="0.35">
      <c r="A3" s="1" t="s">
        <v>1995</v>
      </c>
      <c r="B3" s="1">
        <v>181321002</v>
      </c>
      <c r="C3" s="1">
        <v>1</v>
      </c>
      <c r="D3" s="1">
        <v>1</v>
      </c>
      <c r="E3" s="1">
        <v>0</v>
      </c>
      <c r="F3" s="1">
        <v>0</v>
      </c>
      <c r="G3" s="1">
        <v>0</v>
      </c>
      <c r="H3" s="1">
        <v>0</v>
      </c>
      <c r="I3" s="1">
        <v>0</v>
      </c>
      <c r="J3" s="1">
        <v>0</v>
      </c>
      <c r="K3" s="1">
        <v>1</v>
      </c>
      <c r="L3" s="1">
        <v>0</v>
      </c>
      <c r="M3" s="1">
        <v>0</v>
      </c>
      <c r="N3" s="1">
        <v>0</v>
      </c>
      <c r="P3" s="1" t="s">
        <v>1996</v>
      </c>
      <c r="Q3" s="1" t="s">
        <v>398</v>
      </c>
      <c r="R3" s="1" t="s">
        <v>124</v>
      </c>
      <c r="S3" s="1">
        <v>1</v>
      </c>
      <c r="T3" s="1">
        <v>3</v>
      </c>
      <c r="U3" s="1">
        <v>4</v>
      </c>
      <c r="V3" s="1">
        <v>4</v>
      </c>
      <c r="W3" s="1">
        <v>4</v>
      </c>
      <c r="X3" s="1">
        <v>4</v>
      </c>
      <c r="Y3" s="1">
        <v>4</v>
      </c>
      <c r="Z3" s="1">
        <v>4</v>
      </c>
      <c r="AA3" s="1">
        <v>4</v>
      </c>
      <c r="AC3" s="1">
        <v>2</v>
      </c>
      <c r="AE3" s="1">
        <v>1</v>
      </c>
      <c r="AF3" s="3">
        <v>4000000</v>
      </c>
      <c r="AG3" s="1">
        <v>13</v>
      </c>
      <c r="AT3" s="1" t="s">
        <v>93</v>
      </c>
      <c r="BP3" s="1">
        <v>3</v>
      </c>
      <c r="BQ3" s="1" t="s">
        <v>1997</v>
      </c>
      <c r="BR3" s="1" t="s">
        <v>1998</v>
      </c>
      <c r="BS3" s="1" t="s">
        <v>1999</v>
      </c>
      <c r="BT3" s="1" t="s">
        <v>79</v>
      </c>
      <c r="BU3" s="1">
        <v>3</v>
      </c>
      <c r="BV3" s="1">
        <v>3</v>
      </c>
      <c r="BW3" s="1">
        <v>0</v>
      </c>
      <c r="BX3" s="1">
        <v>1</v>
      </c>
      <c r="BY3" s="1">
        <v>0</v>
      </c>
      <c r="BZ3" s="1">
        <v>0</v>
      </c>
      <c r="CA3" s="1">
        <v>0</v>
      </c>
      <c r="CB3" s="1">
        <v>0</v>
      </c>
      <c r="CC3" s="1">
        <v>0</v>
      </c>
      <c r="CD3" s="1">
        <v>0</v>
      </c>
      <c r="CE3" s="1">
        <v>1</v>
      </c>
      <c r="CF3" s="1">
        <v>0</v>
      </c>
      <c r="CG3" s="1">
        <v>0</v>
      </c>
      <c r="CH3" s="1">
        <v>1</v>
      </c>
      <c r="CI3" s="1">
        <v>0</v>
      </c>
      <c r="CJ3" s="1">
        <v>4</v>
      </c>
      <c r="CK3" s="1">
        <v>4</v>
      </c>
      <c r="CL3" s="1">
        <v>4</v>
      </c>
      <c r="CM3" s="1">
        <v>4</v>
      </c>
      <c r="CN3" s="1">
        <v>4</v>
      </c>
      <c r="CO3" s="1">
        <v>4</v>
      </c>
      <c r="CP3" s="1">
        <v>4</v>
      </c>
      <c r="CU3" s="1">
        <v>2</v>
      </c>
    </row>
    <row r="4" spans="1:99" x14ac:dyDescent="0.35">
      <c r="A4" s="1" t="s">
        <v>2000</v>
      </c>
      <c r="B4" s="1">
        <v>181321003</v>
      </c>
      <c r="C4" s="1">
        <v>1</v>
      </c>
      <c r="D4" s="1">
        <v>1</v>
      </c>
      <c r="E4" s="1">
        <v>0</v>
      </c>
      <c r="F4" s="1">
        <v>0</v>
      </c>
      <c r="G4" s="1">
        <v>0</v>
      </c>
      <c r="H4" s="1">
        <v>0</v>
      </c>
      <c r="I4" s="1">
        <v>1</v>
      </c>
      <c r="J4" s="1">
        <v>0</v>
      </c>
      <c r="K4" s="1">
        <v>0</v>
      </c>
      <c r="L4" s="1">
        <v>0</v>
      </c>
      <c r="M4" s="1">
        <v>0</v>
      </c>
      <c r="N4" s="1">
        <v>0</v>
      </c>
      <c r="O4" s="1">
        <v>0</v>
      </c>
      <c r="P4" s="1">
        <v>15</v>
      </c>
      <c r="Q4" s="1">
        <v>9</v>
      </c>
      <c r="R4" s="1">
        <v>7</v>
      </c>
    </row>
    <row r="5" spans="1:99" x14ac:dyDescent="0.35">
      <c r="A5" s="1" t="s">
        <v>2001</v>
      </c>
      <c r="B5" s="1">
        <v>181321004</v>
      </c>
      <c r="C5" s="1">
        <v>1</v>
      </c>
      <c r="D5" s="1">
        <v>1</v>
      </c>
      <c r="E5" s="1">
        <v>0</v>
      </c>
      <c r="F5" s="1">
        <v>0</v>
      </c>
      <c r="G5" s="1">
        <v>0</v>
      </c>
      <c r="H5" s="1">
        <v>1</v>
      </c>
      <c r="I5" s="1">
        <v>1</v>
      </c>
      <c r="J5" s="1">
        <v>1</v>
      </c>
      <c r="K5" s="1">
        <v>1</v>
      </c>
      <c r="L5" s="1">
        <v>0</v>
      </c>
      <c r="M5" s="1">
        <v>1</v>
      </c>
      <c r="N5" s="1">
        <v>1</v>
      </c>
      <c r="O5" s="1">
        <v>0</v>
      </c>
      <c r="P5" s="1">
        <v>20</v>
      </c>
      <c r="Q5" s="1">
        <v>18</v>
      </c>
      <c r="R5" s="1">
        <v>18</v>
      </c>
      <c r="S5" s="1">
        <v>1</v>
      </c>
      <c r="T5" s="1">
        <v>1</v>
      </c>
      <c r="U5" s="1">
        <v>4</v>
      </c>
      <c r="V5" s="1">
        <v>4</v>
      </c>
      <c r="W5" s="1">
        <v>3</v>
      </c>
      <c r="X5" s="1">
        <v>4</v>
      </c>
      <c r="Y5" s="1">
        <v>4</v>
      </c>
      <c r="Z5" s="1">
        <v>4</v>
      </c>
      <c r="AA5" s="1">
        <v>4</v>
      </c>
      <c r="AC5" s="1">
        <v>2</v>
      </c>
      <c r="AE5" s="1">
        <v>7</v>
      </c>
      <c r="AF5" s="3">
        <v>5500000</v>
      </c>
      <c r="AG5" s="1">
        <v>13</v>
      </c>
      <c r="AT5" s="1" t="s">
        <v>1809</v>
      </c>
      <c r="BP5" s="1">
        <v>3</v>
      </c>
      <c r="BQ5" s="1" t="s">
        <v>2002</v>
      </c>
      <c r="BR5" s="1" t="s">
        <v>2003</v>
      </c>
      <c r="BS5" s="1" t="s">
        <v>2004</v>
      </c>
      <c r="BT5" s="1" t="s">
        <v>107</v>
      </c>
      <c r="BU5" s="1">
        <v>3</v>
      </c>
      <c r="BV5" s="1">
        <v>1</v>
      </c>
      <c r="BW5" s="1">
        <v>1</v>
      </c>
      <c r="BX5" s="1">
        <v>0</v>
      </c>
      <c r="BY5" s="1">
        <v>0</v>
      </c>
      <c r="BZ5" s="1">
        <v>0</v>
      </c>
      <c r="CA5" s="1">
        <v>0</v>
      </c>
      <c r="CB5" s="1">
        <v>0</v>
      </c>
      <c r="CC5" s="1">
        <v>0</v>
      </c>
      <c r="CD5" s="1">
        <v>0</v>
      </c>
      <c r="CE5" s="1">
        <v>0</v>
      </c>
      <c r="CF5" s="1">
        <v>0</v>
      </c>
      <c r="CG5" s="1">
        <v>0</v>
      </c>
      <c r="CH5" s="1">
        <v>0</v>
      </c>
      <c r="CI5" s="1">
        <v>0</v>
      </c>
      <c r="CJ5" s="1">
        <v>4</v>
      </c>
      <c r="CK5" s="1">
        <v>4</v>
      </c>
      <c r="CL5" s="1">
        <v>4</v>
      </c>
      <c r="CM5" s="1">
        <v>4</v>
      </c>
      <c r="CN5" s="1">
        <v>4</v>
      </c>
      <c r="CO5" s="1">
        <v>4</v>
      </c>
      <c r="CP5" s="1">
        <v>4</v>
      </c>
      <c r="CU5" s="1">
        <v>3</v>
      </c>
    </row>
    <row r="6" spans="1:99" x14ac:dyDescent="0.35">
      <c r="A6" s="1" t="s">
        <v>2005</v>
      </c>
      <c r="B6" s="1">
        <v>181321005</v>
      </c>
      <c r="C6" s="1">
        <v>0</v>
      </c>
      <c r="D6" s="1">
        <v>0</v>
      </c>
      <c r="E6" s="1">
        <v>0</v>
      </c>
      <c r="F6" s="1">
        <v>0</v>
      </c>
      <c r="G6" s="1">
        <v>0</v>
      </c>
      <c r="H6" s="1">
        <v>0</v>
      </c>
      <c r="I6" s="1">
        <v>0</v>
      </c>
      <c r="J6" s="1">
        <v>0</v>
      </c>
      <c r="K6" s="1">
        <v>1</v>
      </c>
      <c r="L6" s="1">
        <v>1</v>
      </c>
      <c r="M6" s="1">
        <v>0</v>
      </c>
      <c r="N6" s="1">
        <v>0</v>
      </c>
      <c r="O6" s="1">
        <v>0</v>
      </c>
      <c r="P6" s="1" t="s">
        <v>1329</v>
      </c>
      <c r="Q6" s="1" t="s">
        <v>1329</v>
      </c>
      <c r="R6" s="1" t="s">
        <v>1329</v>
      </c>
      <c r="S6" s="1">
        <v>3</v>
      </c>
      <c r="T6" s="1">
        <v>1</v>
      </c>
      <c r="U6" s="1">
        <v>3</v>
      </c>
      <c r="V6" s="1">
        <v>3</v>
      </c>
      <c r="W6" s="1">
        <v>2</v>
      </c>
      <c r="X6" s="1">
        <v>3</v>
      </c>
      <c r="Y6" s="1">
        <v>3</v>
      </c>
      <c r="Z6" s="1">
        <v>3</v>
      </c>
      <c r="AA6" s="1">
        <v>3</v>
      </c>
      <c r="AB6" s="1">
        <v>3</v>
      </c>
      <c r="AC6" s="1">
        <v>1</v>
      </c>
      <c r="AD6" s="1">
        <v>2</v>
      </c>
      <c r="AF6" s="3">
        <v>6500000</v>
      </c>
      <c r="AG6" s="1">
        <v>14</v>
      </c>
      <c r="AU6" s="1" t="s">
        <v>2006</v>
      </c>
      <c r="BP6" s="1" t="s">
        <v>2007</v>
      </c>
      <c r="BQ6" s="1" t="s">
        <v>2007</v>
      </c>
      <c r="BR6" s="1" t="s">
        <v>2008</v>
      </c>
      <c r="BS6" s="1" t="s">
        <v>2009</v>
      </c>
      <c r="BT6" s="1" t="s">
        <v>107</v>
      </c>
      <c r="BU6" s="1">
        <v>4</v>
      </c>
      <c r="BV6" s="1">
        <v>2</v>
      </c>
      <c r="BW6" s="1">
        <v>0</v>
      </c>
      <c r="BX6" s="1">
        <v>0</v>
      </c>
      <c r="BY6" s="1">
        <v>0</v>
      </c>
      <c r="BZ6" s="1">
        <v>0</v>
      </c>
      <c r="CA6" s="1">
        <v>0</v>
      </c>
      <c r="CB6" s="1">
        <v>1</v>
      </c>
      <c r="CC6" s="1">
        <v>1</v>
      </c>
      <c r="CD6" s="1">
        <v>0</v>
      </c>
      <c r="CE6" s="1">
        <v>1</v>
      </c>
      <c r="CF6" s="1">
        <v>0</v>
      </c>
      <c r="CG6" s="1">
        <v>1</v>
      </c>
      <c r="CH6" s="1">
        <v>0</v>
      </c>
      <c r="CI6" s="1">
        <v>0</v>
      </c>
      <c r="CJ6" s="1">
        <v>4</v>
      </c>
      <c r="CK6" s="1">
        <v>3</v>
      </c>
      <c r="CL6" s="1">
        <v>3</v>
      </c>
      <c r="CM6" s="1">
        <v>4</v>
      </c>
      <c r="CN6" s="1">
        <v>4</v>
      </c>
      <c r="CO6" s="1">
        <v>4</v>
      </c>
      <c r="CP6" s="1">
        <v>4</v>
      </c>
      <c r="CU6" s="1" t="s">
        <v>2010</v>
      </c>
    </row>
    <row r="7" spans="1:99" x14ac:dyDescent="0.35">
      <c r="A7" s="1" t="s">
        <v>2011</v>
      </c>
      <c r="B7" s="1">
        <v>181321006</v>
      </c>
      <c r="C7" s="1">
        <v>0</v>
      </c>
      <c r="D7" s="1">
        <v>1</v>
      </c>
      <c r="E7" s="1">
        <v>0</v>
      </c>
      <c r="F7" s="1">
        <v>0</v>
      </c>
      <c r="G7" s="1">
        <v>0</v>
      </c>
      <c r="H7" s="1">
        <v>1</v>
      </c>
      <c r="I7" s="1">
        <v>0</v>
      </c>
      <c r="J7" s="1">
        <v>0</v>
      </c>
      <c r="K7" s="1">
        <v>1</v>
      </c>
      <c r="L7" s="1">
        <v>0</v>
      </c>
      <c r="M7" s="1">
        <v>0</v>
      </c>
      <c r="N7" s="1">
        <v>0</v>
      </c>
      <c r="O7" s="1">
        <v>0</v>
      </c>
      <c r="P7" s="1">
        <v>3</v>
      </c>
      <c r="Q7" s="1">
        <v>1</v>
      </c>
      <c r="R7" s="1">
        <v>1</v>
      </c>
      <c r="S7" s="1">
        <v>1</v>
      </c>
      <c r="T7" s="1">
        <v>1</v>
      </c>
      <c r="U7" s="1">
        <v>4</v>
      </c>
      <c r="V7" s="1">
        <v>4</v>
      </c>
      <c r="W7" s="1">
        <v>3</v>
      </c>
      <c r="X7" s="1">
        <v>4</v>
      </c>
      <c r="Y7" s="1">
        <v>3</v>
      </c>
      <c r="Z7" s="1">
        <v>3</v>
      </c>
      <c r="AA7" s="1">
        <v>3</v>
      </c>
      <c r="AC7" s="1">
        <v>2</v>
      </c>
      <c r="AE7" s="1">
        <v>9</v>
      </c>
      <c r="AF7" s="3">
        <v>4500000</v>
      </c>
      <c r="AG7" s="1">
        <v>13</v>
      </c>
      <c r="AT7" s="1" t="s">
        <v>86</v>
      </c>
      <c r="BP7" s="1">
        <v>3</v>
      </c>
      <c r="BQ7" s="1" t="s">
        <v>2012</v>
      </c>
      <c r="BR7" s="1" t="s">
        <v>2013</v>
      </c>
      <c r="BS7" s="1" t="s">
        <v>2014</v>
      </c>
      <c r="BT7" s="1" t="s">
        <v>79</v>
      </c>
      <c r="BU7" s="1">
        <v>5</v>
      </c>
      <c r="BV7" s="1">
        <v>2</v>
      </c>
      <c r="BW7" s="1">
        <v>0</v>
      </c>
      <c r="BX7" s="1">
        <v>0</v>
      </c>
      <c r="BY7" s="1">
        <v>0</v>
      </c>
      <c r="BZ7" s="1">
        <v>0</v>
      </c>
      <c r="CA7" s="1">
        <v>0</v>
      </c>
      <c r="CB7" s="1">
        <v>0</v>
      </c>
      <c r="CC7" s="1">
        <v>0</v>
      </c>
      <c r="CD7" s="1">
        <v>0</v>
      </c>
      <c r="CE7" s="1">
        <v>0</v>
      </c>
      <c r="CF7" s="1">
        <v>1</v>
      </c>
      <c r="CG7" s="1">
        <v>0</v>
      </c>
      <c r="CH7" s="1">
        <v>0</v>
      </c>
      <c r="CI7" s="1">
        <v>0</v>
      </c>
      <c r="CJ7" s="1">
        <v>4</v>
      </c>
      <c r="CK7" s="1">
        <v>3</v>
      </c>
      <c r="CL7" s="1">
        <v>3</v>
      </c>
      <c r="CM7" s="1">
        <v>4</v>
      </c>
      <c r="CN7" s="1">
        <v>4</v>
      </c>
      <c r="CO7" s="1">
        <v>4</v>
      </c>
      <c r="CP7" s="1">
        <v>3</v>
      </c>
      <c r="CU7" s="1">
        <v>1</v>
      </c>
    </row>
    <row r="8" spans="1:99" x14ac:dyDescent="0.35">
      <c r="A8" s="1" t="s">
        <v>2015</v>
      </c>
      <c r="B8" s="1">
        <v>181321009</v>
      </c>
      <c r="C8" s="1">
        <v>0</v>
      </c>
      <c r="D8" s="1">
        <v>1</v>
      </c>
      <c r="E8" s="1">
        <v>0</v>
      </c>
      <c r="F8" s="1">
        <v>0</v>
      </c>
      <c r="G8" s="1">
        <v>0</v>
      </c>
      <c r="H8" s="1">
        <v>1</v>
      </c>
      <c r="I8" s="1">
        <v>0</v>
      </c>
      <c r="J8" s="1">
        <v>0</v>
      </c>
      <c r="K8" s="1">
        <v>1</v>
      </c>
      <c r="L8" s="1">
        <v>0</v>
      </c>
      <c r="M8" s="1">
        <v>0</v>
      </c>
      <c r="N8" s="1">
        <v>0</v>
      </c>
      <c r="O8" s="1">
        <v>0</v>
      </c>
      <c r="P8" s="1">
        <v>100</v>
      </c>
      <c r="Q8" s="1">
        <v>20</v>
      </c>
      <c r="R8" s="1">
        <v>10</v>
      </c>
      <c r="S8" s="1">
        <v>1</v>
      </c>
      <c r="T8" s="1">
        <v>1</v>
      </c>
      <c r="U8" s="1">
        <v>3</v>
      </c>
      <c r="V8" s="1">
        <v>3</v>
      </c>
      <c r="W8" s="1">
        <v>3</v>
      </c>
      <c r="X8" s="1">
        <v>3</v>
      </c>
      <c r="Y8" s="1">
        <v>3</v>
      </c>
      <c r="Z8" s="1">
        <v>3</v>
      </c>
      <c r="AA8" s="1">
        <v>3</v>
      </c>
      <c r="AC8" s="1">
        <v>2</v>
      </c>
      <c r="AE8" s="1">
        <v>10</v>
      </c>
      <c r="AF8" s="3">
        <v>4300000</v>
      </c>
      <c r="AG8" s="1">
        <v>13</v>
      </c>
      <c r="AT8" s="1" t="s">
        <v>1272</v>
      </c>
      <c r="BP8" s="1">
        <v>3</v>
      </c>
      <c r="BQ8" s="1" t="s">
        <v>2016</v>
      </c>
      <c r="BR8" s="1" t="s">
        <v>2017</v>
      </c>
      <c r="BS8" s="1" t="s">
        <v>2018</v>
      </c>
      <c r="BT8" s="1" t="s">
        <v>79</v>
      </c>
      <c r="BU8" s="1">
        <v>3</v>
      </c>
      <c r="BV8" s="1">
        <v>2</v>
      </c>
      <c r="BW8" s="1">
        <v>1</v>
      </c>
      <c r="BX8" s="1">
        <v>0</v>
      </c>
      <c r="BY8" s="1">
        <v>0</v>
      </c>
      <c r="BZ8" s="1">
        <v>0</v>
      </c>
      <c r="CA8" s="1">
        <v>0</v>
      </c>
      <c r="CB8" s="1">
        <v>0</v>
      </c>
      <c r="CC8" s="1">
        <v>0</v>
      </c>
      <c r="CD8" s="1">
        <v>0</v>
      </c>
      <c r="CE8" s="1">
        <v>0</v>
      </c>
      <c r="CF8" s="1">
        <v>0</v>
      </c>
      <c r="CG8" s="1">
        <v>0</v>
      </c>
      <c r="CH8" s="1">
        <v>0</v>
      </c>
      <c r="CI8" s="1">
        <v>0</v>
      </c>
      <c r="CJ8" s="1">
        <v>3</v>
      </c>
      <c r="CK8" s="1">
        <v>3</v>
      </c>
      <c r="CL8" s="1">
        <v>3</v>
      </c>
      <c r="CM8" s="1">
        <v>3</v>
      </c>
      <c r="CN8" s="1">
        <v>3</v>
      </c>
      <c r="CO8" s="1">
        <v>3</v>
      </c>
      <c r="CP8" s="1">
        <v>3</v>
      </c>
      <c r="CU8" s="1">
        <v>1</v>
      </c>
    </row>
    <row r="9" spans="1:99" x14ac:dyDescent="0.35">
      <c r="A9" s="1" t="s">
        <v>2019</v>
      </c>
      <c r="B9" s="1">
        <v>181321011</v>
      </c>
      <c r="C9" s="1">
        <v>1</v>
      </c>
      <c r="D9" s="1">
        <v>1</v>
      </c>
      <c r="E9" s="1">
        <v>0</v>
      </c>
      <c r="F9" s="1">
        <v>0</v>
      </c>
      <c r="G9" s="1">
        <v>0</v>
      </c>
      <c r="H9" s="1">
        <v>0</v>
      </c>
      <c r="I9" s="1">
        <v>0</v>
      </c>
      <c r="J9" s="1">
        <v>0</v>
      </c>
      <c r="K9" s="1">
        <v>1</v>
      </c>
      <c r="L9" s="1">
        <v>0</v>
      </c>
      <c r="M9" s="1">
        <v>0</v>
      </c>
      <c r="N9" s="1">
        <v>0</v>
      </c>
      <c r="O9" s="1">
        <v>0</v>
      </c>
      <c r="P9" s="1" t="s">
        <v>2020</v>
      </c>
      <c r="Q9" s="1" t="s">
        <v>2021</v>
      </c>
      <c r="R9" s="1" t="s">
        <v>2022</v>
      </c>
      <c r="S9" s="1">
        <v>5</v>
      </c>
      <c r="T9" s="1">
        <v>1</v>
      </c>
      <c r="U9" s="1">
        <v>4</v>
      </c>
      <c r="V9" s="1">
        <v>4</v>
      </c>
      <c r="W9" s="1">
        <v>3</v>
      </c>
      <c r="X9" s="1">
        <v>4</v>
      </c>
      <c r="Y9" s="1">
        <v>4</v>
      </c>
      <c r="Z9" s="1">
        <v>4</v>
      </c>
      <c r="AA9" s="1">
        <v>4</v>
      </c>
      <c r="CU9" s="1">
        <v>4</v>
      </c>
    </row>
    <row r="10" spans="1:99" x14ac:dyDescent="0.35">
      <c r="A10" s="1" t="s">
        <v>2023</v>
      </c>
      <c r="B10" s="1">
        <v>181321014</v>
      </c>
      <c r="C10" s="1">
        <v>0</v>
      </c>
      <c r="D10" s="1">
        <v>1</v>
      </c>
      <c r="E10" s="1">
        <v>0</v>
      </c>
      <c r="F10" s="1">
        <v>0</v>
      </c>
      <c r="G10" s="1">
        <v>0</v>
      </c>
      <c r="H10" s="1">
        <v>0</v>
      </c>
      <c r="I10" s="1">
        <v>0</v>
      </c>
      <c r="J10" s="1">
        <v>0</v>
      </c>
      <c r="K10" s="1">
        <v>1</v>
      </c>
      <c r="L10" s="1">
        <v>0</v>
      </c>
      <c r="M10" s="1">
        <v>0</v>
      </c>
      <c r="N10" s="1">
        <v>0</v>
      </c>
      <c r="O10" s="1">
        <v>0</v>
      </c>
      <c r="P10" s="1" t="s">
        <v>2024</v>
      </c>
      <c r="Q10" s="1" t="s">
        <v>2024</v>
      </c>
      <c r="R10" s="1" t="s">
        <v>2025</v>
      </c>
      <c r="S10" s="1">
        <v>1</v>
      </c>
      <c r="T10" s="1">
        <v>1</v>
      </c>
      <c r="U10" s="1">
        <v>4</v>
      </c>
      <c r="V10" s="1">
        <v>3</v>
      </c>
      <c r="W10" s="1">
        <v>3</v>
      </c>
      <c r="X10" s="1">
        <v>3</v>
      </c>
      <c r="Y10" s="1">
        <v>3</v>
      </c>
      <c r="Z10" s="1">
        <v>3</v>
      </c>
      <c r="AA10" s="1">
        <v>3</v>
      </c>
      <c r="AC10" s="1">
        <v>1</v>
      </c>
      <c r="AD10" s="1">
        <v>6</v>
      </c>
      <c r="AF10" s="3">
        <v>3250000</v>
      </c>
      <c r="AG10" s="1">
        <v>13</v>
      </c>
      <c r="AT10" s="1" t="s">
        <v>93</v>
      </c>
      <c r="BP10" s="1">
        <v>3</v>
      </c>
      <c r="BQ10" s="1" t="s">
        <v>2026</v>
      </c>
      <c r="BR10" s="1" t="s">
        <v>2027</v>
      </c>
      <c r="BT10" s="1" t="s">
        <v>73</v>
      </c>
      <c r="BU10" s="1">
        <v>3</v>
      </c>
      <c r="BV10" s="1">
        <v>2</v>
      </c>
      <c r="BW10" s="1">
        <v>1</v>
      </c>
      <c r="BX10" s="1">
        <v>0</v>
      </c>
      <c r="BY10" s="1">
        <v>0</v>
      </c>
      <c r="BZ10" s="1">
        <v>0</v>
      </c>
      <c r="CA10" s="1">
        <v>0</v>
      </c>
      <c r="CB10" s="1">
        <v>0</v>
      </c>
      <c r="CC10" s="1">
        <v>0</v>
      </c>
      <c r="CD10" s="1">
        <v>0</v>
      </c>
      <c r="CE10" s="1">
        <v>0</v>
      </c>
      <c r="CF10" s="1">
        <v>0</v>
      </c>
      <c r="CG10" s="1">
        <v>0</v>
      </c>
      <c r="CH10" s="1">
        <v>0</v>
      </c>
      <c r="CI10" s="1">
        <v>0</v>
      </c>
      <c r="CJ10" s="1">
        <v>4</v>
      </c>
      <c r="CK10" s="1">
        <v>3</v>
      </c>
      <c r="CL10" s="1">
        <v>3</v>
      </c>
      <c r="CM10" s="1">
        <v>3</v>
      </c>
      <c r="CN10" s="1">
        <v>3</v>
      </c>
      <c r="CO10" s="1">
        <v>3</v>
      </c>
      <c r="CP10" s="1">
        <v>3</v>
      </c>
      <c r="CU10" s="1">
        <v>4</v>
      </c>
    </row>
    <row r="11" spans="1:99" x14ac:dyDescent="0.35">
      <c r="A11" s="1" t="s">
        <v>2028</v>
      </c>
      <c r="B11" s="1">
        <v>181321015</v>
      </c>
      <c r="C11" s="1">
        <v>0</v>
      </c>
      <c r="D11" s="1">
        <v>1</v>
      </c>
      <c r="E11" s="1">
        <v>0</v>
      </c>
      <c r="F11" s="1">
        <v>0</v>
      </c>
      <c r="G11" s="1">
        <v>0</v>
      </c>
      <c r="H11" s="1">
        <v>0</v>
      </c>
      <c r="I11" s="1">
        <v>0</v>
      </c>
      <c r="J11" s="1">
        <v>0</v>
      </c>
      <c r="K11" s="1">
        <v>1</v>
      </c>
      <c r="L11" s="1">
        <v>0</v>
      </c>
      <c r="M11" s="1">
        <v>0</v>
      </c>
      <c r="N11" s="1">
        <v>0</v>
      </c>
      <c r="O11" s="1">
        <v>0</v>
      </c>
      <c r="P11" s="1">
        <v>32</v>
      </c>
      <c r="Q11" s="1">
        <v>20</v>
      </c>
      <c r="R11" s="1">
        <v>20</v>
      </c>
      <c r="S11" s="1">
        <v>1</v>
      </c>
      <c r="T11" s="1">
        <v>1</v>
      </c>
      <c r="U11" s="1">
        <v>3</v>
      </c>
      <c r="V11" s="1">
        <v>2</v>
      </c>
      <c r="W11" s="1">
        <v>3</v>
      </c>
      <c r="X11" s="1">
        <v>3</v>
      </c>
      <c r="Y11" s="1">
        <v>3</v>
      </c>
      <c r="Z11" s="1">
        <v>3</v>
      </c>
      <c r="AA11" s="1">
        <v>4</v>
      </c>
      <c r="AC11" s="1">
        <v>2</v>
      </c>
      <c r="AE11" s="1">
        <v>4</v>
      </c>
      <c r="AF11" s="3">
        <v>4000000</v>
      </c>
      <c r="AG11" s="1">
        <v>13</v>
      </c>
      <c r="AT11" s="1" t="s">
        <v>905</v>
      </c>
      <c r="BP11" s="1">
        <v>3</v>
      </c>
      <c r="BQ11" s="1" t="s">
        <v>2029</v>
      </c>
      <c r="BR11" s="1" t="s">
        <v>2030</v>
      </c>
      <c r="BT11" s="1" t="s">
        <v>107</v>
      </c>
      <c r="BU11" s="1">
        <v>2</v>
      </c>
      <c r="BV11" s="1">
        <v>2</v>
      </c>
      <c r="BW11" s="1">
        <v>0</v>
      </c>
      <c r="BX11" s="1">
        <v>0</v>
      </c>
      <c r="BY11" s="1">
        <v>0</v>
      </c>
      <c r="BZ11" s="1">
        <v>0</v>
      </c>
      <c r="CA11" s="1">
        <v>0</v>
      </c>
      <c r="CB11" s="1">
        <v>0</v>
      </c>
      <c r="CC11" s="1">
        <v>0</v>
      </c>
      <c r="CD11" s="1">
        <v>0</v>
      </c>
      <c r="CE11" s="1">
        <v>0</v>
      </c>
      <c r="CF11" s="1">
        <v>0</v>
      </c>
      <c r="CG11" s="1">
        <v>0</v>
      </c>
      <c r="CH11" s="1">
        <v>0</v>
      </c>
      <c r="CJ11" s="1">
        <v>3</v>
      </c>
      <c r="CK11" s="1">
        <v>3</v>
      </c>
      <c r="CL11" s="1">
        <v>4</v>
      </c>
      <c r="CM11" s="1">
        <v>3</v>
      </c>
      <c r="CN11" s="1">
        <v>4</v>
      </c>
      <c r="CO11" s="1">
        <v>4</v>
      </c>
      <c r="CP11" s="1">
        <v>3</v>
      </c>
      <c r="CU11" s="1">
        <v>1</v>
      </c>
    </row>
    <row r="12" spans="1:99" x14ac:dyDescent="0.35">
      <c r="A12" s="1" t="s">
        <v>2031</v>
      </c>
      <c r="B12" s="1">
        <v>181321017</v>
      </c>
      <c r="C12" s="1">
        <v>0</v>
      </c>
      <c r="D12" s="1">
        <v>1</v>
      </c>
      <c r="E12" s="1">
        <v>0</v>
      </c>
      <c r="F12" s="1">
        <v>0</v>
      </c>
      <c r="G12" s="1">
        <v>0</v>
      </c>
      <c r="H12" s="1">
        <v>0</v>
      </c>
      <c r="I12" s="1">
        <v>0</v>
      </c>
      <c r="J12" s="1">
        <v>1</v>
      </c>
      <c r="K12" s="1">
        <v>1</v>
      </c>
      <c r="L12" s="1">
        <v>0</v>
      </c>
      <c r="M12" s="1">
        <v>0</v>
      </c>
      <c r="N12" s="1">
        <v>0</v>
      </c>
      <c r="O12" s="1">
        <v>0</v>
      </c>
      <c r="P12" s="1">
        <v>3</v>
      </c>
      <c r="Q12" s="1">
        <v>2</v>
      </c>
      <c r="R12" s="1">
        <v>1</v>
      </c>
      <c r="S12" s="1">
        <v>1</v>
      </c>
      <c r="T12" s="1">
        <v>1</v>
      </c>
      <c r="U12" s="1">
        <v>4</v>
      </c>
      <c r="V12" s="1">
        <v>2</v>
      </c>
      <c r="W12" s="1">
        <v>3</v>
      </c>
      <c r="X12" s="1">
        <v>3</v>
      </c>
      <c r="Y12" s="1">
        <v>4</v>
      </c>
      <c r="Z12" s="1">
        <v>4</v>
      </c>
      <c r="AA12" s="1">
        <v>4</v>
      </c>
      <c r="AC12" s="1">
        <v>1</v>
      </c>
      <c r="AD12" s="1">
        <v>0</v>
      </c>
      <c r="AF12" s="3">
        <v>7500000</v>
      </c>
      <c r="AG12" s="1">
        <v>13</v>
      </c>
      <c r="AT12" s="1" t="s">
        <v>75</v>
      </c>
      <c r="BP12" s="1">
        <v>3</v>
      </c>
      <c r="BQ12" s="1" t="s">
        <v>1496</v>
      </c>
      <c r="BR12" s="1" t="s">
        <v>1296</v>
      </c>
      <c r="BS12" s="1" t="s">
        <v>2032</v>
      </c>
      <c r="BT12" s="1" t="s">
        <v>73</v>
      </c>
      <c r="BU12" s="1">
        <v>4</v>
      </c>
      <c r="BV12" s="1">
        <v>2</v>
      </c>
      <c r="BW12" s="1">
        <v>0</v>
      </c>
      <c r="BX12" s="1">
        <v>0</v>
      </c>
      <c r="BY12" s="1">
        <v>1</v>
      </c>
      <c r="BZ12" s="1">
        <v>0</v>
      </c>
      <c r="CA12" s="1">
        <v>0</v>
      </c>
      <c r="CB12" s="1">
        <v>1</v>
      </c>
      <c r="CC12" s="1">
        <v>0</v>
      </c>
      <c r="CD12" s="1">
        <v>0</v>
      </c>
      <c r="CE12" s="1">
        <v>0</v>
      </c>
      <c r="CF12" s="1">
        <v>0</v>
      </c>
      <c r="CG12" s="1">
        <v>1</v>
      </c>
      <c r="CH12" s="1">
        <v>0</v>
      </c>
      <c r="CI12" s="1">
        <v>0</v>
      </c>
      <c r="CJ12" s="1">
        <v>4</v>
      </c>
      <c r="CK12" s="1">
        <v>4</v>
      </c>
      <c r="CL12" s="1">
        <v>4</v>
      </c>
      <c r="CM12" s="1">
        <v>4</v>
      </c>
      <c r="CN12" s="1">
        <v>4</v>
      </c>
      <c r="CO12" s="1">
        <v>4</v>
      </c>
      <c r="CP12" s="1">
        <v>4</v>
      </c>
      <c r="CU12" s="1">
        <v>1</v>
      </c>
    </row>
    <row r="13" spans="1:99" x14ac:dyDescent="0.35">
      <c r="A13" s="1" t="s">
        <v>2033</v>
      </c>
      <c r="B13" s="1">
        <v>181321020</v>
      </c>
      <c r="C13" s="1">
        <v>1</v>
      </c>
      <c r="D13" s="1">
        <v>0</v>
      </c>
      <c r="E13" s="1">
        <v>0</v>
      </c>
      <c r="F13" s="1">
        <v>0</v>
      </c>
      <c r="G13" s="1">
        <v>0</v>
      </c>
      <c r="H13" s="1">
        <v>0</v>
      </c>
      <c r="I13" s="1">
        <v>0</v>
      </c>
      <c r="J13" s="1">
        <v>0</v>
      </c>
      <c r="K13" s="1">
        <v>0</v>
      </c>
      <c r="L13" s="1">
        <v>0</v>
      </c>
      <c r="M13" s="1">
        <v>0</v>
      </c>
      <c r="N13" s="1">
        <v>0</v>
      </c>
      <c r="O13" s="1">
        <v>0</v>
      </c>
      <c r="P13" s="1">
        <v>1</v>
      </c>
      <c r="Q13" s="1">
        <v>1</v>
      </c>
      <c r="R13" s="1">
        <v>0</v>
      </c>
      <c r="S13" s="1">
        <v>4</v>
      </c>
      <c r="T13" s="1">
        <v>1</v>
      </c>
      <c r="U13" s="1">
        <v>4</v>
      </c>
      <c r="V13" s="1">
        <v>4</v>
      </c>
      <c r="W13" s="1">
        <v>4</v>
      </c>
      <c r="X13" s="1">
        <v>4</v>
      </c>
      <c r="Y13" s="1">
        <v>4</v>
      </c>
      <c r="Z13" s="1">
        <v>4</v>
      </c>
      <c r="AA13" s="1">
        <v>4</v>
      </c>
      <c r="CQ13" s="1">
        <v>1</v>
      </c>
      <c r="CR13" s="1" t="s">
        <v>2034</v>
      </c>
      <c r="CS13" s="1" t="s">
        <v>925</v>
      </c>
      <c r="CT13" s="5">
        <v>44620</v>
      </c>
      <c r="CU13" s="1">
        <v>1</v>
      </c>
    </row>
    <row r="14" spans="1:99" x14ac:dyDescent="0.35">
      <c r="A14" s="1" t="s">
        <v>2035</v>
      </c>
      <c r="B14" s="1">
        <v>181321025</v>
      </c>
    </row>
    <row r="15" spans="1:99" x14ac:dyDescent="0.35">
      <c r="A15" s="1" t="s">
        <v>2036</v>
      </c>
      <c r="B15" s="1">
        <v>181321026</v>
      </c>
      <c r="C15" s="1">
        <v>0</v>
      </c>
      <c r="D15" s="1">
        <v>1</v>
      </c>
      <c r="E15" s="1">
        <v>0</v>
      </c>
      <c r="F15" s="1">
        <v>0</v>
      </c>
      <c r="G15" s="1">
        <v>0</v>
      </c>
      <c r="H15" s="1">
        <v>0</v>
      </c>
      <c r="I15" s="1">
        <v>0</v>
      </c>
      <c r="J15" s="1">
        <v>0</v>
      </c>
      <c r="K15" s="1">
        <v>1</v>
      </c>
      <c r="L15" s="1">
        <v>0</v>
      </c>
      <c r="M15" s="1">
        <v>0</v>
      </c>
      <c r="N15" s="1">
        <v>0</v>
      </c>
      <c r="O15" s="1">
        <v>0</v>
      </c>
      <c r="P15" s="1">
        <v>20</v>
      </c>
      <c r="Q15" s="1">
        <v>10</v>
      </c>
      <c r="R15" s="1">
        <v>8</v>
      </c>
      <c r="S15" s="1">
        <v>1</v>
      </c>
      <c r="T15" s="1">
        <v>1</v>
      </c>
      <c r="U15" s="1">
        <v>4</v>
      </c>
      <c r="V15" s="1">
        <v>3</v>
      </c>
      <c r="W15" s="1">
        <v>3</v>
      </c>
      <c r="X15" s="1">
        <v>3</v>
      </c>
      <c r="Y15" s="1">
        <v>4</v>
      </c>
      <c r="Z15" s="1">
        <v>4</v>
      </c>
      <c r="AA15" s="1">
        <v>4</v>
      </c>
      <c r="AC15" s="1">
        <v>2</v>
      </c>
      <c r="AE15" s="1">
        <v>7</v>
      </c>
      <c r="AF15" s="3">
        <v>4000000</v>
      </c>
      <c r="AG15" s="1">
        <v>13</v>
      </c>
      <c r="AT15" s="1" t="s">
        <v>427</v>
      </c>
      <c r="BP15" s="1">
        <v>3</v>
      </c>
      <c r="BQ15" s="1" t="s">
        <v>2037</v>
      </c>
      <c r="BR15" s="1" t="s">
        <v>2038</v>
      </c>
      <c r="BT15" s="1" t="s">
        <v>79</v>
      </c>
      <c r="BU15" s="1">
        <v>2</v>
      </c>
      <c r="BV15" s="1">
        <v>2</v>
      </c>
      <c r="BW15" s="1">
        <v>1</v>
      </c>
      <c r="BX15" s="1">
        <v>0</v>
      </c>
      <c r="BY15" s="1">
        <v>0</v>
      </c>
      <c r="BZ15" s="1">
        <v>0</v>
      </c>
      <c r="CA15" s="1">
        <v>0</v>
      </c>
      <c r="CB15" s="1">
        <v>0</v>
      </c>
      <c r="CC15" s="1">
        <v>0</v>
      </c>
      <c r="CD15" s="1">
        <v>0</v>
      </c>
      <c r="CE15" s="1">
        <v>0</v>
      </c>
      <c r="CF15" s="1">
        <v>0</v>
      </c>
      <c r="CG15" s="1">
        <v>0</v>
      </c>
      <c r="CH15" s="1">
        <v>0</v>
      </c>
      <c r="CI15" s="1">
        <v>0</v>
      </c>
      <c r="CJ15" s="1">
        <v>4</v>
      </c>
      <c r="CK15" s="1">
        <v>4</v>
      </c>
      <c r="CL15" s="1">
        <v>2</v>
      </c>
      <c r="CM15" s="1">
        <v>3</v>
      </c>
      <c r="CN15" s="1">
        <v>4</v>
      </c>
      <c r="CO15" s="1">
        <v>4</v>
      </c>
      <c r="CP15" s="1">
        <v>4</v>
      </c>
      <c r="CU15" s="1">
        <v>1</v>
      </c>
    </row>
    <row r="16" spans="1:99" x14ac:dyDescent="0.35">
      <c r="A16" s="1" t="s">
        <v>2039</v>
      </c>
      <c r="B16" s="1">
        <v>181321028</v>
      </c>
      <c r="C16" s="1">
        <v>0</v>
      </c>
      <c r="D16" s="1">
        <v>1</v>
      </c>
      <c r="E16" s="1">
        <v>0</v>
      </c>
      <c r="F16" s="1">
        <v>0</v>
      </c>
      <c r="G16" s="1">
        <v>0</v>
      </c>
      <c r="H16" s="1">
        <v>0</v>
      </c>
      <c r="I16" s="1">
        <v>0</v>
      </c>
      <c r="J16" s="1">
        <v>0</v>
      </c>
      <c r="K16" s="1">
        <v>1</v>
      </c>
      <c r="L16" s="1">
        <v>0</v>
      </c>
      <c r="M16" s="1">
        <v>0</v>
      </c>
      <c r="N16" s="1">
        <v>0</v>
      </c>
      <c r="O16" s="1">
        <v>0</v>
      </c>
      <c r="P16" s="1">
        <v>6</v>
      </c>
      <c r="Q16" s="1">
        <v>1</v>
      </c>
      <c r="R16" s="1">
        <v>1</v>
      </c>
      <c r="S16" s="1">
        <v>5</v>
      </c>
      <c r="T16" s="1">
        <v>1</v>
      </c>
      <c r="U16" s="1">
        <v>3</v>
      </c>
      <c r="V16" s="1">
        <v>3</v>
      </c>
      <c r="W16" s="1">
        <v>3</v>
      </c>
      <c r="X16" s="1">
        <v>3</v>
      </c>
      <c r="Y16" s="1">
        <v>3</v>
      </c>
      <c r="Z16" s="1">
        <v>3</v>
      </c>
      <c r="AA16" s="1">
        <v>3</v>
      </c>
      <c r="CU16" s="1">
        <v>2</v>
      </c>
    </row>
    <row r="17" spans="1:99" x14ac:dyDescent="0.35">
      <c r="A17" s="1" t="s">
        <v>2040</v>
      </c>
      <c r="B17" s="1">
        <v>181321029</v>
      </c>
      <c r="C17" s="1">
        <v>0</v>
      </c>
      <c r="D17" s="1">
        <v>1</v>
      </c>
      <c r="E17" s="1">
        <v>0</v>
      </c>
      <c r="F17" s="1">
        <v>0</v>
      </c>
      <c r="G17" s="1">
        <v>0</v>
      </c>
      <c r="H17" s="1">
        <v>1</v>
      </c>
      <c r="I17" s="1">
        <v>1</v>
      </c>
      <c r="J17" s="1">
        <v>1</v>
      </c>
      <c r="K17" s="1">
        <v>1</v>
      </c>
      <c r="L17" s="1">
        <v>0</v>
      </c>
      <c r="M17" s="1">
        <v>0</v>
      </c>
      <c r="N17" s="1">
        <v>0</v>
      </c>
      <c r="O17" s="1">
        <v>0</v>
      </c>
      <c r="P17" s="1">
        <v>10</v>
      </c>
      <c r="Q17" s="1">
        <v>7</v>
      </c>
      <c r="R17" s="1">
        <v>5</v>
      </c>
      <c r="S17" s="1">
        <v>1</v>
      </c>
      <c r="T17" s="1">
        <v>1</v>
      </c>
      <c r="U17" s="1">
        <v>4</v>
      </c>
      <c r="V17" s="1">
        <v>3</v>
      </c>
      <c r="W17" s="1">
        <v>2</v>
      </c>
      <c r="X17" s="1">
        <v>4</v>
      </c>
      <c r="Y17" s="1">
        <v>4</v>
      </c>
      <c r="Z17" s="1">
        <v>4</v>
      </c>
      <c r="AA17" s="1">
        <v>4</v>
      </c>
      <c r="AC17" s="1">
        <v>1</v>
      </c>
      <c r="AD17" s="1">
        <v>4</v>
      </c>
      <c r="AF17" s="3">
        <v>4000000</v>
      </c>
      <c r="AG17" s="1">
        <v>13</v>
      </c>
      <c r="AT17" s="1" t="s">
        <v>271</v>
      </c>
      <c r="BP17" s="1">
        <v>3</v>
      </c>
      <c r="BQ17" s="1" t="s">
        <v>801</v>
      </c>
      <c r="BR17" s="1" t="s">
        <v>1955</v>
      </c>
      <c r="BS17" s="1" t="s">
        <v>2041</v>
      </c>
      <c r="BT17" s="1" t="s">
        <v>73</v>
      </c>
      <c r="BU17" s="1">
        <v>1</v>
      </c>
      <c r="BV17" s="1">
        <v>1</v>
      </c>
      <c r="BW17" s="1">
        <v>1</v>
      </c>
      <c r="BX17" s="1">
        <v>0</v>
      </c>
      <c r="BY17" s="1">
        <v>0</v>
      </c>
      <c r="BZ17" s="1">
        <v>0</v>
      </c>
      <c r="CA17" s="1">
        <v>0</v>
      </c>
      <c r="CB17" s="1">
        <v>0</v>
      </c>
      <c r="CC17" s="1">
        <v>0</v>
      </c>
      <c r="CD17" s="1">
        <v>0</v>
      </c>
      <c r="CE17" s="1">
        <v>0</v>
      </c>
      <c r="CF17" s="1">
        <v>0</v>
      </c>
      <c r="CG17" s="1">
        <v>0</v>
      </c>
      <c r="CH17" s="1">
        <v>0</v>
      </c>
      <c r="CI17" s="1">
        <v>0</v>
      </c>
      <c r="CJ17" s="1">
        <v>4</v>
      </c>
      <c r="CK17" s="1">
        <v>2</v>
      </c>
      <c r="CL17" s="1">
        <v>3</v>
      </c>
      <c r="CM17" s="1">
        <v>4</v>
      </c>
      <c r="CN17" s="1">
        <v>4</v>
      </c>
      <c r="CO17" s="1">
        <v>4</v>
      </c>
      <c r="CP17" s="1">
        <v>4</v>
      </c>
      <c r="CU17" s="1">
        <v>1</v>
      </c>
    </row>
    <row r="18" spans="1:99" x14ac:dyDescent="0.35">
      <c r="A18" s="1" t="s">
        <v>2042</v>
      </c>
      <c r="B18" s="1">
        <v>181321031</v>
      </c>
      <c r="C18" s="1">
        <v>1</v>
      </c>
      <c r="D18" s="1">
        <v>1</v>
      </c>
      <c r="E18" s="1">
        <v>1</v>
      </c>
      <c r="F18" s="1">
        <v>0</v>
      </c>
      <c r="G18" s="1">
        <v>0</v>
      </c>
      <c r="H18" s="1">
        <v>1</v>
      </c>
      <c r="I18" s="1">
        <v>1</v>
      </c>
      <c r="J18" s="1">
        <v>0</v>
      </c>
      <c r="K18" s="1">
        <v>1</v>
      </c>
      <c r="L18" s="1">
        <v>0</v>
      </c>
      <c r="M18" s="1">
        <v>0</v>
      </c>
      <c r="N18" s="1">
        <v>0</v>
      </c>
      <c r="O18" s="1">
        <v>0</v>
      </c>
      <c r="P18" s="1" t="s">
        <v>78</v>
      </c>
      <c r="Q18" s="1" t="s">
        <v>78</v>
      </c>
      <c r="R18" s="1" t="s">
        <v>78</v>
      </c>
      <c r="S18" s="1">
        <v>5</v>
      </c>
      <c r="T18" s="1">
        <v>1</v>
      </c>
      <c r="U18" s="1">
        <v>4</v>
      </c>
      <c r="V18" s="1">
        <v>3</v>
      </c>
      <c r="W18" s="1">
        <v>2</v>
      </c>
      <c r="X18" s="1">
        <v>3</v>
      </c>
      <c r="Y18" s="1">
        <v>3</v>
      </c>
      <c r="Z18" s="1">
        <v>4</v>
      </c>
      <c r="AA18" s="1">
        <v>4</v>
      </c>
      <c r="CU18" s="1">
        <v>4</v>
      </c>
    </row>
    <row r="19" spans="1:99" x14ac:dyDescent="0.35">
      <c r="A19" s="1" t="s">
        <v>2043</v>
      </c>
      <c r="B19" s="1">
        <v>181321032</v>
      </c>
    </row>
    <row r="20" spans="1:99" x14ac:dyDescent="0.35">
      <c r="A20" s="1" t="s">
        <v>2044</v>
      </c>
      <c r="B20" s="1">
        <v>181321033</v>
      </c>
      <c r="C20" s="1">
        <v>1</v>
      </c>
      <c r="D20" s="1">
        <v>1</v>
      </c>
      <c r="E20" s="1">
        <v>0</v>
      </c>
      <c r="F20" s="1">
        <v>0</v>
      </c>
      <c r="G20" s="1">
        <v>0</v>
      </c>
      <c r="H20" s="1">
        <v>1</v>
      </c>
      <c r="I20" s="1">
        <v>0</v>
      </c>
      <c r="J20" s="1">
        <v>0</v>
      </c>
      <c r="K20" s="1">
        <v>1</v>
      </c>
      <c r="L20" s="1">
        <v>0</v>
      </c>
      <c r="M20" s="1">
        <v>0</v>
      </c>
      <c r="N20" s="1">
        <v>0</v>
      </c>
      <c r="O20" s="1">
        <v>0</v>
      </c>
      <c r="P20" s="1" t="s">
        <v>463</v>
      </c>
      <c r="Q20" s="1" t="s">
        <v>463</v>
      </c>
      <c r="R20" s="1" t="s">
        <v>712</v>
      </c>
      <c r="S20" s="1">
        <v>1</v>
      </c>
      <c r="T20" s="1">
        <v>1</v>
      </c>
      <c r="U20" s="1">
        <v>4</v>
      </c>
      <c r="V20" s="1">
        <v>3</v>
      </c>
      <c r="W20" s="1">
        <v>4</v>
      </c>
      <c r="X20" s="1">
        <v>3</v>
      </c>
      <c r="Y20" s="1">
        <v>3</v>
      </c>
      <c r="Z20" s="1">
        <v>3</v>
      </c>
      <c r="AA20" s="1">
        <v>4</v>
      </c>
      <c r="AC20" s="1">
        <v>2</v>
      </c>
      <c r="AE20" s="1">
        <v>7</v>
      </c>
      <c r="AF20" s="3">
        <v>4900000</v>
      </c>
      <c r="AG20" s="1">
        <v>11</v>
      </c>
      <c r="AR20" s="1" t="s">
        <v>118</v>
      </c>
      <c r="BP20" s="1">
        <v>6</v>
      </c>
      <c r="BQ20" s="1" t="s">
        <v>2045</v>
      </c>
      <c r="BR20" s="1" t="s">
        <v>2046</v>
      </c>
      <c r="BS20" s="1" t="s">
        <v>2047</v>
      </c>
      <c r="BT20" s="1" t="s">
        <v>79</v>
      </c>
      <c r="BU20" s="1">
        <v>3</v>
      </c>
      <c r="BV20" s="1">
        <v>2</v>
      </c>
      <c r="BW20" s="1">
        <v>0</v>
      </c>
      <c r="BX20" s="1">
        <v>0</v>
      </c>
      <c r="BY20" s="1">
        <v>0</v>
      </c>
      <c r="BZ20" s="1">
        <v>0</v>
      </c>
      <c r="CA20" s="1">
        <v>0</v>
      </c>
      <c r="CB20" s="1">
        <v>0</v>
      </c>
      <c r="CC20" s="1">
        <v>1</v>
      </c>
      <c r="CD20" s="1">
        <v>0</v>
      </c>
      <c r="CE20" s="1">
        <v>0</v>
      </c>
      <c r="CF20" s="1">
        <v>0</v>
      </c>
      <c r="CG20" s="1">
        <v>0</v>
      </c>
      <c r="CH20" s="1">
        <v>1</v>
      </c>
      <c r="CI20" s="1">
        <v>0</v>
      </c>
      <c r="CJ20" s="1">
        <v>4</v>
      </c>
      <c r="CK20" s="1">
        <v>4</v>
      </c>
      <c r="CL20" s="1">
        <v>4</v>
      </c>
      <c r="CM20" s="1">
        <v>4</v>
      </c>
      <c r="CN20" s="1">
        <v>4</v>
      </c>
      <c r="CO20" s="1">
        <v>4</v>
      </c>
      <c r="CP20" s="1">
        <v>4</v>
      </c>
      <c r="CU20" s="1">
        <v>1</v>
      </c>
    </row>
    <row r="21" spans="1:99" x14ac:dyDescent="0.35">
      <c r="A21" s="1" t="s">
        <v>2048</v>
      </c>
      <c r="B21" s="1">
        <v>181321034</v>
      </c>
      <c r="C21" s="1">
        <v>0</v>
      </c>
      <c r="D21" s="1">
        <v>1</v>
      </c>
      <c r="E21" s="1">
        <v>0</v>
      </c>
      <c r="F21" s="1">
        <v>0</v>
      </c>
      <c r="G21" s="1">
        <v>0</v>
      </c>
      <c r="H21" s="1">
        <v>1</v>
      </c>
      <c r="I21" s="1">
        <v>1</v>
      </c>
      <c r="J21" s="1">
        <v>0</v>
      </c>
      <c r="K21" s="1">
        <v>0</v>
      </c>
      <c r="L21" s="1">
        <v>0</v>
      </c>
      <c r="M21" s="1">
        <v>0</v>
      </c>
      <c r="N21" s="1">
        <v>0</v>
      </c>
      <c r="O21" s="1">
        <v>0</v>
      </c>
      <c r="P21" s="1">
        <v>15</v>
      </c>
      <c r="Q21" s="1">
        <v>9</v>
      </c>
      <c r="R21" s="1">
        <v>7</v>
      </c>
      <c r="S21" s="1">
        <v>1</v>
      </c>
      <c r="T21" s="1">
        <v>1</v>
      </c>
      <c r="U21" s="1">
        <v>3</v>
      </c>
      <c r="V21" s="1">
        <v>3</v>
      </c>
      <c r="W21" s="1">
        <v>3</v>
      </c>
      <c r="X21" s="1">
        <v>3</v>
      </c>
      <c r="Y21" s="1">
        <v>3</v>
      </c>
      <c r="Z21" s="1">
        <v>3</v>
      </c>
      <c r="AA21" s="1">
        <v>3</v>
      </c>
      <c r="AC21" s="1">
        <v>1</v>
      </c>
      <c r="AD21" s="1">
        <v>1</v>
      </c>
      <c r="AE21" s="1">
        <v>1</v>
      </c>
      <c r="AF21" s="3">
        <v>7000000</v>
      </c>
      <c r="AG21" s="1">
        <v>13</v>
      </c>
      <c r="AT21" s="1" t="s">
        <v>1414</v>
      </c>
      <c r="BP21" s="1">
        <v>3</v>
      </c>
      <c r="BQ21" s="1" t="s">
        <v>2049</v>
      </c>
      <c r="BR21" s="1" t="s">
        <v>2050</v>
      </c>
      <c r="BT21" s="1" t="s">
        <v>73</v>
      </c>
      <c r="BU21" s="1">
        <v>2</v>
      </c>
      <c r="BV21" s="1">
        <v>2</v>
      </c>
      <c r="BW21" s="1">
        <v>1</v>
      </c>
      <c r="BX21" s="1">
        <v>0</v>
      </c>
      <c r="BY21" s="1">
        <v>0</v>
      </c>
      <c r="BZ21" s="1">
        <v>0</v>
      </c>
      <c r="CA21" s="1">
        <v>0</v>
      </c>
      <c r="CB21" s="1">
        <v>0</v>
      </c>
      <c r="CC21" s="1">
        <v>1</v>
      </c>
      <c r="CD21" s="1">
        <v>0</v>
      </c>
      <c r="CE21" s="1">
        <v>0</v>
      </c>
      <c r="CF21" s="1">
        <v>0</v>
      </c>
      <c r="CG21" s="1">
        <v>0</v>
      </c>
      <c r="CH21" s="1">
        <v>0</v>
      </c>
      <c r="CI21" s="1">
        <v>0</v>
      </c>
      <c r="CJ21" s="1">
        <v>4</v>
      </c>
      <c r="CK21" s="1">
        <v>3</v>
      </c>
      <c r="CL21" s="1">
        <v>3</v>
      </c>
      <c r="CM21" s="1">
        <v>3</v>
      </c>
      <c r="CN21" s="1">
        <v>4</v>
      </c>
      <c r="CO21" s="1">
        <v>4</v>
      </c>
      <c r="CP21" s="1">
        <v>4</v>
      </c>
      <c r="CU21" s="1">
        <v>1</v>
      </c>
    </row>
    <row r="22" spans="1:99" x14ac:dyDescent="0.35">
      <c r="A22" s="1" t="s">
        <v>2051</v>
      </c>
      <c r="B22" s="1">
        <v>181321035</v>
      </c>
      <c r="C22" s="1">
        <v>0</v>
      </c>
      <c r="D22" s="1">
        <v>1</v>
      </c>
      <c r="E22" s="1">
        <v>0</v>
      </c>
      <c r="F22" s="1">
        <v>0</v>
      </c>
      <c r="G22" s="1">
        <v>0</v>
      </c>
      <c r="H22" s="1">
        <v>0</v>
      </c>
      <c r="I22" s="1">
        <v>0</v>
      </c>
      <c r="J22" s="1">
        <v>0</v>
      </c>
      <c r="K22" s="1">
        <v>0</v>
      </c>
      <c r="L22" s="1">
        <v>0</v>
      </c>
      <c r="M22" s="1">
        <v>0</v>
      </c>
      <c r="N22" s="1">
        <v>0</v>
      </c>
      <c r="O22" s="1">
        <v>0</v>
      </c>
      <c r="P22" s="1">
        <v>7</v>
      </c>
      <c r="Q22" s="1">
        <v>5</v>
      </c>
      <c r="R22" s="1">
        <v>5</v>
      </c>
      <c r="S22" s="1">
        <v>1</v>
      </c>
      <c r="T22" s="1">
        <v>1</v>
      </c>
      <c r="U22" s="1">
        <v>3</v>
      </c>
      <c r="V22" s="1">
        <v>3</v>
      </c>
      <c r="W22" s="1">
        <v>3</v>
      </c>
      <c r="X22" s="1">
        <v>3</v>
      </c>
      <c r="Y22" s="1">
        <v>3</v>
      </c>
      <c r="Z22" s="1">
        <v>3</v>
      </c>
      <c r="AA22" s="1">
        <v>3</v>
      </c>
      <c r="AC22" s="1">
        <v>2</v>
      </c>
      <c r="AE22" s="1">
        <v>3</v>
      </c>
      <c r="AF22" s="3">
        <v>5000000</v>
      </c>
      <c r="AG22" s="1">
        <v>11</v>
      </c>
      <c r="AR22" s="1" t="s">
        <v>118</v>
      </c>
      <c r="BP22" s="1">
        <v>3</v>
      </c>
      <c r="BQ22" s="1" t="s">
        <v>2052</v>
      </c>
      <c r="BR22" s="1" t="s">
        <v>2053</v>
      </c>
      <c r="BS22" s="1" t="s">
        <v>2054</v>
      </c>
      <c r="BT22" s="1" t="s">
        <v>79</v>
      </c>
      <c r="BU22" s="1">
        <v>2</v>
      </c>
      <c r="BV22" s="1">
        <v>1</v>
      </c>
      <c r="BW22" s="1">
        <v>0</v>
      </c>
      <c r="BX22" s="1">
        <v>0</v>
      </c>
      <c r="BY22" s="1">
        <v>1</v>
      </c>
      <c r="BZ22" s="1">
        <v>0</v>
      </c>
      <c r="CA22" s="1">
        <v>0</v>
      </c>
      <c r="CB22" s="1">
        <v>0</v>
      </c>
      <c r="CC22" s="1">
        <v>1</v>
      </c>
      <c r="CD22" s="1">
        <v>0</v>
      </c>
      <c r="CE22" s="1">
        <v>0</v>
      </c>
      <c r="CF22" s="1">
        <v>0</v>
      </c>
      <c r="CG22" s="1">
        <v>0</v>
      </c>
      <c r="CH22" s="1">
        <v>0</v>
      </c>
      <c r="CI22" s="1">
        <v>0</v>
      </c>
      <c r="CJ22" s="1">
        <v>3</v>
      </c>
      <c r="CK22" s="1">
        <v>3</v>
      </c>
      <c r="CL22" s="1">
        <v>3</v>
      </c>
      <c r="CM22" s="1">
        <v>3</v>
      </c>
      <c r="CN22" s="1">
        <v>3</v>
      </c>
      <c r="CO22" s="1">
        <v>3</v>
      </c>
      <c r="CP22" s="1">
        <v>3</v>
      </c>
      <c r="CU22" s="1">
        <v>1</v>
      </c>
    </row>
    <row r="23" spans="1:99" x14ac:dyDescent="0.35">
      <c r="A23" s="1" t="s">
        <v>2055</v>
      </c>
      <c r="B23" s="1">
        <v>181321036</v>
      </c>
      <c r="C23" s="1">
        <v>0</v>
      </c>
      <c r="D23" s="1">
        <v>1</v>
      </c>
      <c r="E23" s="1">
        <v>0</v>
      </c>
      <c r="F23" s="1">
        <v>0</v>
      </c>
      <c r="G23" s="1">
        <v>0</v>
      </c>
      <c r="H23" s="1">
        <v>0</v>
      </c>
      <c r="I23" s="1">
        <v>0</v>
      </c>
      <c r="J23" s="1">
        <v>0</v>
      </c>
      <c r="K23" s="1">
        <v>0</v>
      </c>
      <c r="L23" s="1">
        <v>0</v>
      </c>
      <c r="M23" s="1">
        <v>0</v>
      </c>
      <c r="N23" s="1">
        <v>0</v>
      </c>
      <c r="O23" s="1">
        <v>0</v>
      </c>
      <c r="P23" s="1">
        <v>5</v>
      </c>
      <c r="Q23" s="1">
        <v>4</v>
      </c>
      <c r="R23" s="1">
        <v>4</v>
      </c>
      <c r="S23" s="1">
        <v>1</v>
      </c>
      <c r="T23" s="1">
        <v>1</v>
      </c>
      <c r="U23" s="1">
        <v>4</v>
      </c>
      <c r="V23" s="1">
        <v>4</v>
      </c>
      <c r="W23" s="1">
        <v>4</v>
      </c>
      <c r="X23" s="1">
        <v>4</v>
      </c>
      <c r="Y23" s="1">
        <v>4</v>
      </c>
      <c r="Z23" s="1">
        <v>4</v>
      </c>
      <c r="AA23" s="1">
        <v>4</v>
      </c>
      <c r="AC23" s="1">
        <v>1</v>
      </c>
      <c r="AD23" s="1">
        <v>3</v>
      </c>
      <c r="AF23" s="3">
        <v>3000000</v>
      </c>
      <c r="AG23" s="1">
        <v>13</v>
      </c>
      <c r="AT23" s="1" t="s">
        <v>109</v>
      </c>
      <c r="BP23" s="1">
        <v>3</v>
      </c>
      <c r="BQ23" s="1" t="s">
        <v>2056</v>
      </c>
      <c r="BR23" s="1" t="s">
        <v>2057</v>
      </c>
      <c r="BT23" s="1" t="s">
        <v>73</v>
      </c>
      <c r="BU23" s="1">
        <v>1</v>
      </c>
      <c r="BV23" s="1">
        <v>2</v>
      </c>
      <c r="BW23" s="1">
        <v>1</v>
      </c>
      <c r="BX23" s="1">
        <v>0</v>
      </c>
      <c r="BY23" s="1">
        <v>0</v>
      </c>
      <c r="BZ23" s="1">
        <v>0</v>
      </c>
      <c r="CA23" s="1">
        <v>0</v>
      </c>
      <c r="CB23" s="1">
        <v>0</v>
      </c>
      <c r="CC23" s="1">
        <v>0</v>
      </c>
      <c r="CD23" s="1">
        <v>1</v>
      </c>
      <c r="CE23" s="1">
        <v>0</v>
      </c>
      <c r="CF23" s="1">
        <v>1</v>
      </c>
      <c r="CG23" s="1">
        <v>0</v>
      </c>
      <c r="CH23" s="1">
        <v>1</v>
      </c>
      <c r="CI23" s="1">
        <v>0</v>
      </c>
      <c r="CJ23" s="1">
        <v>4</v>
      </c>
      <c r="CK23" s="1">
        <v>4</v>
      </c>
      <c r="CL23" s="1">
        <v>4</v>
      </c>
      <c r="CM23" s="1">
        <v>4</v>
      </c>
      <c r="CN23" s="1">
        <v>4</v>
      </c>
      <c r="CO23" s="1">
        <v>4</v>
      </c>
      <c r="CP23" s="1">
        <v>4</v>
      </c>
      <c r="CU23" s="1">
        <v>1</v>
      </c>
    </row>
    <row r="24" spans="1:99" x14ac:dyDescent="0.35">
      <c r="A24" s="1" t="s">
        <v>2058</v>
      </c>
      <c r="B24" s="1">
        <v>181321037</v>
      </c>
      <c r="C24" s="1">
        <v>0</v>
      </c>
      <c r="D24" s="1">
        <v>1</v>
      </c>
      <c r="E24" s="1">
        <v>1</v>
      </c>
      <c r="F24" s="1">
        <v>0</v>
      </c>
      <c r="G24" s="1">
        <v>0</v>
      </c>
      <c r="H24" s="1">
        <v>0</v>
      </c>
      <c r="I24" s="1">
        <v>0</v>
      </c>
      <c r="J24" s="1">
        <v>1</v>
      </c>
      <c r="K24" s="1">
        <v>1</v>
      </c>
      <c r="L24" s="1">
        <v>0</v>
      </c>
      <c r="M24" s="1">
        <v>0</v>
      </c>
      <c r="N24" s="1">
        <v>0</v>
      </c>
      <c r="O24" s="1">
        <v>0</v>
      </c>
      <c r="P24" s="1">
        <v>50</v>
      </c>
      <c r="Q24" s="1">
        <v>35</v>
      </c>
      <c r="R24" s="1">
        <v>25</v>
      </c>
      <c r="S24" s="1">
        <v>1</v>
      </c>
      <c r="T24" s="1">
        <v>1</v>
      </c>
      <c r="U24" s="1">
        <v>4</v>
      </c>
      <c r="V24" s="1">
        <v>4</v>
      </c>
      <c r="W24" s="1">
        <v>3</v>
      </c>
      <c r="X24" s="1">
        <v>4</v>
      </c>
      <c r="Y24" s="1">
        <v>4</v>
      </c>
      <c r="Z24" s="1">
        <v>4</v>
      </c>
      <c r="AA24" s="1">
        <v>4</v>
      </c>
      <c r="AC24" s="1">
        <v>1</v>
      </c>
      <c r="AD24" s="1">
        <v>0</v>
      </c>
      <c r="AF24" s="3">
        <v>14000000</v>
      </c>
      <c r="AG24" s="1">
        <v>34</v>
      </c>
      <c r="BO24" s="1" t="s">
        <v>2059</v>
      </c>
      <c r="BP24" s="1">
        <v>6</v>
      </c>
      <c r="BQ24" s="1" t="s">
        <v>2060</v>
      </c>
      <c r="BR24" s="1" t="s">
        <v>2061</v>
      </c>
      <c r="BT24" s="1" t="s">
        <v>73</v>
      </c>
      <c r="BU24" s="1">
        <v>1</v>
      </c>
      <c r="BV24" s="1">
        <v>1</v>
      </c>
      <c r="BW24" s="1">
        <v>0</v>
      </c>
      <c r="BX24" s="1">
        <v>0</v>
      </c>
      <c r="BY24" s="1">
        <v>1</v>
      </c>
      <c r="BZ24" s="1">
        <v>0</v>
      </c>
      <c r="CA24" s="1">
        <v>0</v>
      </c>
      <c r="CB24" s="1">
        <v>1</v>
      </c>
      <c r="CC24" s="1">
        <v>1</v>
      </c>
      <c r="CD24" s="1">
        <v>1</v>
      </c>
      <c r="CE24" s="1">
        <v>1</v>
      </c>
      <c r="CF24" s="1">
        <v>0</v>
      </c>
      <c r="CG24" s="1">
        <v>1</v>
      </c>
      <c r="CH24" s="1">
        <v>0</v>
      </c>
      <c r="CI24" s="1">
        <v>0</v>
      </c>
      <c r="CJ24" s="1">
        <v>4</v>
      </c>
      <c r="CK24" s="1">
        <v>4</v>
      </c>
      <c r="CL24" s="1">
        <v>4</v>
      </c>
      <c r="CM24" s="1">
        <v>4</v>
      </c>
      <c r="CN24" s="1">
        <v>4</v>
      </c>
      <c r="CO24" s="1">
        <v>4</v>
      </c>
      <c r="CP24" s="1">
        <v>4</v>
      </c>
      <c r="CU24" s="1">
        <v>1</v>
      </c>
    </row>
    <row r="25" spans="1:99" x14ac:dyDescent="0.35">
      <c r="A25" s="1" t="s">
        <v>2062</v>
      </c>
      <c r="B25" s="1">
        <v>181321038</v>
      </c>
      <c r="C25" s="1">
        <v>0</v>
      </c>
      <c r="D25" s="1">
        <v>1</v>
      </c>
      <c r="E25" s="1">
        <v>0</v>
      </c>
      <c r="F25" s="1">
        <v>0</v>
      </c>
      <c r="G25" s="1">
        <v>0</v>
      </c>
      <c r="H25" s="1">
        <v>1</v>
      </c>
      <c r="I25" s="1">
        <v>0</v>
      </c>
      <c r="J25" s="1">
        <v>1</v>
      </c>
      <c r="K25" s="1">
        <v>1</v>
      </c>
      <c r="L25" s="1">
        <v>0</v>
      </c>
      <c r="M25" s="1">
        <v>0</v>
      </c>
      <c r="N25" s="1">
        <v>0</v>
      </c>
      <c r="O25" s="1">
        <v>0</v>
      </c>
      <c r="P25" s="1">
        <v>4</v>
      </c>
      <c r="Q25" s="1">
        <v>1</v>
      </c>
      <c r="R25" s="1">
        <v>1</v>
      </c>
      <c r="S25" s="1">
        <v>5</v>
      </c>
      <c r="T25" s="1">
        <v>1</v>
      </c>
      <c r="U25" s="1">
        <v>4</v>
      </c>
      <c r="V25" s="1">
        <v>3</v>
      </c>
      <c r="W25" s="1">
        <v>3</v>
      </c>
      <c r="X25" s="1">
        <v>3</v>
      </c>
      <c r="Y25" s="1">
        <v>4</v>
      </c>
      <c r="Z25" s="1">
        <v>4</v>
      </c>
      <c r="AA25" s="1">
        <v>3</v>
      </c>
      <c r="CU25" s="1">
        <v>4</v>
      </c>
    </row>
    <row r="26" spans="1:99" x14ac:dyDescent="0.35">
      <c r="A26" s="1" t="s">
        <v>2063</v>
      </c>
      <c r="B26" s="1">
        <v>181321040</v>
      </c>
      <c r="C26" s="1">
        <v>0</v>
      </c>
      <c r="D26" s="1">
        <v>1</v>
      </c>
      <c r="E26" s="1">
        <v>0</v>
      </c>
      <c r="F26" s="1">
        <v>0</v>
      </c>
      <c r="G26" s="1">
        <v>0</v>
      </c>
      <c r="H26" s="1">
        <v>0</v>
      </c>
      <c r="I26" s="1">
        <v>0</v>
      </c>
      <c r="J26" s="1">
        <v>1</v>
      </c>
      <c r="K26" s="1">
        <v>1</v>
      </c>
      <c r="L26" s="1">
        <v>0</v>
      </c>
      <c r="M26" s="1">
        <v>0</v>
      </c>
      <c r="N26" s="1">
        <v>0</v>
      </c>
      <c r="O26" s="1">
        <v>0</v>
      </c>
      <c r="P26" s="1" t="s">
        <v>383</v>
      </c>
      <c r="Q26" s="1" t="s">
        <v>383</v>
      </c>
      <c r="R26" s="1" t="s">
        <v>463</v>
      </c>
      <c r="S26" s="1">
        <v>1</v>
      </c>
      <c r="T26" s="1">
        <v>1</v>
      </c>
      <c r="U26" s="1">
        <v>4</v>
      </c>
      <c r="V26" s="1">
        <v>4</v>
      </c>
      <c r="W26" s="1">
        <v>2</v>
      </c>
      <c r="X26" s="1">
        <v>3</v>
      </c>
      <c r="Y26" s="1">
        <v>3</v>
      </c>
      <c r="Z26" s="1">
        <v>4</v>
      </c>
      <c r="AA26" s="1">
        <v>4</v>
      </c>
      <c r="AC26" s="1">
        <v>1</v>
      </c>
      <c r="AD26" s="1">
        <v>0</v>
      </c>
      <c r="AF26" s="1">
        <v>0</v>
      </c>
      <c r="AG26" s="1">
        <v>13</v>
      </c>
      <c r="AT26" s="1" t="s">
        <v>93</v>
      </c>
      <c r="BP26" s="1">
        <v>3</v>
      </c>
      <c r="BQ26" s="1" t="s">
        <v>801</v>
      </c>
      <c r="BR26" s="1" t="s">
        <v>2064</v>
      </c>
      <c r="BT26" s="1" t="s">
        <v>73</v>
      </c>
      <c r="BU26" s="1">
        <v>1</v>
      </c>
      <c r="BV26" s="1">
        <v>1</v>
      </c>
      <c r="BW26" s="1">
        <v>0</v>
      </c>
      <c r="BX26" s="1">
        <v>0</v>
      </c>
      <c r="BY26" s="1">
        <v>1</v>
      </c>
      <c r="BZ26" s="1">
        <v>0</v>
      </c>
      <c r="CA26" s="1">
        <v>0</v>
      </c>
      <c r="CB26" s="1">
        <v>0</v>
      </c>
      <c r="CC26" s="1">
        <v>1</v>
      </c>
      <c r="CD26" s="1">
        <v>1</v>
      </c>
      <c r="CE26" s="1">
        <v>0</v>
      </c>
      <c r="CF26" s="1">
        <v>0</v>
      </c>
      <c r="CG26" s="1">
        <v>1</v>
      </c>
      <c r="CH26" s="1">
        <v>0</v>
      </c>
      <c r="CI26" s="1">
        <v>0</v>
      </c>
      <c r="CJ26" s="1">
        <v>4</v>
      </c>
      <c r="CK26" s="1">
        <v>4</v>
      </c>
      <c r="CL26" s="1">
        <v>4</v>
      </c>
      <c r="CM26" s="1">
        <v>3</v>
      </c>
      <c r="CN26" s="1">
        <v>3</v>
      </c>
      <c r="CO26" s="1">
        <v>4</v>
      </c>
      <c r="CP26" s="1">
        <v>4</v>
      </c>
      <c r="CU26" s="1">
        <v>1</v>
      </c>
    </row>
    <row r="27" spans="1:99" x14ac:dyDescent="0.35">
      <c r="A27" s="1" t="s">
        <v>2065</v>
      </c>
      <c r="B27" s="1">
        <v>181321041</v>
      </c>
      <c r="C27" s="1">
        <v>0</v>
      </c>
      <c r="D27" s="1">
        <v>1</v>
      </c>
      <c r="E27" s="1">
        <v>0</v>
      </c>
      <c r="F27" s="1">
        <v>0</v>
      </c>
      <c r="G27" s="1">
        <v>0</v>
      </c>
      <c r="H27" s="1">
        <v>0</v>
      </c>
      <c r="I27" s="1">
        <v>0</v>
      </c>
      <c r="J27" s="1">
        <v>0</v>
      </c>
      <c r="K27" s="1">
        <v>1</v>
      </c>
      <c r="L27" s="1">
        <v>1</v>
      </c>
      <c r="M27" s="1">
        <v>0</v>
      </c>
      <c r="N27" s="1">
        <v>0</v>
      </c>
      <c r="O27" s="1">
        <v>0</v>
      </c>
      <c r="P27" s="1">
        <v>5</v>
      </c>
      <c r="Q27" s="1">
        <v>3</v>
      </c>
      <c r="R27" s="1">
        <v>3</v>
      </c>
      <c r="S27" s="1">
        <v>1</v>
      </c>
      <c r="T27" s="1">
        <v>1</v>
      </c>
      <c r="U27" s="1">
        <v>4</v>
      </c>
      <c r="V27" s="1">
        <v>3</v>
      </c>
      <c r="W27" s="1">
        <v>3</v>
      </c>
      <c r="X27" s="1">
        <v>3</v>
      </c>
      <c r="Y27" s="1">
        <v>3</v>
      </c>
      <c r="Z27" s="1">
        <v>4</v>
      </c>
      <c r="AA27" s="1">
        <v>4</v>
      </c>
      <c r="AC27" s="1">
        <v>2</v>
      </c>
      <c r="AE27" s="1">
        <v>8</v>
      </c>
      <c r="AF27" s="3">
        <v>4650000</v>
      </c>
      <c r="AG27" s="1">
        <v>11</v>
      </c>
      <c r="AR27" s="1" t="s">
        <v>144</v>
      </c>
      <c r="BP27" s="1">
        <v>7</v>
      </c>
      <c r="BQ27" s="1" t="s">
        <v>2066</v>
      </c>
      <c r="BR27" s="1" t="s">
        <v>2067</v>
      </c>
      <c r="BS27" s="1" t="s">
        <v>2068</v>
      </c>
      <c r="BT27" s="1" t="s">
        <v>79</v>
      </c>
      <c r="BU27" s="1">
        <v>2</v>
      </c>
      <c r="BV27" s="1">
        <v>2</v>
      </c>
      <c r="BW27" s="1">
        <v>1</v>
      </c>
      <c r="BX27" s="1">
        <v>0</v>
      </c>
      <c r="BY27" s="1">
        <v>0</v>
      </c>
      <c r="BZ27" s="1">
        <v>0</v>
      </c>
      <c r="CA27" s="1">
        <v>0</v>
      </c>
      <c r="CB27" s="1">
        <v>0</v>
      </c>
      <c r="CC27" s="1">
        <v>0</v>
      </c>
      <c r="CD27" s="1">
        <v>0</v>
      </c>
      <c r="CE27" s="1">
        <v>0</v>
      </c>
      <c r="CF27" s="1">
        <v>0</v>
      </c>
      <c r="CG27" s="1">
        <v>0</v>
      </c>
      <c r="CH27" s="1">
        <v>0</v>
      </c>
      <c r="CI27" s="1">
        <v>0</v>
      </c>
      <c r="CJ27" s="1">
        <v>4</v>
      </c>
      <c r="CK27" s="1">
        <v>3</v>
      </c>
      <c r="CL27" s="1">
        <v>3</v>
      </c>
      <c r="CM27" s="1">
        <v>3</v>
      </c>
      <c r="CN27" s="1">
        <v>3</v>
      </c>
      <c r="CO27" s="1">
        <v>4</v>
      </c>
      <c r="CP27" s="1">
        <v>4</v>
      </c>
      <c r="CU27" s="1">
        <v>1</v>
      </c>
    </row>
    <row r="28" spans="1:99" x14ac:dyDescent="0.35">
      <c r="A28" s="1" t="s">
        <v>2069</v>
      </c>
      <c r="B28" s="1">
        <v>181321042</v>
      </c>
      <c r="C28" s="1">
        <v>0</v>
      </c>
      <c r="D28" s="1">
        <v>1</v>
      </c>
      <c r="E28" s="1">
        <v>0</v>
      </c>
      <c r="F28" s="1">
        <v>0</v>
      </c>
      <c r="G28" s="1">
        <v>0</v>
      </c>
      <c r="H28" s="1">
        <v>1</v>
      </c>
      <c r="I28" s="1">
        <v>0</v>
      </c>
      <c r="J28" s="1">
        <v>1</v>
      </c>
      <c r="K28" s="1">
        <v>0</v>
      </c>
      <c r="L28" s="1">
        <v>0</v>
      </c>
      <c r="M28" s="1">
        <v>0</v>
      </c>
      <c r="N28" s="1">
        <v>0</v>
      </c>
      <c r="O28" s="1">
        <v>0</v>
      </c>
      <c r="P28" s="1">
        <v>4</v>
      </c>
      <c r="Q28" s="1">
        <v>4</v>
      </c>
      <c r="R28" s="1">
        <v>1</v>
      </c>
      <c r="S28" s="1">
        <v>1</v>
      </c>
      <c r="T28" s="1">
        <v>1</v>
      </c>
      <c r="U28" s="1">
        <v>4</v>
      </c>
      <c r="V28" s="1">
        <v>3</v>
      </c>
      <c r="W28" s="1">
        <v>3</v>
      </c>
      <c r="X28" s="1">
        <v>3</v>
      </c>
      <c r="Y28" s="1">
        <v>4</v>
      </c>
      <c r="Z28" s="1">
        <v>4</v>
      </c>
      <c r="AA28" s="1">
        <v>4</v>
      </c>
      <c r="AC28" s="1">
        <v>1</v>
      </c>
      <c r="AD28" s="1">
        <v>2</v>
      </c>
      <c r="AF28" s="3">
        <v>4800000</v>
      </c>
      <c r="AG28" s="1">
        <v>12</v>
      </c>
      <c r="AS28" s="1" t="s">
        <v>69</v>
      </c>
      <c r="BP28" s="1">
        <v>3</v>
      </c>
      <c r="BQ28" s="1" t="s">
        <v>2070</v>
      </c>
      <c r="BR28" s="1" t="s">
        <v>2071</v>
      </c>
      <c r="BS28" s="1" t="s">
        <v>2072</v>
      </c>
      <c r="BT28" s="1" t="s">
        <v>107</v>
      </c>
      <c r="BU28" s="1">
        <v>1</v>
      </c>
      <c r="BV28" s="1">
        <v>2</v>
      </c>
      <c r="BW28" s="1">
        <v>0</v>
      </c>
      <c r="BX28" s="1">
        <v>0</v>
      </c>
      <c r="BY28" s="1">
        <v>0</v>
      </c>
      <c r="BZ28" s="1">
        <v>0</v>
      </c>
      <c r="CA28" s="1">
        <v>0</v>
      </c>
      <c r="CB28" s="1">
        <v>0</v>
      </c>
      <c r="CC28" s="1">
        <v>0</v>
      </c>
      <c r="CD28" s="1">
        <v>1</v>
      </c>
      <c r="CE28" s="1">
        <v>0</v>
      </c>
      <c r="CF28" s="1">
        <v>0</v>
      </c>
      <c r="CG28" s="1">
        <v>0</v>
      </c>
      <c r="CH28" s="1">
        <v>0</v>
      </c>
      <c r="CI28" s="1">
        <v>0</v>
      </c>
      <c r="CJ28" s="1">
        <v>4</v>
      </c>
      <c r="CK28" s="1">
        <v>4</v>
      </c>
      <c r="CL28" s="1">
        <v>3</v>
      </c>
      <c r="CM28" s="1">
        <v>4</v>
      </c>
      <c r="CN28" s="1">
        <v>4</v>
      </c>
      <c r="CO28" s="1">
        <v>4</v>
      </c>
      <c r="CP28" s="1">
        <v>4</v>
      </c>
      <c r="CU28" s="1">
        <v>1</v>
      </c>
    </row>
    <row r="29" spans="1:99" x14ac:dyDescent="0.35">
      <c r="A29" s="1" t="s">
        <v>2073</v>
      </c>
      <c r="B29" s="1">
        <v>181321043</v>
      </c>
      <c r="C29" s="1">
        <v>0</v>
      </c>
      <c r="D29" s="1">
        <v>1</v>
      </c>
      <c r="E29" s="1">
        <v>0</v>
      </c>
      <c r="F29" s="1">
        <v>0</v>
      </c>
      <c r="G29" s="1">
        <v>0</v>
      </c>
      <c r="H29" s="1">
        <v>0</v>
      </c>
      <c r="I29" s="1">
        <v>0</v>
      </c>
      <c r="J29" s="1">
        <v>0</v>
      </c>
      <c r="K29" s="1">
        <v>1</v>
      </c>
      <c r="L29" s="1">
        <v>0</v>
      </c>
      <c r="M29" s="1">
        <v>0</v>
      </c>
      <c r="N29" s="1">
        <v>0</v>
      </c>
      <c r="O29" s="1">
        <v>0</v>
      </c>
      <c r="P29" s="1">
        <v>10</v>
      </c>
      <c r="Q29" s="1">
        <v>6</v>
      </c>
      <c r="R29" s="1">
        <v>4</v>
      </c>
      <c r="S29" s="1">
        <v>5</v>
      </c>
      <c r="T29" s="1">
        <v>1</v>
      </c>
      <c r="U29" s="1">
        <v>4</v>
      </c>
      <c r="V29" s="1">
        <v>4</v>
      </c>
      <c r="W29" s="1">
        <v>3</v>
      </c>
      <c r="X29" s="1">
        <v>4</v>
      </c>
      <c r="Y29" s="1">
        <v>4</v>
      </c>
      <c r="Z29" s="1">
        <v>4</v>
      </c>
      <c r="AA29" s="1">
        <v>3</v>
      </c>
      <c r="CU29" s="1">
        <v>4</v>
      </c>
    </row>
    <row r="30" spans="1:99" x14ac:dyDescent="0.35">
      <c r="A30" s="1" t="s">
        <v>2074</v>
      </c>
      <c r="B30" s="1">
        <v>181321044</v>
      </c>
      <c r="C30" s="1">
        <v>0</v>
      </c>
      <c r="D30" s="1">
        <v>0</v>
      </c>
      <c r="E30" s="1">
        <v>0</v>
      </c>
      <c r="F30" s="1">
        <v>0</v>
      </c>
      <c r="G30" s="1">
        <v>0</v>
      </c>
      <c r="H30" s="1">
        <v>0</v>
      </c>
      <c r="I30" s="1">
        <v>0</v>
      </c>
      <c r="J30" s="1">
        <v>0</v>
      </c>
      <c r="K30" s="1">
        <v>1</v>
      </c>
      <c r="L30" s="1">
        <v>0</v>
      </c>
      <c r="M30" s="1">
        <v>0</v>
      </c>
      <c r="N30" s="1">
        <v>0</v>
      </c>
      <c r="O30" s="1">
        <v>0</v>
      </c>
      <c r="P30" s="1">
        <v>40</v>
      </c>
      <c r="Q30" s="1">
        <v>30</v>
      </c>
      <c r="R30" s="1">
        <v>20</v>
      </c>
      <c r="S30" s="1">
        <v>1</v>
      </c>
      <c r="T30" s="1">
        <v>1</v>
      </c>
      <c r="U30" s="1">
        <v>3</v>
      </c>
      <c r="V30" s="1">
        <v>4</v>
      </c>
      <c r="W30" s="1">
        <v>3</v>
      </c>
      <c r="X30" s="1">
        <v>3</v>
      </c>
      <c r="Y30" s="1">
        <v>4</v>
      </c>
      <c r="Z30" s="1">
        <v>4</v>
      </c>
      <c r="AA30" s="1">
        <v>4</v>
      </c>
      <c r="AC30" s="1">
        <v>1</v>
      </c>
      <c r="AD30" s="1">
        <v>4</v>
      </c>
      <c r="AF30" s="3">
        <v>5200000</v>
      </c>
      <c r="AG30" s="1">
        <v>12</v>
      </c>
      <c r="AS30" s="1" t="s">
        <v>472</v>
      </c>
      <c r="BP30" s="1">
        <v>3</v>
      </c>
      <c r="BQ30" s="1" t="s">
        <v>2075</v>
      </c>
      <c r="BR30" s="1" t="s">
        <v>2076</v>
      </c>
      <c r="BS30" s="1" t="s">
        <v>2077</v>
      </c>
      <c r="BT30" s="1" t="s">
        <v>79</v>
      </c>
      <c r="BU30" s="1">
        <v>3</v>
      </c>
      <c r="BV30" s="1">
        <v>1</v>
      </c>
      <c r="BW30" s="1">
        <v>0</v>
      </c>
      <c r="BX30" s="1">
        <v>0</v>
      </c>
      <c r="BY30" s="1">
        <v>0</v>
      </c>
      <c r="BZ30" s="1">
        <v>0</v>
      </c>
      <c r="CA30" s="1">
        <v>0</v>
      </c>
      <c r="CB30" s="1">
        <v>1</v>
      </c>
      <c r="CC30" s="1">
        <v>0</v>
      </c>
      <c r="CD30" s="1">
        <v>0</v>
      </c>
      <c r="CE30" s="1">
        <v>0</v>
      </c>
      <c r="CF30" s="1">
        <v>0</v>
      </c>
      <c r="CG30" s="1">
        <v>0</v>
      </c>
      <c r="CH30" s="1">
        <v>0</v>
      </c>
      <c r="CI30" s="1">
        <v>0</v>
      </c>
      <c r="CJ30" s="1">
        <v>4</v>
      </c>
      <c r="CK30" s="1">
        <v>3</v>
      </c>
      <c r="CL30" s="1">
        <v>3</v>
      </c>
      <c r="CM30" s="1">
        <v>4</v>
      </c>
      <c r="CN30" s="1">
        <v>4</v>
      </c>
      <c r="CO30" s="1">
        <v>4</v>
      </c>
      <c r="CP30" s="1">
        <v>4</v>
      </c>
      <c r="CU30" s="1">
        <v>1</v>
      </c>
    </row>
    <row r="31" spans="1:99" x14ac:dyDescent="0.35">
      <c r="A31" s="1" t="s">
        <v>2078</v>
      </c>
      <c r="B31" s="1">
        <v>181321045</v>
      </c>
      <c r="C31" s="1">
        <v>1</v>
      </c>
      <c r="D31" s="1">
        <v>1</v>
      </c>
      <c r="E31" s="1">
        <v>0</v>
      </c>
      <c r="F31" s="1">
        <v>0</v>
      </c>
      <c r="G31" s="1">
        <v>0</v>
      </c>
      <c r="H31" s="1">
        <v>1</v>
      </c>
      <c r="I31" s="1">
        <v>1</v>
      </c>
      <c r="J31" s="1">
        <v>1</v>
      </c>
      <c r="K31" s="1">
        <v>1</v>
      </c>
      <c r="L31" s="1">
        <v>0</v>
      </c>
      <c r="M31" s="1">
        <v>0</v>
      </c>
      <c r="N31" s="1">
        <v>0</v>
      </c>
      <c r="O31" s="1">
        <v>0</v>
      </c>
      <c r="P31" s="1">
        <v>5</v>
      </c>
      <c r="Q31" s="1">
        <v>5</v>
      </c>
      <c r="R31" s="1">
        <v>5</v>
      </c>
      <c r="S31" s="1">
        <v>1</v>
      </c>
      <c r="T31" s="1">
        <v>1</v>
      </c>
      <c r="U31" s="1">
        <v>4</v>
      </c>
      <c r="V31" s="1">
        <v>4</v>
      </c>
      <c r="W31" s="1">
        <v>4</v>
      </c>
      <c r="X31" s="1">
        <v>4</v>
      </c>
      <c r="Y31" s="1">
        <v>4</v>
      </c>
      <c r="Z31" s="1">
        <v>4</v>
      </c>
      <c r="AA31" s="1">
        <v>4</v>
      </c>
      <c r="AC31" s="1">
        <v>2</v>
      </c>
      <c r="AE31" s="1">
        <v>1</v>
      </c>
      <c r="AF31" s="3">
        <v>4300000</v>
      </c>
      <c r="AG31" s="1">
        <v>13</v>
      </c>
      <c r="AT31" s="1" t="s">
        <v>75</v>
      </c>
      <c r="BP31" s="1" t="s">
        <v>2079</v>
      </c>
      <c r="BQ31" s="1" t="s">
        <v>2080</v>
      </c>
      <c r="BR31" s="1" t="s">
        <v>1998</v>
      </c>
      <c r="BT31" s="1" t="s">
        <v>79</v>
      </c>
      <c r="BU31" s="1">
        <v>1</v>
      </c>
      <c r="BV31" s="1">
        <v>2</v>
      </c>
      <c r="BW31" s="1">
        <v>1</v>
      </c>
      <c r="BX31" s="1">
        <v>0</v>
      </c>
      <c r="BY31" s="1">
        <v>0</v>
      </c>
      <c r="BZ31" s="1">
        <v>0</v>
      </c>
      <c r="CA31" s="1">
        <v>0</v>
      </c>
      <c r="CB31" s="1">
        <v>0</v>
      </c>
      <c r="CC31" s="1">
        <v>0</v>
      </c>
      <c r="CD31" s="1">
        <v>0</v>
      </c>
      <c r="CE31" s="1">
        <v>0</v>
      </c>
      <c r="CF31" s="1">
        <v>0</v>
      </c>
      <c r="CG31" s="1">
        <v>0</v>
      </c>
      <c r="CH31" s="1">
        <v>0</v>
      </c>
      <c r="CI31" s="1">
        <v>0</v>
      </c>
      <c r="CJ31" s="1">
        <v>4</v>
      </c>
      <c r="CK31" s="1">
        <v>4</v>
      </c>
      <c r="CL31" s="1">
        <v>4</v>
      </c>
      <c r="CM31" s="1">
        <v>4</v>
      </c>
      <c r="CN31" s="1">
        <v>4</v>
      </c>
      <c r="CO31" s="1">
        <v>4</v>
      </c>
      <c r="CP31" s="1">
        <v>4</v>
      </c>
      <c r="CU31" s="1">
        <v>4</v>
      </c>
    </row>
    <row r="32" spans="1:99" x14ac:dyDescent="0.35">
      <c r="A32" s="1" t="s">
        <v>2081</v>
      </c>
      <c r="B32" s="1">
        <v>181321046</v>
      </c>
      <c r="C32" s="1">
        <v>0</v>
      </c>
      <c r="D32" s="1">
        <v>1</v>
      </c>
      <c r="E32" s="1">
        <v>0</v>
      </c>
      <c r="F32" s="1">
        <v>0</v>
      </c>
      <c r="G32" s="1">
        <v>0</v>
      </c>
      <c r="H32" s="1">
        <v>0</v>
      </c>
      <c r="I32" s="1">
        <v>0</v>
      </c>
      <c r="J32" s="1">
        <v>1</v>
      </c>
      <c r="K32" s="1">
        <v>1</v>
      </c>
      <c r="L32" s="1">
        <v>0</v>
      </c>
      <c r="M32" s="1">
        <v>0</v>
      </c>
      <c r="N32" s="1">
        <v>0</v>
      </c>
      <c r="O32" s="1">
        <v>0</v>
      </c>
      <c r="P32" s="1">
        <v>50</v>
      </c>
      <c r="Q32" s="1">
        <v>7</v>
      </c>
      <c r="R32" s="1">
        <v>5</v>
      </c>
      <c r="S32" s="1">
        <v>1</v>
      </c>
      <c r="T32" s="1">
        <v>1</v>
      </c>
      <c r="U32" s="1">
        <v>4</v>
      </c>
      <c r="V32" s="1">
        <v>4</v>
      </c>
      <c r="W32" s="1">
        <v>3</v>
      </c>
      <c r="X32" s="1">
        <v>4</v>
      </c>
      <c r="Y32" s="1">
        <v>4</v>
      </c>
      <c r="Z32" s="1">
        <v>4</v>
      </c>
      <c r="AA32" s="1">
        <v>4</v>
      </c>
      <c r="AC32" s="1">
        <v>1</v>
      </c>
      <c r="AD32" s="1">
        <v>1</v>
      </c>
      <c r="AE32" s="1">
        <v>1</v>
      </c>
      <c r="AF32" s="3">
        <v>9500000</v>
      </c>
      <c r="AG32" s="1">
        <v>13</v>
      </c>
      <c r="AT32" s="1" t="s">
        <v>1414</v>
      </c>
      <c r="BP32" s="1">
        <v>3</v>
      </c>
      <c r="BQ32" s="1" t="s">
        <v>2082</v>
      </c>
      <c r="BR32" s="1" t="s">
        <v>2083</v>
      </c>
      <c r="BT32" s="1" t="s">
        <v>79</v>
      </c>
      <c r="BU32" s="1">
        <v>1</v>
      </c>
      <c r="BV32" s="1">
        <v>2</v>
      </c>
      <c r="BW32" s="1">
        <v>1</v>
      </c>
      <c r="BX32" s="1">
        <v>0</v>
      </c>
      <c r="BY32" s="1">
        <v>0</v>
      </c>
      <c r="BZ32" s="1">
        <v>0</v>
      </c>
      <c r="CA32" s="1">
        <v>0</v>
      </c>
      <c r="CB32" s="1">
        <v>0</v>
      </c>
      <c r="CC32" s="1">
        <v>0</v>
      </c>
      <c r="CD32" s="1">
        <v>0</v>
      </c>
      <c r="CE32" s="1">
        <v>0</v>
      </c>
      <c r="CF32" s="1">
        <v>0</v>
      </c>
      <c r="CG32" s="1">
        <v>0</v>
      </c>
      <c r="CH32" s="1">
        <v>0</v>
      </c>
      <c r="CI32" s="1">
        <v>0</v>
      </c>
      <c r="CJ32" s="1">
        <v>4</v>
      </c>
      <c r="CK32" s="1">
        <v>4</v>
      </c>
      <c r="CL32" s="1">
        <v>4</v>
      </c>
      <c r="CM32" s="1">
        <v>4</v>
      </c>
      <c r="CN32" s="1">
        <v>4</v>
      </c>
      <c r="CO32" s="1">
        <v>4</v>
      </c>
      <c r="CP32" s="1">
        <v>4</v>
      </c>
      <c r="CU32" s="1">
        <v>1</v>
      </c>
    </row>
    <row r="33" spans="1:99" x14ac:dyDescent="0.35">
      <c r="A33" s="1" t="s">
        <v>2084</v>
      </c>
      <c r="B33" s="1">
        <v>181321047</v>
      </c>
      <c r="C33" s="1">
        <v>1</v>
      </c>
      <c r="D33" s="1">
        <v>1</v>
      </c>
      <c r="E33" s="1">
        <v>1</v>
      </c>
      <c r="F33" s="1">
        <v>0</v>
      </c>
      <c r="G33" s="1">
        <v>0</v>
      </c>
      <c r="H33" s="1">
        <v>0</v>
      </c>
      <c r="I33" s="1">
        <v>0</v>
      </c>
      <c r="J33" s="1">
        <v>0</v>
      </c>
      <c r="K33" s="1">
        <v>0</v>
      </c>
      <c r="L33" s="1">
        <v>0</v>
      </c>
      <c r="M33" s="1">
        <v>0</v>
      </c>
      <c r="N33" s="1">
        <v>0</v>
      </c>
      <c r="O33" s="1">
        <v>0</v>
      </c>
      <c r="P33" s="1">
        <v>460</v>
      </c>
      <c r="Q33" s="1">
        <v>30</v>
      </c>
      <c r="R33" s="1">
        <v>30</v>
      </c>
      <c r="S33" s="1">
        <v>1</v>
      </c>
      <c r="T33" s="1">
        <v>1</v>
      </c>
      <c r="U33" s="1">
        <v>4</v>
      </c>
      <c r="V33" s="1">
        <v>4</v>
      </c>
      <c r="W33" s="1">
        <v>2</v>
      </c>
      <c r="X33" s="1">
        <v>3</v>
      </c>
      <c r="Y33" s="1">
        <v>3</v>
      </c>
      <c r="Z33" s="1">
        <v>4</v>
      </c>
      <c r="AA33" s="1">
        <v>3</v>
      </c>
      <c r="AC33" s="1">
        <v>1</v>
      </c>
      <c r="AD33" s="1">
        <v>2</v>
      </c>
      <c r="AF33" s="3">
        <v>4300000</v>
      </c>
      <c r="AG33" s="1">
        <v>13</v>
      </c>
      <c r="AT33" s="1" t="s">
        <v>1414</v>
      </c>
      <c r="BP33" s="1">
        <v>3</v>
      </c>
      <c r="BQ33" s="1" t="s">
        <v>2085</v>
      </c>
      <c r="BR33" s="1" t="s">
        <v>2086</v>
      </c>
      <c r="BS33" s="1" t="s">
        <v>2087</v>
      </c>
      <c r="BT33" s="1" t="s">
        <v>79</v>
      </c>
      <c r="BU33" s="1">
        <v>1</v>
      </c>
      <c r="BV33" s="1">
        <v>2</v>
      </c>
      <c r="BW33" s="1">
        <v>0</v>
      </c>
      <c r="BX33" s="1">
        <v>0</v>
      </c>
      <c r="BY33" s="1">
        <v>0</v>
      </c>
      <c r="BZ33" s="1">
        <v>0</v>
      </c>
      <c r="CA33" s="1">
        <v>0</v>
      </c>
      <c r="CB33" s="1">
        <v>0</v>
      </c>
      <c r="CC33" s="1">
        <v>0</v>
      </c>
      <c r="CD33" s="1">
        <v>1</v>
      </c>
      <c r="CE33" s="1">
        <v>0</v>
      </c>
      <c r="CF33" s="1">
        <v>0</v>
      </c>
      <c r="CG33" s="1">
        <v>0</v>
      </c>
      <c r="CH33" s="1">
        <v>0</v>
      </c>
      <c r="CI33" s="1">
        <v>0</v>
      </c>
      <c r="CJ33" s="1">
        <v>4</v>
      </c>
      <c r="CK33" s="1">
        <v>4</v>
      </c>
      <c r="CL33" s="1">
        <v>2</v>
      </c>
      <c r="CM33" s="1">
        <v>3</v>
      </c>
      <c r="CN33" s="1">
        <v>4</v>
      </c>
      <c r="CO33" s="1">
        <v>4</v>
      </c>
      <c r="CP33" s="1">
        <v>3</v>
      </c>
      <c r="CU33" s="1">
        <v>1</v>
      </c>
    </row>
    <row r="34" spans="1:99" x14ac:dyDescent="0.35">
      <c r="A34" s="1" t="s">
        <v>2088</v>
      </c>
      <c r="B34" s="1">
        <v>181321048</v>
      </c>
      <c r="C34" s="1">
        <v>0</v>
      </c>
      <c r="D34" s="1">
        <v>1</v>
      </c>
      <c r="E34" s="1">
        <v>0</v>
      </c>
      <c r="F34" s="1">
        <v>0</v>
      </c>
      <c r="G34" s="1">
        <v>0</v>
      </c>
      <c r="H34" s="1">
        <v>1</v>
      </c>
      <c r="I34" s="1">
        <v>0</v>
      </c>
      <c r="J34" s="1">
        <v>0</v>
      </c>
      <c r="K34" s="1">
        <v>1</v>
      </c>
      <c r="L34" s="1">
        <v>0</v>
      </c>
      <c r="M34" s="1">
        <v>0</v>
      </c>
      <c r="N34" s="1">
        <v>0</v>
      </c>
      <c r="O34" s="1">
        <v>0</v>
      </c>
      <c r="P34" s="1">
        <v>30</v>
      </c>
      <c r="Q34" s="1">
        <v>5</v>
      </c>
      <c r="R34" s="1">
        <v>2</v>
      </c>
      <c r="S34" s="1">
        <v>4</v>
      </c>
      <c r="T34" s="1">
        <v>1</v>
      </c>
      <c r="U34" s="1">
        <v>3</v>
      </c>
      <c r="V34" s="1">
        <v>1</v>
      </c>
      <c r="W34" s="1">
        <v>3</v>
      </c>
      <c r="X34" s="1">
        <v>3</v>
      </c>
      <c r="Y34" s="1">
        <v>3</v>
      </c>
      <c r="Z34" s="1">
        <v>3</v>
      </c>
      <c r="AA34" s="1">
        <v>3</v>
      </c>
      <c r="CQ34" s="1">
        <v>1</v>
      </c>
      <c r="CR34" s="1" t="s">
        <v>2089</v>
      </c>
      <c r="CS34" s="1" t="s">
        <v>2090</v>
      </c>
      <c r="CT34" s="5">
        <v>44866</v>
      </c>
      <c r="CU34" s="1">
        <v>1</v>
      </c>
    </row>
    <row r="35" spans="1:99" x14ac:dyDescent="0.35">
      <c r="A35" s="1" t="s">
        <v>2091</v>
      </c>
      <c r="B35" s="1">
        <v>181321049</v>
      </c>
      <c r="C35" s="1">
        <v>0</v>
      </c>
      <c r="D35" s="1">
        <v>1</v>
      </c>
      <c r="E35" s="1">
        <v>0</v>
      </c>
      <c r="F35" s="1">
        <v>0</v>
      </c>
      <c r="G35" s="1">
        <v>0</v>
      </c>
      <c r="H35" s="1">
        <v>0</v>
      </c>
      <c r="I35" s="1">
        <v>0</v>
      </c>
      <c r="J35" s="1">
        <v>0</v>
      </c>
      <c r="K35" s="1">
        <v>1</v>
      </c>
      <c r="L35" s="1">
        <v>0</v>
      </c>
      <c r="M35" s="1">
        <v>0</v>
      </c>
      <c r="N35" s="1">
        <v>0</v>
      </c>
      <c r="O35" s="1">
        <v>0</v>
      </c>
      <c r="P35" s="1">
        <v>15</v>
      </c>
      <c r="Q35" s="1">
        <v>5</v>
      </c>
      <c r="R35" s="1">
        <v>3</v>
      </c>
      <c r="S35" s="1">
        <v>1</v>
      </c>
      <c r="T35" s="1">
        <v>1</v>
      </c>
      <c r="U35" s="1">
        <v>4</v>
      </c>
      <c r="V35" s="1">
        <v>3</v>
      </c>
      <c r="W35" s="1">
        <v>3</v>
      </c>
      <c r="X35" s="1">
        <v>3</v>
      </c>
      <c r="Y35" s="1">
        <v>4</v>
      </c>
      <c r="Z35" s="1">
        <v>4</v>
      </c>
      <c r="AA35" s="1">
        <v>4</v>
      </c>
      <c r="AC35" s="1">
        <v>2</v>
      </c>
      <c r="AE35" s="1">
        <v>9</v>
      </c>
      <c r="AF35" s="3">
        <v>5000000</v>
      </c>
      <c r="AG35" s="1">
        <v>13</v>
      </c>
      <c r="AT35" s="1" t="s">
        <v>75</v>
      </c>
      <c r="BQ35" s="1" t="s">
        <v>2092</v>
      </c>
      <c r="BR35" s="1" t="s">
        <v>2093</v>
      </c>
      <c r="BS35" s="1" t="s">
        <v>2094</v>
      </c>
      <c r="BT35" s="1" t="s">
        <v>79</v>
      </c>
      <c r="BU35" s="1">
        <v>5</v>
      </c>
      <c r="BV35" s="1">
        <v>2</v>
      </c>
      <c r="BW35" s="1">
        <v>0</v>
      </c>
      <c r="BX35" s="1">
        <v>0</v>
      </c>
      <c r="BY35" s="1">
        <v>1</v>
      </c>
      <c r="BZ35" s="1">
        <v>0</v>
      </c>
      <c r="CA35" s="1">
        <v>0</v>
      </c>
      <c r="CB35" s="1">
        <v>0</v>
      </c>
      <c r="CC35" s="1">
        <v>1</v>
      </c>
      <c r="CD35" s="1">
        <v>0</v>
      </c>
      <c r="CE35" s="1">
        <v>0</v>
      </c>
      <c r="CF35" s="1">
        <v>0</v>
      </c>
      <c r="CG35" s="1">
        <v>0</v>
      </c>
      <c r="CH35" s="1">
        <v>1</v>
      </c>
      <c r="CI35" s="1">
        <v>0</v>
      </c>
      <c r="CJ35" s="1">
        <v>4</v>
      </c>
      <c r="CK35" s="1">
        <v>4</v>
      </c>
      <c r="CL35" s="1">
        <v>4</v>
      </c>
      <c r="CM35" s="1">
        <v>3</v>
      </c>
      <c r="CN35" s="1">
        <v>4</v>
      </c>
      <c r="CO35" s="1">
        <v>4</v>
      </c>
      <c r="CP35" s="1">
        <v>4</v>
      </c>
      <c r="CU35" s="1">
        <v>1</v>
      </c>
    </row>
    <row r="36" spans="1:99" x14ac:dyDescent="0.35">
      <c r="A36" s="1" t="s">
        <v>2095</v>
      </c>
      <c r="B36" s="1">
        <v>181321050</v>
      </c>
      <c r="C36" s="1">
        <v>1</v>
      </c>
      <c r="D36" s="1">
        <v>1</v>
      </c>
      <c r="E36" s="1">
        <v>0</v>
      </c>
      <c r="F36" s="1">
        <v>0</v>
      </c>
      <c r="G36" s="1">
        <v>0</v>
      </c>
      <c r="H36" s="1">
        <v>0</v>
      </c>
      <c r="I36" s="1">
        <v>0</v>
      </c>
      <c r="J36" s="1">
        <v>0</v>
      </c>
      <c r="K36" s="1">
        <v>1</v>
      </c>
      <c r="L36" s="1">
        <v>0</v>
      </c>
      <c r="M36" s="1">
        <v>0</v>
      </c>
      <c r="N36" s="1">
        <v>0</v>
      </c>
      <c r="O36" s="1">
        <v>0</v>
      </c>
      <c r="P36" s="1">
        <v>60</v>
      </c>
      <c r="Q36" s="1">
        <v>20</v>
      </c>
      <c r="R36" s="1">
        <v>10</v>
      </c>
      <c r="S36" s="1">
        <v>1</v>
      </c>
      <c r="T36" s="1">
        <v>1</v>
      </c>
      <c r="U36" s="1">
        <v>4</v>
      </c>
      <c r="V36" s="1">
        <v>3</v>
      </c>
      <c r="W36" s="1">
        <v>1</v>
      </c>
      <c r="X36" s="1">
        <v>3</v>
      </c>
      <c r="Y36" s="1">
        <v>3</v>
      </c>
      <c r="Z36" s="1">
        <v>4</v>
      </c>
      <c r="AA36" s="1">
        <v>2</v>
      </c>
      <c r="AC36" s="1">
        <v>1</v>
      </c>
      <c r="AD36" s="1">
        <v>3</v>
      </c>
      <c r="AF36" s="3">
        <v>4800000</v>
      </c>
      <c r="AG36" s="1">
        <v>12</v>
      </c>
      <c r="AS36" s="1" t="s">
        <v>244</v>
      </c>
      <c r="BP36" s="1">
        <v>6</v>
      </c>
      <c r="BQ36" s="1" t="s">
        <v>2096</v>
      </c>
      <c r="BR36" s="1" t="s">
        <v>2097</v>
      </c>
      <c r="BS36" s="1" t="s">
        <v>2098</v>
      </c>
      <c r="BT36" s="1" t="s">
        <v>79</v>
      </c>
      <c r="BU36" s="1">
        <v>3</v>
      </c>
      <c r="BV36" s="1">
        <v>2</v>
      </c>
      <c r="BW36" s="1">
        <v>1</v>
      </c>
      <c r="BX36" s="1">
        <v>0</v>
      </c>
      <c r="BY36" s="1">
        <v>0</v>
      </c>
      <c r="BZ36" s="1">
        <v>0</v>
      </c>
      <c r="CA36" s="1">
        <v>0</v>
      </c>
      <c r="CB36" s="1">
        <v>0</v>
      </c>
      <c r="CC36" s="1">
        <v>0</v>
      </c>
      <c r="CD36" s="1">
        <v>0</v>
      </c>
      <c r="CE36" s="1">
        <v>0</v>
      </c>
      <c r="CF36" s="1">
        <v>0</v>
      </c>
      <c r="CG36" s="1">
        <v>0</v>
      </c>
      <c r="CH36" s="1">
        <v>0</v>
      </c>
      <c r="CI36" s="1">
        <v>0</v>
      </c>
      <c r="CJ36" s="1">
        <v>3</v>
      </c>
      <c r="CK36" s="1">
        <v>2</v>
      </c>
      <c r="CL36" s="1">
        <v>1</v>
      </c>
      <c r="CM36" s="1">
        <v>3</v>
      </c>
      <c r="CN36" s="1">
        <v>3</v>
      </c>
      <c r="CO36" s="1">
        <v>4</v>
      </c>
      <c r="CP36" s="1">
        <v>1</v>
      </c>
      <c r="CU36" s="1">
        <v>4</v>
      </c>
    </row>
    <row r="37" spans="1:99" x14ac:dyDescent="0.35">
      <c r="A37" s="1" t="s">
        <v>2099</v>
      </c>
      <c r="B37" s="1">
        <v>181321051</v>
      </c>
      <c r="C37" s="1">
        <v>0</v>
      </c>
      <c r="D37" s="1">
        <v>1</v>
      </c>
      <c r="E37" s="1">
        <v>0</v>
      </c>
      <c r="F37" s="1">
        <v>0</v>
      </c>
      <c r="G37" s="1">
        <v>0</v>
      </c>
      <c r="H37" s="1">
        <v>0</v>
      </c>
      <c r="I37" s="1">
        <v>0</v>
      </c>
      <c r="J37" s="1">
        <v>1</v>
      </c>
      <c r="K37" s="1">
        <v>1</v>
      </c>
      <c r="L37" s="1">
        <v>0</v>
      </c>
      <c r="M37" s="1">
        <v>0</v>
      </c>
      <c r="N37" s="1">
        <v>0</v>
      </c>
      <c r="O37" s="1">
        <v>0</v>
      </c>
      <c r="P37" s="1">
        <v>500</v>
      </c>
      <c r="Q37" s="1">
        <v>75</v>
      </c>
      <c r="R37" s="1">
        <v>40</v>
      </c>
      <c r="S37" s="1">
        <v>1</v>
      </c>
      <c r="T37" s="1">
        <v>1</v>
      </c>
      <c r="U37" s="1">
        <v>4</v>
      </c>
      <c r="V37" s="1">
        <v>1</v>
      </c>
      <c r="W37" s="1">
        <v>3</v>
      </c>
      <c r="X37" s="1">
        <v>3</v>
      </c>
      <c r="Y37" s="1">
        <v>3</v>
      </c>
      <c r="Z37" s="1">
        <v>3</v>
      </c>
      <c r="AA37" s="1">
        <v>3</v>
      </c>
      <c r="AC37" s="1">
        <v>2</v>
      </c>
      <c r="AE37" s="1">
        <v>2</v>
      </c>
      <c r="AF37" s="3">
        <v>5000000</v>
      </c>
      <c r="AG37" s="1">
        <v>12</v>
      </c>
      <c r="AS37" s="1" t="s">
        <v>472</v>
      </c>
      <c r="BP37" s="1">
        <v>6</v>
      </c>
      <c r="BQ37" s="1" t="s">
        <v>2100</v>
      </c>
      <c r="BR37" s="1" t="s">
        <v>2101</v>
      </c>
      <c r="BT37" s="1" t="s">
        <v>79</v>
      </c>
      <c r="BU37" s="1">
        <v>1</v>
      </c>
      <c r="BV37" s="1">
        <v>3</v>
      </c>
      <c r="BW37" s="1">
        <v>1</v>
      </c>
      <c r="BX37" s="1">
        <v>0</v>
      </c>
      <c r="BY37" s="1">
        <v>0</v>
      </c>
      <c r="BZ37" s="1">
        <v>0</v>
      </c>
      <c r="CA37" s="1">
        <v>0</v>
      </c>
      <c r="CB37" s="1">
        <v>0</v>
      </c>
      <c r="CC37" s="1">
        <v>0</v>
      </c>
      <c r="CD37" s="1">
        <v>0</v>
      </c>
      <c r="CE37" s="1">
        <v>0</v>
      </c>
      <c r="CF37" s="1">
        <v>0</v>
      </c>
      <c r="CG37" s="1">
        <v>0</v>
      </c>
      <c r="CH37" s="1">
        <v>0</v>
      </c>
      <c r="CI37" s="1">
        <v>0</v>
      </c>
      <c r="CJ37" s="1">
        <v>4</v>
      </c>
      <c r="CK37" s="1">
        <v>3</v>
      </c>
      <c r="CL37" s="1">
        <v>2</v>
      </c>
      <c r="CM37" s="1">
        <v>2</v>
      </c>
      <c r="CN37" s="1">
        <v>4</v>
      </c>
      <c r="CO37" s="1">
        <v>4</v>
      </c>
      <c r="CP37" s="1">
        <v>4</v>
      </c>
      <c r="CU37" s="1">
        <v>4</v>
      </c>
    </row>
    <row r="38" spans="1:99" x14ac:dyDescent="0.35">
      <c r="A38" s="1" t="s">
        <v>2102</v>
      </c>
      <c r="B38" s="1">
        <v>181321052</v>
      </c>
      <c r="C38" s="1">
        <v>0</v>
      </c>
      <c r="D38" s="1">
        <v>1</v>
      </c>
      <c r="E38" s="1">
        <v>0</v>
      </c>
      <c r="F38" s="1">
        <v>0</v>
      </c>
      <c r="G38" s="1">
        <v>0</v>
      </c>
      <c r="H38" s="1">
        <v>0</v>
      </c>
      <c r="I38" s="1">
        <v>0</v>
      </c>
      <c r="J38" s="1">
        <v>1</v>
      </c>
      <c r="K38" s="1">
        <v>1</v>
      </c>
      <c r="L38" s="1">
        <v>0</v>
      </c>
      <c r="M38" s="1">
        <v>0</v>
      </c>
      <c r="N38" s="1">
        <v>0</v>
      </c>
      <c r="O38" s="1">
        <v>0</v>
      </c>
      <c r="P38" s="1">
        <v>4</v>
      </c>
      <c r="Q38" s="1">
        <v>4</v>
      </c>
      <c r="R38" s="1">
        <v>4</v>
      </c>
      <c r="S38" s="1">
        <v>1</v>
      </c>
      <c r="T38" s="1">
        <v>1</v>
      </c>
      <c r="U38" s="1">
        <v>3</v>
      </c>
      <c r="V38" s="1">
        <v>4</v>
      </c>
      <c r="W38" s="1">
        <v>3</v>
      </c>
      <c r="X38" s="1">
        <v>2</v>
      </c>
      <c r="Y38" s="1">
        <v>2</v>
      </c>
      <c r="Z38" s="1">
        <v>4</v>
      </c>
      <c r="AA38" s="1">
        <v>4</v>
      </c>
      <c r="AC38" s="1">
        <v>2</v>
      </c>
      <c r="AE38" s="1">
        <v>2</v>
      </c>
      <c r="AF38" s="3">
        <v>9000000</v>
      </c>
      <c r="AG38" s="1">
        <v>13</v>
      </c>
      <c r="AT38" s="1" t="s">
        <v>75</v>
      </c>
      <c r="BP38" s="1">
        <v>3</v>
      </c>
      <c r="BQ38" s="1" t="s">
        <v>2103</v>
      </c>
      <c r="BR38" s="1" t="s">
        <v>2104</v>
      </c>
      <c r="BS38" s="1" t="s">
        <v>2105</v>
      </c>
      <c r="BT38" s="1" t="s">
        <v>73</v>
      </c>
      <c r="BU38" s="1">
        <v>3</v>
      </c>
      <c r="BV38" s="1">
        <v>2</v>
      </c>
      <c r="BW38" s="1">
        <v>1</v>
      </c>
      <c r="BX38" s="1">
        <v>0</v>
      </c>
      <c r="BY38" s="1">
        <v>0</v>
      </c>
      <c r="BZ38" s="1">
        <v>0</v>
      </c>
      <c r="CA38" s="1">
        <v>0</v>
      </c>
      <c r="CB38" s="1">
        <v>0</v>
      </c>
      <c r="CC38" s="1">
        <v>0</v>
      </c>
      <c r="CD38" s="1">
        <v>0</v>
      </c>
      <c r="CE38" s="1">
        <v>0</v>
      </c>
      <c r="CF38" s="1">
        <v>0</v>
      </c>
      <c r="CG38" s="1">
        <v>0</v>
      </c>
      <c r="CH38" s="1">
        <v>0</v>
      </c>
      <c r="CI38" s="1">
        <v>0</v>
      </c>
      <c r="CJ38" s="1">
        <v>4</v>
      </c>
      <c r="CK38" s="1">
        <v>3</v>
      </c>
      <c r="CL38" s="1">
        <v>4</v>
      </c>
      <c r="CM38" s="1">
        <v>2</v>
      </c>
      <c r="CN38" s="1">
        <v>3</v>
      </c>
      <c r="CO38" s="1">
        <v>3</v>
      </c>
      <c r="CP38" s="1">
        <v>4</v>
      </c>
      <c r="CU38" s="1">
        <v>1</v>
      </c>
    </row>
    <row r="39" spans="1:99" x14ac:dyDescent="0.35">
      <c r="A39" s="1" t="s">
        <v>2106</v>
      </c>
      <c r="B39" s="1">
        <v>181321053</v>
      </c>
      <c r="C39" s="1">
        <v>0</v>
      </c>
      <c r="D39" s="1">
        <v>1</v>
      </c>
      <c r="E39" s="1">
        <v>0</v>
      </c>
      <c r="F39" s="1">
        <v>0</v>
      </c>
      <c r="G39" s="1">
        <v>0</v>
      </c>
      <c r="H39" s="1">
        <v>1</v>
      </c>
      <c r="I39" s="1">
        <v>0</v>
      </c>
      <c r="J39" s="1">
        <v>1</v>
      </c>
      <c r="K39" s="1">
        <v>0</v>
      </c>
      <c r="L39" s="1">
        <v>0</v>
      </c>
      <c r="M39" s="1">
        <v>1</v>
      </c>
      <c r="N39" s="1">
        <v>0</v>
      </c>
      <c r="O39" s="1">
        <v>0</v>
      </c>
      <c r="P39" s="1">
        <v>70</v>
      </c>
      <c r="Q39" s="1">
        <v>30</v>
      </c>
      <c r="R39" s="1">
        <v>10</v>
      </c>
      <c r="S39" s="1">
        <v>1</v>
      </c>
      <c r="T39" s="1">
        <v>1</v>
      </c>
      <c r="U39" s="1">
        <v>4</v>
      </c>
      <c r="V39" s="1">
        <v>3</v>
      </c>
      <c r="W39" s="1">
        <v>3</v>
      </c>
      <c r="X39" s="1">
        <v>3</v>
      </c>
      <c r="Y39" s="1">
        <v>3</v>
      </c>
      <c r="Z39" s="1">
        <v>4</v>
      </c>
      <c r="AA39" s="1">
        <v>4</v>
      </c>
      <c r="AC39" s="1">
        <v>1</v>
      </c>
      <c r="AD39" s="1">
        <v>3</v>
      </c>
      <c r="AF39" s="3">
        <v>4300000</v>
      </c>
      <c r="AG39" s="1">
        <v>13</v>
      </c>
      <c r="AT39" s="1" t="s">
        <v>1414</v>
      </c>
      <c r="BP39" s="1">
        <v>3</v>
      </c>
      <c r="BQ39" s="1" t="s">
        <v>2085</v>
      </c>
      <c r="BR39" s="1" t="s">
        <v>2086</v>
      </c>
      <c r="BS39" s="1" t="s">
        <v>2087</v>
      </c>
      <c r="BT39" s="1" t="s">
        <v>79</v>
      </c>
      <c r="BU39" s="1">
        <v>1</v>
      </c>
      <c r="BV39" s="1">
        <v>2</v>
      </c>
      <c r="BW39" s="1">
        <v>0</v>
      </c>
      <c r="BX39" s="1">
        <v>0</v>
      </c>
      <c r="BY39" s="1">
        <v>0</v>
      </c>
      <c r="BZ39" s="1">
        <v>0</v>
      </c>
      <c r="CA39" s="1">
        <v>0</v>
      </c>
      <c r="CB39" s="1">
        <v>0</v>
      </c>
      <c r="CC39" s="1">
        <v>0</v>
      </c>
      <c r="CD39" s="1">
        <v>0</v>
      </c>
      <c r="CE39" s="1">
        <v>0</v>
      </c>
      <c r="CF39" s="1">
        <v>0</v>
      </c>
      <c r="CG39" s="1">
        <v>0</v>
      </c>
      <c r="CH39" s="1">
        <v>0</v>
      </c>
      <c r="CI39" s="1" t="s">
        <v>2107</v>
      </c>
      <c r="CJ39" s="1">
        <v>4</v>
      </c>
      <c r="CK39" s="1">
        <v>3</v>
      </c>
      <c r="CL39" s="1">
        <v>2</v>
      </c>
      <c r="CM39" s="1">
        <v>4</v>
      </c>
      <c r="CN39" s="1">
        <v>4</v>
      </c>
      <c r="CO39" s="1">
        <v>4</v>
      </c>
      <c r="CP39" s="1">
        <v>3</v>
      </c>
      <c r="CU39" s="1">
        <v>1</v>
      </c>
    </row>
    <row r="40" spans="1:99" x14ac:dyDescent="0.35">
      <c r="A40" s="1" t="s">
        <v>2108</v>
      </c>
      <c r="B40" s="1">
        <v>181321054</v>
      </c>
      <c r="C40" s="1">
        <v>0</v>
      </c>
      <c r="D40" s="1">
        <v>1</v>
      </c>
      <c r="E40" s="1">
        <v>0</v>
      </c>
      <c r="F40" s="1">
        <v>0</v>
      </c>
      <c r="G40" s="1">
        <v>0</v>
      </c>
      <c r="H40" s="1">
        <v>0</v>
      </c>
      <c r="I40" s="1">
        <v>0</v>
      </c>
      <c r="J40" s="1">
        <v>0</v>
      </c>
      <c r="K40" s="1">
        <v>0</v>
      </c>
      <c r="L40" s="1">
        <v>0</v>
      </c>
      <c r="M40" s="1">
        <v>0</v>
      </c>
      <c r="N40" s="1">
        <v>0</v>
      </c>
      <c r="O40" s="1">
        <v>0</v>
      </c>
      <c r="P40" s="1">
        <v>50</v>
      </c>
      <c r="Q40" s="1">
        <v>10</v>
      </c>
      <c r="R40" s="1">
        <v>5</v>
      </c>
      <c r="S40" s="1">
        <v>1</v>
      </c>
      <c r="T40" s="1">
        <v>1</v>
      </c>
      <c r="U40" s="1">
        <v>3</v>
      </c>
      <c r="V40" s="1">
        <v>3</v>
      </c>
      <c r="W40" s="1">
        <v>2</v>
      </c>
      <c r="X40" s="1">
        <v>3</v>
      </c>
      <c r="Y40" s="1">
        <v>3</v>
      </c>
      <c r="Z40" s="1">
        <v>3</v>
      </c>
      <c r="AA40" s="1">
        <v>3</v>
      </c>
      <c r="AC40" s="1">
        <v>1</v>
      </c>
      <c r="AD40" s="1">
        <v>3</v>
      </c>
      <c r="AF40" s="3">
        <v>5000000</v>
      </c>
      <c r="AG40" s="1">
        <v>13</v>
      </c>
      <c r="AT40" s="1" t="s">
        <v>812</v>
      </c>
      <c r="BP40" s="1">
        <v>3</v>
      </c>
      <c r="BQ40" s="1" t="s">
        <v>2109</v>
      </c>
      <c r="BR40" s="1" t="s">
        <v>2110</v>
      </c>
      <c r="BT40" s="1" t="s">
        <v>79</v>
      </c>
      <c r="BU40" s="1">
        <v>4</v>
      </c>
      <c r="BV40" s="1">
        <v>2</v>
      </c>
      <c r="BW40" s="1">
        <v>0</v>
      </c>
      <c r="BX40" s="1">
        <v>0</v>
      </c>
      <c r="BY40" s="1">
        <v>0</v>
      </c>
      <c r="BZ40" s="1">
        <v>0</v>
      </c>
      <c r="CA40" s="1">
        <v>0</v>
      </c>
      <c r="CB40" s="1">
        <v>0</v>
      </c>
      <c r="CC40" s="1">
        <v>1</v>
      </c>
      <c r="CD40" s="1">
        <v>0</v>
      </c>
      <c r="CE40" s="1">
        <v>0</v>
      </c>
      <c r="CF40" s="1">
        <v>0</v>
      </c>
      <c r="CG40" s="1">
        <v>0</v>
      </c>
      <c r="CH40" s="1">
        <v>0</v>
      </c>
      <c r="CI40" s="1">
        <v>0</v>
      </c>
      <c r="CJ40" s="1">
        <v>4</v>
      </c>
      <c r="CK40" s="1">
        <v>4</v>
      </c>
      <c r="CL40" s="1">
        <v>2</v>
      </c>
      <c r="CM40" s="1">
        <v>4</v>
      </c>
      <c r="CN40" s="1">
        <v>4</v>
      </c>
      <c r="CO40" s="1">
        <v>4</v>
      </c>
      <c r="CP40" s="1">
        <v>4</v>
      </c>
      <c r="CU40" s="1">
        <v>4</v>
      </c>
    </row>
    <row r="41" spans="1:99" x14ac:dyDescent="0.35">
      <c r="A41" s="1" t="s">
        <v>2111</v>
      </c>
      <c r="B41" s="1">
        <v>181321055</v>
      </c>
      <c r="C41" s="1">
        <v>1</v>
      </c>
      <c r="D41" s="1">
        <v>1</v>
      </c>
      <c r="E41" s="1">
        <v>0</v>
      </c>
      <c r="F41" s="1">
        <v>0</v>
      </c>
      <c r="G41" s="1">
        <v>0</v>
      </c>
      <c r="H41" s="1">
        <v>1</v>
      </c>
      <c r="I41" s="1">
        <v>1</v>
      </c>
      <c r="J41" s="1">
        <v>1</v>
      </c>
      <c r="K41" s="1">
        <v>0</v>
      </c>
      <c r="L41" s="1">
        <v>0</v>
      </c>
      <c r="M41" s="1">
        <v>0</v>
      </c>
      <c r="N41" s="1">
        <v>0</v>
      </c>
      <c r="O41" s="1">
        <v>0</v>
      </c>
      <c r="P41" s="1">
        <v>65</v>
      </c>
      <c r="Q41" s="1">
        <v>30</v>
      </c>
      <c r="R41" s="1">
        <v>20</v>
      </c>
      <c r="S41" s="1">
        <v>1</v>
      </c>
      <c r="T41" s="1">
        <v>1</v>
      </c>
      <c r="U41" s="1">
        <v>3</v>
      </c>
      <c r="V41" s="1">
        <v>3</v>
      </c>
      <c r="W41" s="1">
        <v>3</v>
      </c>
      <c r="X41" s="1">
        <v>3</v>
      </c>
      <c r="Y41" s="1">
        <v>3</v>
      </c>
      <c r="Z41" s="1">
        <v>3</v>
      </c>
      <c r="AA41" s="1">
        <v>3</v>
      </c>
      <c r="AC41" s="1">
        <v>2</v>
      </c>
      <c r="AE41" s="1">
        <v>4</v>
      </c>
      <c r="AF41" s="3">
        <v>5000000</v>
      </c>
      <c r="AG41" s="1">
        <v>12</v>
      </c>
      <c r="AS41" s="1" t="s">
        <v>69</v>
      </c>
      <c r="BP41" s="1">
        <v>3</v>
      </c>
      <c r="BQ41" s="1" t="s">
        <v>2112</v>
      </c>
      <c r="BR41" s="1" t="s">
        <v>2113</v>
      </c>
      <c r="BS41" s="1" t="s">
        <v>2114</v>
      </c>
      <c r="BT41" s="1" t="s">
        <v>79</v>
      </c>
      <c r="BU41" s="1">
        <v>3</v>
      </c>
      <c r="BV41" s="1">
        <v>1</v>
      </c>
      <c r="BW41" s="1">
        <v>1</v>
      </c>
      <c r="BX41" s="1">
        <v>0</v>
      </c>
      <c r="BY41" s="1">
        <v>0</v>
      </c>
      <c r="BZ41" s="1">
        <v>0</v>
      </c>
      <c r="CA41" s="1">
        <v>0</v>
      </c>
      <c r="CB41" s="1">
        <v>0</v>
      </c>
      <c r="CC41" s="1">
        <v>0</v>
      </c>
      <c r="CD41" s="1">
        <v>0</v>
      </c>
      <c r="CE41" s="1">
        <v>0</v>
      </c>
      <c r="CF41" s="1">
        <v>0</v>
      </c>
      <c r="CG41" s="1">
        <v>0</v>
      </c>
      <c r="CH41" s="1">
        <v>0</v>
      </c>
      <c r="CI41" s="1">
        <v>0</v>
      </c>
      <c r="CJ41" s="1">
        <v>3</v>
      </c>
      <c r="CK41" s="1">
        <v>3</v>
      </c>
      <c r="CL41" s="1">
        <v>3</v>
      </c>
      <c r="CM41" s="1">
        <v>3</v>
      </c>
      <c r="CN41" s="1">
        <v>3</v>
      </c>
      <c r="CO41" s="1">
        <v>3</v>
      </c>
      <c r="CP41" s="1">
        <v>3</v>
      </c>
      <c r="CU41" s="1">
        <v>4</v>
      </c>
    </row>
    <row r="42" spans="1:99" x14ac:dyDescent="0.35">
      <c r="A42" s="1" t="s">
        <v>2115</v>
      </c>
      <c r="B42" s="1">
        <v>181321056</v>
      </c>
      <c r="C42" s="1">
        <v>1</v>
      </c>
      <c r="D42" s="1">
        <v>1</v>
      </c>
      <c r="E42" s="1">
        <v>0</v>
      </c>
      <c r="F42" s="1">
        <v>0</v>
      </c>
      <c r="G42" s="1">
        <v>0</v>
      </c>
      <c r="H42" s="1">
        <v>0</v>
      </c>
      <c r="I42" s="1">
        <v>0</v>
      </c>
      <c r="J42" s="1">
        <v>0</v>
      </c>
      <c r="K42" s="1">
        <v>0</v>
      </c>
      <c r="L42" s="1">
        <v>0</v>
      </c>
      <c r="M42" s="1">
        <v>0</v>
      </c>
      <c r="N42" s="1">
        <v>0</v>
      </c>
      <c r="O42" s="1">
        <v>0</v>
      </c>
      <c r="P42" s="1">
        <v>9</v>
      </c>
      <c r="Q42" s="1">
        <v>3</v>
      </c>
      <c r="R42" s="1">
        <v>3</v>
      </c>
      <c r="S42" s="1">
        <v>1</v>
      </c>
      <c r="T42" s="1">
        <v>1</v>
      </c>
      <c r="U42" s="1">
        <v>3</v>
      </c>
      <c r="V42" s="1">
        <v>3</v>
      </c>
      <c r="W42" s="1">
        <v>2</v>
      </c>
      <c r="X42" s="1">
        <v>3</v>
      </c>
      <c r="Y42" s="1">
        <v>3</v>
      </c>
      <c r="Z42" s="1">
        <v>4</v>
      </c>
      <c r="AA42" s="1">
        <v>4</v>
      </c>
      <c r="AC42" s="1">
        <v>1</v>
      </c>
      <c r="AD42" s="1">
        <v>5</v>
      </c>
      <c r="AF42" s="3">
        <v>6000000</v>
      </c>
      <c r="AG42" s="1">
        <v>13</v>
      </c>
      <c r="AT42" s="1" t="s">
        <v>402</v>
      </c>
      <c r="BP42" s="1">
        <v>3</v>
      </c>
      <c r="BQ42" s="1" t="s">
        <v>876</v>
      </c>
      <c r="BR42" s="1" t="s">
        <v>2116</v>
      </c>
      <c r="BS42" s="1" t="s">
        <v>2117</v>
      </c>
      <c r="BT42" s="1" t="s">
        <v>79</v>
      </c>
      <c r="BU42" s="1">
        <v>4</v>
      </c>
      <c r="BV42" s="1">
        <v>2</v>
      </c>
      <c r="BW42" s="1">
        <v>0</v>
      </c>
      <c r="BX42" s="1">
        <v>1</v>
      </c>
      <c r="BY42" s="1">
        <v>0</v>
      </c>
      <c r="BZ42" s="1">
        <v>0</v>
      </c>
      <c r="CA42" s="1">
        <v>0</v>
      </c>
      <c r="CB42" s="1">
        <v>0</v>
      </c>
      <c r="CC42" s="1">
        <v>0</v>
      </c>
      <c r="CD42" s="1">
        <v>0</v>
      </c>
      <c r="CE42" s="1">
        <v>0</v>
      </c>
      <c r="CF42" s="1">
        <v>0</v>
      </c>
      <c r="CG42" s="1">
        <v>0</v>
      </c>
      <c r="CH42" s="1">
        <v>0</v>
      </c>
      <c r="CI42" s="1">
        <v>0</v>
      </c>
      <c r="CJ42" s="1">
        <v>4</v>
      </c>
      <c r="CK42" s="1">
        <v>2</v>
      </c>
      <c r="CL42" s="1">
        <v>2</v>
      </c>
      <c r="CM42" s="1">
        <v>2</v>
      </c>
      <c r="CN42" s="1">
        <v>4</v>
      </c>
      <c r="CO42" s="1">
        <v>4</v>
      </c>
      <c r="CP42" s="1">
        <v>4</v>
      </c>
      <c r="CU42" s="1">
        <v>1</v>
      </c>
    </row>
    <row r="43" spans="1:99" x14ac:dyDescent="0.35">
      <c r="A43" s="1" t="s">
        <v>2118</v>
      </c>
      <c r="B43" s="1">
        <v>181321057</v>
      </c>
      <c r="C43" s="1">
        <v>0</v>
      </c>
      <c r="D43" s="1">
        <v>1</v>
      </c>
      <c r="E43" s="1">
        <v>0</v>
      </c>
      <c r="F43" s="1">
        <v>0</v>
      </c>
      <c r="G43" s="1">
        <v>0</v>
      </c>
      <c r="H43" s="1">
        <v>1</v>
      </c>
      <c r="I43" s="1">
        <v>0</v>
      </c>
      <c r="J43" s="1">
        <v>0</v>
      </c>
      <c r="K43" s="1">
        <v>0</v>
      </c>
      <c r="L43" s="1">
        <v>0</v>
      </c>
      <c r="M43" s="1">
        <v>1</v>
      </c>
      <c r="N43" s="1">
        <v>0</v>
      </c>
      <c r="O43" s="1">
        <v>0</v>
      </c>
      <c r="P43" s="1">
        <v>15</v>
      </c>
      <c r="Q43" s="1">
        <v>5</v>
      </c>
      <c r="R43" s="1">
        <v>4</v>
      </c>
      <c r="S43" s="1">
        <v>3</v>
      </c>
      <c r="T43" s="1">
        <v>3</v>
      </c>
      <c r="U43" s="1">
        <v>3</v>
      </c>
      <c r="V43" s="1">
        <v>3</v>
      </c>
      <c r="W43" s="1">
        <v>2</v>
      </c>
      <c r="X43" s="1">
        <v>2</v>
      </c>
      <c r="Y43" s="1">
        <v>3</v>
      </c>
      <c r="Z43" s="1">
        <v>4</v>
      </c>
      <c r="AA43" s="1">
        <v>4</v>
      </c>
      <c r="AB43" s="1">
        <v>3</v>
      </c>
      <c r="AC43" s="1">
        <v>1</v>
      </c>
      <c r="AD43" s="1">
        <v>3</v>
      </c>
      <c r="AF43" s="3">
        <v>4400000</v>
      </c>
      <c r="AG43" s="1">
        <v>11</v>
      </c>
      <c r="AR43" s="1" t="s">
        <v>130</v>
      </c>
      <c r="BP43" s="1">
        <v>3</v>
      </c>
      <c r="BQ43" s="1" t="s">
        <v>2119</v>
      </c>
      <c r="BR43" s="1" t="s">
        <v>2120</v>
      </c>
      <c r="BS43" s="1" t="s">
        <v>2121</v>
      </c>
      <c r="BT43" s="1" t="s">
        <v>107</v>
      </c>
      <c r="BU43" s="1">
        <v>2</v>
      </c>
      <c r="BV43" s="1">
        <v>2</v>
      </c>
      <c r="BW43" s="1">
        <v>1</v>
      </c>
      <c r="BX43" s="1">
        <v>0</v>
      </c>
      <c r="BY43" s="1">
        <v>0</v>
      </c>
      <c r="BZ43" s="1">
        <v>0</v>
      </c>
      <c r="CA43" s="1">
        <v>0</v>
      </c>
      <c r="CB43" s="1">
        <v>0</v>
      </c>
      <c r="CC43" s="1">
        <v>0</v>
      </c>
      <c r="CD43" s="1">
        <v>0</v>
      </c>
      <c r="CE43" s="1">
        <v>0</v>
      </c>
      <c r="CF43" s="1">
        <v>0</v>
      </c>
      <c r="CG43" s="1">
        <v>0</v>
      </c>
      <c r="CH43" s="1">
        <v>0</v>
      </c>
      <c r="CI43" s="1">
        <v>0</v>
      </c>
      <c r="CJ43" s="1">
        <v>4</v>
      </c>
      <c r="CK43" s="1">
        <v>3</v>
      </c>
      <c r="CL43" s="1">
        <v>2</v>
      </c>
      <c r="CM43" s="1">
        <v>2</v>
      </c>
      <c r="CN43" s="1">
        <v>3</v>
      </c>
      <c r="CO43" s="1">
        <v>3</v>
      </c>
      <c r="CP43" s="1">
        <v>3</v>
      </c>
      <c r="CU43" s="1">
        <v>1</v>
      </c>
    </row>
    <row r="44" spans="1:99" x14ac:dyDescent="0.35">
      <c r="A44" s="1" t="s">
        <v>2122</v>
      </c>
      <c r="B44" s="1">
        <v>181321058</v>
      </c>
      <c r="S44" s="1">
        <v>5</v>
      </c>
      <c r="T44" s="1">
        <v>1</v>
      </c>
      <c r="U44" s="1">
        <v>4</v>
      </c>
      <c r="V44" s="1">
        <v>2</v>
      </c>
      <c r="W44" s="1">
        <v>3</v>
      </c>
      <c r="X44" s="1">
        <v>4</v>
      </c>
      <c r="Y44" s="1">
        <v>4</v>
      </c>
      <c r="Z44" s="1">
        <v>4</v>
      </c>
      <c r="AA44" s="1">
        <v>4</v>
      </c>
      <c r="CU44" s="1">
        <v>2</v>
      </c>
    </row>
    <row r="45" spans="1:99" x14ac:dyDescent="0.35">
      <c r="A45" s="1" t="s">
        <v>2123</v>
      </c>
      <c r="B45" s="1">
        <v>181321059</v>
      </c>
      <c r="C45" s="1">
        <v>0</v>
      </c>
      <c r="D45" s="1">
        <v>1</v>
      </c>
      <c r="E45" s="1">
        <v>0</v>
      </c>
      <c r="F45" s="1">
        <v>0</v>
      </c>
      <c r="G45" s="1">
        <v>0</v>
      </c>
      <c r="H45" s="1">
        <v>0</v>
      </c>
      <c r="I45" s="1">
        <v>0</v>
      </c>
      <c r="J45" s="1">
        <v>1</v>
      </c>
      <c r="K45" s="1">
        <v>1</v>
      </c>
      <c r="L45" s="1">
        <v>0</v>
      </c>
      <c r="M45" s="1">
        <v>0</v>
      </c>
      <c r="N45" s="1">
        <v>0</v>
      </c>
      <c r="O45" s="1">
        <v>0</v>
      </c>
      <c r="P45" s="1">
        <v>10</v>
      </c>
      <c r="Q45" s="1">
        <v>5</v>
      </c>
      <c r="R45" s="1">
        <v>3</v>
      </c>
      <c r="S45" s="1">
        <v>4</v>
      </c>
      <c r="T45" s="1">
        <v>1</v>
      </c>
      <c r="U45" s="1">
        <v>4</v>
      </c>
      <c r="V45" s="1">
        <v>3</v>
      </c>
      <c r="W45" s="1">
        <v>2</v>
      </c>
      <c r="X45" s="1">
        <v>3</v>
      </c>
      <c r="Y45" s="1">
        <v>4</v>
      </c>
      <c r="Z45" s="1">
        <v>4</v>
      </c>
      <c r="AA45" s="1">
        <v>3</v>
      </c>
      <c r="CQ45" s="1">
        <v>1</v>
      </c>
      <c r="CR45" s="1" t="s">
        <v>2124</v>
      </c>
      <c r="CS45" s="1" t="s">
        <v>2125</v>
      </c>
      <c r="CT45" s="5">
        <v>44802</v>
      </c>
      <c r="CU45" s="1">
        <v>2</v>
      </c>
    </row>
    <row r="46" spans="1:99" x14ac:dyDescent="0.35">
      <c r="A46" s="1" t="s">
        <v>2126</v>
      </c>
      <c r="B46" s="1">
        <v>181321060</v>
      </c>
      <c r="C46" s="1">
        <v>0</v>
      </c>
      <c r="D46" s="1">
        <v>1</v>
      </c>
      <c r="E46" s="1">
        <v>0</v>
      </c>
      <c r="F46" s="1">
        <v>0</v>
      </c>
      <c r="G46" s="1">
        <v>0</v>
      </c>
      <c r="H46" s="1">
        <v>1</v>
      </c>
      <c r="I46" s="1">
        <v>0</v>
      </c>
      <c r="J46" s="1">
        <v>0</v>
      </c>
      <c r="K46" s="1">
        <v>1</v>
      </c>
      <c r="L46" s="1">
        <v>0</v>
      </c>
      <c r="M46" s="1">
        <v>0</v>
      </c>
      <c r="N46" s="1">
        <v>0</v>
      </c>
      <c r="O46" s="1">
        <v>0</v>
      </c>
      <c r="P46" s="1">
        <v>10</v>
      </c>
      <c r="Q46" s="1">
        <v>7</v>
      </c>
      <c r="R46" s="1">
        <v>5</v>
      </c>
      <c r="S46" s="1">
        <v>1</v>
      </c>
      <c r="T46" s="1">
        <v>1</v>
      </c>
      <c r="U46" s="1">
        <v>4</v>
      </c>
      <c r="V46" s="1">
        <v>3</v>
      </c>
      <c r="W46" s="1">
        <v>3</v>
      </c>
      <c r="X46" s="1">
        <v>3</v>
      </c>
      <c r="Y46" s="1">
        <v>3</v>
      </c>
      <c r="Z46" s="1">
        <v>3</v>
      </c>
      <c r="AA46" s="1">
        <v>3</v>
      </c>
      <c r="AC46" s="1">
        <v>1</v>
      </c>
      <c r="AD46" s="1">
        <v>1</v>
      </c>
      <c r="AF46" s="3">
        <v>3800000</v>
      </c>
      <c r="AG46" s="1">
        <v>13</v>
      </c>
      <c r="AT46" s="1" t="s">
        <v>1272</v>
      </c>
      <c r="BP46" s="1">
        <v>3</v>
      </c>
      <c r="BQ46" s="1" t="s">
        <v>2080</v>
      </c>
      <c r="BR46" s="1" t="s">
        <v>2127</v>
      </c>
      <c r="BS46" s="1" t="s">
        <v>1999</v>
      </c>
      <c r="BT46" s="1" t="s">
        <v>79</v>
      </c>
      <c r="BU46" s="1">
        <v>3</v>
      </c>
      <c r="BV46" s="1">
        <v>2</v>
      </c>
      <c r="BW46" s="1">
        <v>0</v>
      </c>
      <c r="BX46" s="1">
        <v>1</v>
      </c>
      <c r="BY46" s="1">
        <v>0</v>
      </c>
      <c r="BZ46" s="1">
        <v>0</v>
      </c>
      <c r="CA46" s="1">
        <v>0</v>
      </c>
      <c r="CB46" s="1">
        <v>0</v>
      </c>
      <c r="CC46" s="1">
        <v>0</v>
      </c>
      <c r="CD46" s="1">
        <v>0</v>
      </c>
      <c r="CE46" s="1">
        <v>0</v>
      </c>
      <c r="CF46" s="1">
        <v>0</v>
      </c>
      <c r="CG46" s="1">
        <v>0</v>
      </c>
      <c r="CH46" s="1">
        <v>0</v>
      </c>
      <c r="CI46" s="1">
        <v>0</v>
      </c>
      <c r="CJ46" s="1">
        <v>4</v>
      </c>
      <c r="CK46" s="1">
        <v>3</v>
      </c>
      <c r="CL46" s="1">
        <v>3</v>
      </c>
      <c r="CM46" s="1">
        <v>4</v>
      </c>
      <c r="CN46" s="1">
        <v>4</v>
      </c>
      <c r="CO46" s="1">
        <v>4</v>
      </c>
      <c r="CP46" s="1">
        <v>4</v>
      </c>
      <c r="CU46" s="1">
        <v>1</v>
      </c>
    </row>
    <row r="47" spans="1:99" x14ac:dyDescent="0.35">
      <c r="A47" s="1" t="s">
        <v>2128</v>
      </c>
      <c r="B47" s="1">
        <v>181321061</v>
      </c>
      <c r="C47" s="1">
        <v>0</v>
      </c>
      <c r="D47" s="1">
        <v>1</v>
      </c>
      <c r="E47" s="1">
        <v>0</v>
      </c>
      <c r="F47" s="1">
        <v>0</v>
      </c>
      <c r="G47" s="1">
        <v>0</v>
      </c>
      <c r="H47" s="1">
        <v>1</v>
      </c>
      <c r="I47" s="1">
        <v>0</v>
      </c>
      <c r="J47" s="1">
        <v>0</v>
      </c>
      <c r="K47" s="1">
        <v>1</v>
      </c>
      <c r="L47" s="1">
        <v>0</v>
      </c>
      <c r="M47" s="1">
        <v>0</v>
      </c>
      <c r="N47" s="1">
        <v>0</v>
      </c>
      <c r="O47" s="1">
        <v>0</v>
      </c>
      <c r="P47" s="1">
        <v>115</v>
      </c>
      <c r="Q47" s="1">
        <v>35</v>
      </c>
      <c r="R47" s="1">
        <v>12</v>
      </c>
      <c r="S47" s="1">
        <v>1</v>
      </c>
      <c r="T47" s="1">
        <v>3</v>
      </c>
      <c r="U47" s="1">
        <v>4</v>
      </c>
      <c r="V47" s="1">
        <v>3</v>
      </c>
      <c r="W47" s="1">
        <v>3</v>
      </c>
      <c r="X47" s="1">
        <v>3</v>
      </c>
      <c r="Y47" s="1">
        <v>3</v>
      </c>
      <c r="Z47" s="1">
        <v>3</v>
      </c>
      <c r="AA47" s="1">
        <v>3</v>
      </c>
      <c r="AC47" s="1">
        <v>2</v>
      </c>
      <c r="AE47" s="1">
        <v>11</v>
      </c>
      <c r="AF47" s="3">
        <v>4500000</v>
      </c>
      <c r="AG47" s="1">
        <v>11</v>
      </c>
      <c r="AR47" s="1" t="s">
        <v>130</v>
      </c>
      <c r="BP47" s="1">
        <v>3</v>
      </c>
      <c r="BQ47" s="1" t="s">
        <v>2129</v>
      </c>
      <c r="BR47" s="1" t="s">
        <v>2130</v>
      </c>
      <c r="BS47" s="1" t="s">
        <v>2131</v>
      </c>
      <c r="BT47" s="1" t="s">
        <v>79</v>
      </c>
      <c r="BU47" s="1">
        <v>1</v>
      </c>
      <c r="BV47" s="1">
        <v>2</v>
      </c>
      <c r="BW47" s="1">
        <v>1</v>
      </c>
      <c r="BX47" s="1">
        <v>0</v>
      </c>
      <c r="BY47" s="1">
        <v>0</v>
      </c>
      <c r="BZ47" s="1">
        <v>0</v>
      </c>
      <c r="CA47" s="1">
        <v>0</v>
      </c>
      <c r="CB47" s="1">
        <v>0</v>
      </c>
      <c r="CC47" s="1">
        <v>0</v>
      </c>
      <c r="CD47" s="1">
        <v>0</v>
      </c>
      <c r="CE47" s="1">
        <v>0</v>
      </c>
      <c r="CF47" s="1">
        <v>0</v>
      </c>
      <c r="CG47" s="1">
        <v>0</v>
      </c>
      <c r="CH47" s="1">
        <v>0</v>
      </c>
      <c r="CI47" s="1">
        <v>0</v>
      </c>
      <c r="CJ47" s="1">
        <v>4</v>
      </c>
      <c r="CK47" s="1">
        <v>4</v>
      </c>
      <c r="CL47" s="1">
        <v>3</v>
      </c>
      <c r="CM47" s="1">
        <v>4</v>
      </c>
      <c r="CN47" s="1">
        <v>4</v>
      </c>
      <c r="CO47" s="1">
        <v>4</v>
      </c>
      <c r="CP47" s="1">
        <v>4</v>
      </c>
      <c r="CU47" s="1">
        <v>3</v>
      </c>
    </row>
    <row r="48" spans="1:99" x14ac:dyDescent="0.35">
      <c r="A48" s="1" t="s">
        <v>2132</v>
      </c>
      <c r="B48" s="1">
        <v>181321062</v>
      </c>
      <c r="C48" s="1">
        <v>0</v>
      </c>
      <c r="D48" s="1">
        <v>0</v>
      </c>
      <c r="E48" s="1">
        <v>0</v>
      </c>
      <c r="F48" s="1">
        <v>0</v>
      </c>
      <c r="G48" s="1">
        <v>0</v>
      </c>
      <c r="H48" s="1">
        <v>0</v>
      </c>
      <c r="I48" s="1">
        <v>0</v>
      </c>
      <c r="J48" s="1">
        <v>1</v>
      </c>
      <c r="K48" s="1">
        <v>1</v>
      </c>
      <c r="L48" s="1">
        <v>0</v>
      </c>
      <c r="M48" s="1">
        <v>0</v>
      </c>
      <c r="N48" s="1">
        <v>0</v>
      </c>
      <c r="O48" s="1">
        <v>0</v>
      </c>
      <c r="P48" s="1">
        <v>4</v>
      </c>
      <c r="Q48" s="1">
        <v>4</v>
      </c>
      <c r="R48" s="1">
        <v>4</v>
      </c>
      <c r="S48" s="1">
        <v>1</v>
      </c>
      <c r="T48" s="1">
        <v>1</v>
      </c>
      <c r="U48" s="1">
        <v>4</v>
      </c>
      <c r="V48" s="1">
        <v>3</v>
      </c>
      <c r="W48" s="1">
        <v>4</v>
      </c>
      <c r="X48" s="1">
        <v>4</v>
      </c>
      <c r="Y48" s="1">
        <v>4</v>
      </c>
      <c r="Z48" s="1">
        <v>4</v>
      </c>
      <c r="AA48" s="1">
        <v>3</v>
      </c>
      <c r="AC48" s="1">
        <v>1</v>
      </c>
      <c r="AD48" s="1">
        <v>3</v>
      </c>
      <c r="AF48" s="3">
        <v>4300000</v>
      </c>
      <c r="AG48" s="1">
        <v>13</v>
      </c>
      <c r="AT48" s="1" t="s">
        <v>86</v>
      </c>
      <c r="BP48" s="1">
        <v>3</v>
      </c>
      <c r="BQ48" s="1" t="s">
        <v>2133</v>
      </c>
      <c r="BR48" s="1" t="s">
        <v>1998</v>
      </c>
      <c r="BT48" s="1" t="s">
        <v>107</v>
      </c>
      <c r="BU48" s="1">
        <v>3</v>
      </c>
      <c r="BV48" s="1">
        <v>2</v>
      </c>
      <c r="BW48" s="1">
        <v>1</v>
      </c>
      <c r="BX48" s="1">
        <v>0</v>
      </c>
      <c r="BY48" s="1">
        <v>0</v>
      </c>
      <c r="BZ48" s="1">
        <v>0</v>
      </c>
      <c r="CA48" s="1">
        <v>0</v>
      </c>
      <c r="CB48" s="1">
        <v>0</v>
      </c>
      <c r="CC48" s="1">
        <v>0</v>
      </c>
      <c r="CD48" s="1">
        <v>0</v>
      </c>
      <c r="CE48" s="1">
        <v>0</v>
      </c>
      <c r="CF48" s="1">
        <v>0</v>
      </c>
      <c r="CG48" s="1">
        <v>0</v>
      </c>
      <c r="CH48" s="1">
        <v>0</v>
      </c>
      <c r="CI48" s="1">
        <v>0</v>
      </c>
      <c r="CJ48" s="1">
        <v>4</v>
      </c>
      <c r="CK48" s="1">
        <v>4</v>
      </c>
      <c r="CL48" s="1">
        <v>3</v>
      </c>
      <c r="CM48" s="1">
        <v>4</v>
      </c>
      <c r="CN48" s="1">
        <v>4</v>
      </c>
      <c r="CO48" s="1">
        <v>4</v>
      </c>
      <c r="CP48" s="1">
        <v>4</v>
      </c>
      <c r="CU48" s="1">
        <v>1</v>
      </c>
    </row>
    <row r="49" spans="1:99" x14ac:dyDescent="0.35">
      <c r="A49" s="1" t="s">
        <v>2134</v>
      </c>
      <c r="B49" s="1">
        <v>181321063</v>
      </c>
      <c r="C49" s="1">
        <v>0</v>
      </c>
      <c r="D49" s="1">
        <v>1</v>
      </c>
      <c r="E49" s="1">
        <v>0</v>
      </c>
      <c r="F49" s="1">
        <v>0</v>
      </c>
      <c r="G49" s="1">
        <v>0</v>
      </c>
      <c r="H49" s="1">
        <v>1</v>
      </c>
      <c r="I49" s="1">
        <v>0</v>
      </c>
      <c r="J49" s="1">
        <v>1</v>
      </c>
      <c r="K49" s="1">
        <v>0</v>
      </c>
      <c r="L49" s="1">
        <v>0</v>
      </c>
      <c r="M49" s="1">
        <v>0</v>
      </c>
      <c r="N49" s="1">
        <v>0</v>
      </c>
      <c r="O49" s="1">
        <v>0</v>
      </c>
      <c r="P49" s="1">
        <v>2</v>
      </c>
      <c r="Q49" s="1">
        <v>10</v>
      </c>
      <c r="R49" s="1">
        <v>10</v>
      </c>
      <c r="S49" s="1">
        <v>5</v>
      </c>
      <c r="T49" s="1">
        <v>1</v>
      </c>
      <c r="U49" s="1">
        <v>3</v>
      </c>
      <c r="V49" s="1">
        <v>3</v>
      </c>
      <c r="W49" s="1">
        <v>3</v>
      </c>
      <c r="X49" s="1">
        <v>3</v>
      </c>
      <c r="Y49" s="1">
        <v>3</v>
      </c>
      <c r="Z49" s="1">
        <v>3</v>
      </c>
      <c r="AA49" s="1">
        <v>3</v>
      </c>
      <c r="CU49" s="1">
        <v>2</v>
      </c>
    </row>
    <row r="50" spans="1:99" x14ac:dyDescent="0.35">
      <c r="A50" s="1" t="s">
        <v>2135</v>
      </c>
      <c r="B50" s="1">
        <v>181321064</v>
      </c>
      <c r="C50" s="1">
        <v>0</v>
      </c>
      <c r="D50" s="1">
        <v>1</v>
      </c>
      <c r="E50" s="1">
        <v>1</v>
      </c>
      <c r="F50" s="1">
        <v>0</v>
      </c>
      <c r="G50" s="1">
        <v>0</v>
      </c>
      <c r="H50" s="1">
        <v>0</v>
      </c>
      <c r="I50" s="1">
        <v>0</v>
      </c>
      <c r="J50" s="1">
        <v>1</v>
      </c>
      <c r="K50" s="1">
        <v>1</v>
      </c>
      <c r="L50" s="1">
        <v>0</v>
      </c>
      <c r="M50" s="1">
        <v>0</v>
      </c>
      <c r="N50" s="1">
        <v>0</v>
      </c>
      <c r="O50" s="1">
        <v>0</v>
      </c>
      <c r="P50" s="1">
        <v>40</v>
      </c>
      <c r="Q50" s="1">
        <v>20</v>
      </c>
      <c r="R50" s="1">
        <v>15</v>
      </c>
      <c r="S50" s="1">
        <v>1</v>
      </c>
      <c r="T50" s="1">
        <v>1</v>
      </c>
      <c r="U50" s="1">
        <v>4</v>
      </c>
      <c r="V50" s="1">
        <v>3</v>
      </c>
      <c r="W50" s="1">
        <v>3</v>
      </c>
      <c r="X50" s="1">
        <v>4</v>
      </c>
      <c r="Y50" s="1">
        <v>4</v>
      </c>
      <c r="Z50" s="1">
        <v>4</v>
      </c>
      <c r="AA50" s="1">
        <v>4</v>
      </c>
      <c r="AC50" s="1">
        <v>1</v>
      </c>
      <c r="AD50" s="1">
        <v>2</v>
      </c>
      <c r="AF50" s="3">
        <v>6500000</v>
      </c>
      <c r="AG50" s="1">
        <v>12</v>
      </c>
      <c r="AS50" s="1" t="s">
        <v>244</v>
      </c>
      <c r="BP50" s="1">
        <v>3</v>
      </c>
      <c r="BQ50" s="1" t="s">
        <v>2136</v>
      </c>
      <c r="BR50" s="1" t="s">
        <v>2137</v>
      </c>
      <c r="BS50" s="1" t="s">
        <v>2138</v>
      </c>
      <c r="BT50" s="1" t="s">
        <v>79</v>
      </c>
      <c r="BU50" s="1">
        <v>2</v>
      </c>
      <c r="BV50" s="1">
        <v>2</v>
      </c>
      <c r="BW50" s="1">
        <v>0</v>
      </c>
      <c r="BX50" s="1">
        <v>1</v>
      </c>
      <c r="BY50" s="1">
        <v>1</v>
      </c>
      <c r="BZ50" s="1">
        <v>0</v>
      </c>
      <c r="CA50" s="1">
        <v>0</v>
      </c>
      <c r="CB50" s="1">
        <v>1</v>
      </c>
      <c r="CC50" s="1">
        <v>1</v>
      </c>
      <c r="CD50" s="1">
        <v>0</v>
      </c>
      <c r="CE50" s="1">
        <v>0</v>
      </c>
      <c r="CF50" s="1">
        <v>0</v>
      </c>
      <c r="CG50" s="1">
        <v>1</v>
      </c>
      <c r="CH50" s="1">
        <v>1</v>
      </c>
      <c r="CI50" s="1">
        <v>0</v>
      </c>
      <c r="CJ50" s="1">
        <v>3</v>
      </c>
      <c r="CK50" s="1">
        <v>3</v>
      </c>
      <c r="CL50" s="1">
        <v>2</v>
      </c>
      <c r="CM50" s="1">
        <v>3</v>
      </c>
      <c r="CN50" s="1">
        <v>3</v>
      </c>
      <c r="CO50" s="1">
        <v>3</v>
      </c>
      <c r="CP50" s="1">
        <v>3</v>
      </c>
      <c r="CU50" s="1">
        <v>2</v>
      </c>
    </row>
    <row r="51" spans="1:99" x14ac:dyDescent="0.35">
      <c r="A51" s="1" t="s">
        <v>3730</v>
      </c>
      <c r="B51" s="1">
        <v>181321007</v>
      </c>
    </row>
    <row r="52" spans="1:99" x14ac:dyDescent="0.35">
      <c r="A52" s="1" t="s">
        <v>3731</v>
      </c>
      <c r="B52" s="1">
        <v>181321008</v>
      </c>
    </row>
    <row r="53" spans="1:99" x14ac:dyDescent="0.35">
      <c r="A53" s="1" t="s">
        <v>3732</v>
      </c>
      <c r="B53" s="1">
        <v>181321010</v>
      </c>
    </row>
    <row r="54" spans="1:99" x14ac:dyDescent="0.35">
      <c r="A54" s="1" t="s">
        <v>3733</v>
      </c>
      <c r="B54" s="1">
        <v>181321012</v>
      </c>
    </row>
    <row r="55" spans="1:99" x14ac:dyDescent="0.35">
      <c r="A55" s="1" t="s">
        <v>3734</v>
      </c>
      <c r="B55" s="1">
        <v>181321013</v>
      </c>
    </row>
    <row r="56" spans="1:99" x14ac:dyDescent="0.35">
      <c r="A56" s="1" t="s">
        <v>3735</v>
      </c>
      <c r="B56" s="1">
        <v>181321016</v>
      </c>
    </row>
    <row r="57" spans="1:99" x14ac:dyDescent="0.35">
      <c r="A57" s="1" t="s">
        <v>3736</v>
      </c>
      <c r="B57" s="1">
        <v>181321018</v>
      </c>
    </row>
    <row r="58" spans="1:99" x14ac:dyDescent="0.35">
      <c r="A58" s="1" t="s">
        <v>3737</v>
      </c>
      <c r="B58" s="1">
        <v>181321021</v>
      </c>
    </row>
    <row r="59" spans="1:99" x14ac:dyDescent="0.35">
      <c r="A59" s="1" t="s">
        <v>3738</v>
      </c>
      <c r="B59" s="1">
        <v>181321022</v>
      </c>
    </row>
    <row r="60" spans="1:99" x14ac:dyDescent="0.35">
      <c r="A60" s="1" t="s">
        <v>3739</v>
      </c>
      <c r="B60" s="1">
        <v>181321023</v>
      </c>
    </row>
    <row r="61" spans="1:99" x14ac:dyDescent="0.35">
      <c r="A61" s="1" t="s">
        <v>3740</v>
      </c>
      <c r="B61" s="1">
        <v>181321024</v>
      </c>
    </row>
    <row r="62" spans="1:99" x14ac:dyDescent="0.35">
      <c r="A62" s="1" t="s">
        <v>3741</v>
      </c>
      <c r="B62" s="1">
        <v>181321027</v>
      </c>
    </row>
    <row r="63" spans="1:99" x14ac:dyDescent="0.35">
      <c r="A63" s="1" t="s">
        <v>3742</v>
      </c>
      <c r="B63" s="1">
        <v>181321030</v>
      </c>
    </row>
    <row r="64" spans="1:99" x14ac:dyDescent="0.35">
      <c r="A64" s="1" t="s">
        <v>4315</v>
      </c>
      <c r="B64" s="1">
        <v>181321039</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D5C6FF-E011-488B-8C60-9A0A34A94A11}">
  <dimension ref="A1:CU52"/>
  <sheetViews>
    <sheetView topLeftCell="T1" zoomScale="40" zoomScaleNormal="40" workbookViewId="0">
      <pane ySplit="1" topLeftCell="A8" activePane="bottomLeft" state="frozen"/>
      <selection pane="bottomLeft" activeCell="T1" sqref="T1"/>
    </sheetView>
  </sheetViews>
  <sheetFormatPr defaultColWidth="8.90625" defaultRowHeight="14.5" x14ac:dyDescent="0.35"/>
  <cols>
    <col min="1" max="1" width="41.26953125" style="1" bestFit="1" customWidth="1"/>
    <col min="2" max="2" width="11.7265625" style="1" bestFit="1" customWidth="1"/>
    <col min="3" max="9" width="76" style="1" bestFit="1" customWidth="1"/>
    <col min="10" max="10" width="76.7265625" style="1" bestFit="1" customWidth="1"/>
    <col min="11" max="11" width="76.26953125" style="1" bestFit="1" customWidth="1"/>
    <col min="12" max="14" width="76.7265625" style="1" bestFit="1" customWidth="1"/>
    <col min="15" max="15" width="80.08984375" style="1" bestFit="1" customWidth="1"/>
    <col min="16" max="16" width="129.453125" style="1" bestFit="1" customWidth="1"/>
    <col min="17" max="17" width="76" style="1" bestFit="1" customWidth="1"/>
    <col min="18" max="18" width="86.26953125" style="1" bestFit="1" customWidth="1"/>
    <col min="19" max="19" width="30.81640625" style="1" bestFit="1" customWidth="1"/>
    <col min="20" max="20" width="49" style="1" bestFit="1" customWidth="1"/>
    <col min="21" max="21" width="80.36328125" style="1" bestFit="1" customWidth="1"/>
    <col min="22" max="22" width="107.81640625" style="1" bestFit="1" customWidth="1"/>
    <col min="23" max="23" width="89.90625" style="1" bestFit="1" customWidth="1"/>
    <col min="24" max="24" width="108.08984375" style="1" bestFit="1" customWidth="1"/>
    <col min="25" max="25" width="87.1796875" style="1" bestFit="1" customWidth="1"/>
    <col min="26" max="26" width="89.90625" style="1" bestFit="1" customWidth="1"/>
    <col min="27" max="27" width="94.6328125" style="1" bestFit="1" customWidth="1"/>
    <col min="28" max="28" width="50.36328125" style="1" bestFit="1" customWidth="1"/>
    <col min="29" max="29" width="86.90625" style="1" bestFit="1" customWidth="1"/>
    <col min="30" max="30" width="51" style="1" bestFit="1" customWidth="1"/>
    <col min="31" max="31" width="59.1796875" style="1" bestFit="1" customWidth="1"/>
    <col min="32" max="32" width="142.81640625" style="1" bestFit="1" customWidth="1"/>
    <col min="33" max="33" width="47.1796875" style="1" bestFit="1" customWidth="1"/>
    <col min="34" max="35" width="54.90625" style="1" bestFit="1" customWidth="1"/>
    <col min="36" max="37" width="55.36328125" style="1" bestFit="1" customWidth="1"/>
    <col min="38" max="38" width="54.90625" style="1" bestFit="1" customWidth="1"/>
    <col min="39" max="52" width="55.36328125" style="1" bestFit="1" customWidth="1"/>
    <col min="53" max="55" width="54.90625" style="1" bestFit="1" customWidth="1"/>
    <col min="56" max="64" width="55.36328125" style="1" bestFit="1" customWidth="1"/>
    <col min="65" max="67" width="54.90625" style="1" bestFit="1" customWidth="1"/>
    <col min="68" max="68" width="69.6328125" style="1" bestFit="1" customWidth="1"/>
    <col min="69" max="69" width="51.90625" style="1" bestFit="1" customWidth="1"/>
    <col min="70" max="71" width="54.6328125" style="1" bestFit="1" customWidth="1"/>
    <col min="72" max="72" width="67.1796875" style="1" bestFit="1" customWidth="1"/>
    <col min="73" max="73" width="255.6328125" style="1" bestFit="1" customWidth="1"/>
    <col min="74" max="74" width="76.90625" style="1" bestFit="1" customWidth="1"/>
    <col min="75" max="75" width="138.08984375" style="1" bestFit="1" customWidth="1"/>
    <col min="76" max="83" width="138.54296875" style="1" bestFit="1" customWidth="1"/>
    <col min="84" max="84" width="139.453125" style="1" bestFit="1" customWidth="1"/>
    <col min="85" max="85" width="138.7265625" style="1" bestFit="1" customWidth="1"/>
    <col min="86" max="86" width="139.453125" style="1" bestFit="1" customWidth="1"/>
    <col min="87" max="87" width="142.6328125" style="1" bestFit="1" customWidth="1"/>
    <col min="88" max="88" width="90.54296875" style="1" bestFit="1" customWidth="1"/>
    <col min="89" max="89" width="118.08984375" style="1" bestFit="1" customWidth="1"/>
    <col min="90" max="90" width="100.08984375" style="1" bestFit="1" customWidth="1"/>
    <col min="91" max="91" width="118.26953125" style="1" bestFit="1" customWidth="1"/>
    <col min="92" max="92" width="97.36328125" style="1" bestFit="1" customWidth="1"/>
    <col min="93" max="93" width="100.08984375" style="1" bestFit="1" customWidth="1"/>
    <col min="94" max="94" width="104.90625" style="1" bestFit="1" customWidth="1"/>
    <col min="95" max="95" width="47.6328125" style="1" bestFit="1" customWidth="1"/>
    <col min="96" max="96" width="64.453125" style="1" bestFit="1" customWidth="1"/>
    <col min="97" max="97" width="29.6328125" style="1" bestFit="1" customWidth="1"/>
    <col min="98" max="98" width="30.54296875" style="1" bestFit="1" customWidth="1"/>
    <col min="99" max="99" width="62.1796875" style="1" bestFit="1" customWidth="1"/>
    <col min="100" max="16384" width="8.90625" style="1"/>
  </cols>
  <sheetData>
    <row r="1" spans="1:99" s="6" customFormat="1" x14ac:dyDescent="0.35">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6" t="s">
        <v>15</v>
      </c>
      <c r="Q1" s="6" t="s">
        <v>16</v>
      </c>
      <c r="R1" s="6" t="s">
        <v>17</v>
      </c>
      <c r="S1" s="6" t="s">
        <v>18</v>
      </c>
      <c r="T1" s="6" t="s">
        <v>19</v>
      </c>
      <c r="U1" s="6" t="s">
        <v>20</v>
      </c>
      <c r="V1" s="6" t="s">
        <v>21</v>
      </c>
      <c r="W1" s="6" t="s">
        <v>22</v>
      </c>
      <c r="X1" s="6" t="s">
        <v>23</v>
      </c>
      <c r="Y1" s="6" t="s">
        <v>24</v>
      </c>
      <c r="Z1" s="6" t="s">
        <v>25</v>
      </c>
      <c r="AA1" s="6" t="s">
        <v>26</v>
      </c>
      <c r="AB1" s="6" t="s">
        <v>27</v>
      </c>
      <c r="AC1" s="6" t="s">
        <v>28</v>
      </c>
      <c r="AD1" s="6" t="s">
        <v>29</v>
      </c>
      <c r="AE1" s="6" t="s">
        <v>30</v>
      </c>
      <c r="AF1" s="6" t="s">
        <v>31</v>
      </c>
      <c r="AG1" s="6" t="s">
        <v>32</v>
      </c>
      <c r="AH1" s="6" t="s">
        <v>33</v>
      </c>
      <c r="AI1" s="6" t="s">
        <v>33</v>
      </c>
      <c r="AJ1" s="6" t="s">
        <v>34</v>
      </c>
      <c r="AK1" s="6" t="s">
        <v>34</v>
      </c>
      <c r="AL1" s="6" t="s">
        <v>33</v>
      </c>
      <c r="AM1" s="6" t="s">
        <v>34</v>
      </c>
      <c r="AN1" s="6" t="s">
        <v>34</v>
      </c>
      <c r="AO1" s="6" t="s">
        <v>34</v>
      </c>
      <c r="AP1" s="6" t="s">
        <v>34</v>
      </c>
      <c r="AQ1" s="6" t="s">
        <v>34</v>
      </c>
      <c r="AR1" s="6" t="s">
        <v>34</v>
      </c>
      <c r="AS1" s="6" t="s">
        <v>34</v>
      </c>
      <c r="AT1" s="6" t="s">
        <v>34</v>
      </c>
      <c r="AU1" s="6" t="s">
        <v>34</v>
      </c>
      <c r="AV1" s="6" t="s">
        <v>34</v>
      </c>
      <c r="AW1" s="6" t="s">
        <v>34</v>
      </c>
      <c r="AX1" s="6" t="s">
        <v>34</v>
      </c>
      <c r="AY1" s="6" t="s">
        <v>34</v>
      </c>
      <c r="AZ1" s="6" t="s">
        <v>34</v>
      </c>
      <c r="BA1" s="6" t="s">
        <v>33</v>
      </c>
      <c r="BB1" s="6" t="s">
        <v>33</v>
      </c>
      <c r="BC1" s="6" t="s">
        <v>33</v>
      </c>
      <c r="BD1" s="6" t="s">
        <v>34</v>
      </c>
      <c r="BE1" s="6" t="s">
        <v>34</v>
      </c>
      <c r="BF1" s="6" t="s">
        <v>34</v>
      </c>
      <c r="BG1" s="6" t="s">
        <v>34</v>
      </c>
      <c r="BH1" s="6" t="s">
        <v>34</v>
      </c>
      <c r="BI1" s="6" t="s">
        <v>34</v>
      </c>
      <c r="BJ1" s="6" t="s">
        <v>34</v>
      </c>
      <c r="BK1" s="6" t="s">
        <v>34</v>
      </c>
      <c r="BL1" s="6" t="s">
        <v>34</v>
      </c>
      <c r="BM1" s="6" t="s">
        <v>33</v>
      </c>
      <c r="BN1" s="6" t="s">
        <v>33</v>
      </c>
      <c r="BO1" s="6" t="s">
        <v>33</v>
      </c>
      <c r="BP1" s="6" t="s">
        <v>35</v>
      </c>
      <c r="BQ1" s="6" t="s">
        <v>36</v>
      </c>
      <c r="BR1" s="6" t="s">
        <v>37</v>
      </c>
      <c r="BS1" s="6" t="s">
        <v>38</v>
      </c>
      <c r="BT1" s="6" t="s">
        <v>39</v>
      </c>
      <c r="BU1" s="6" t="s">
        <v>40</v>
      </c>
      <c r="BV1" s="6" t="s">
        <v>41</v>
      </c>
      <c r="BW1" s="6" t="s">
        <v>42</v>
      </c>
      <c r="BX1" s="6" t="s">
        <v>43</v>
      </c>
      <c r="BY1" s="6" t="s">
        <v>44</v>
      </c>
      <c r="BZ1" s="6" t="s">
        <v>45</v>
      </c>
      <c r="CA1" s="6" t="s">
        <v>46</v>
      </c>
      <c r="CB1" s="6" t="s">
        <v>47</v>
      </c>
      <c r="CC1" s="6" t="s">
        <v>48</v>
      </c>
      <c r="CD1" s="6" t="s">
        <v>49</v>
      </c>
      <c r="CE1" s="6" t="s">
        <v>50</v>
      </c>
      <c r="CF1" s="6" t="s">
        <v>51</v>
      </c>
      <c r="CG1" s="6" t="s">
        <v>52</v>
      </c>
      <c r="CH1" s="6" t="s">
        <v>53</v>
      </c>
      <c r="CI1" s="6" t="s">
        <v>54</v>
      </c>
      <c r="CJ1" s="6" t="s">
        <v>55</v>
      </c>
      <c r="CK1" s="6" t="s">
        <v>56</v>
      </c>
      <c r="CL1" s="6" t="s">
        <v>57</v>
      </c>
      <c r="CM1" s="6" t="s">
        <v>58</v>
      </c>
      <c r="CN1" s="6" t="s">
        <v>59</v>
      </c>
      <c r="CO1" s="6" t="s">
        <v>60</v>
      </c>
      <c r="CP1" s="6" t="s">
        <v>61</v>
      </c>
      <c r="CQ1" s="6" t="s">
        <v>62</v>
      </c>
      <c r="CR1" s="6" t="s">
        <v>63</v>
      </c>
      <c r="CS1" s="6" t="s">
        <v>64</v>
      </c>
      <c r="CT1" s="6" t="s">
        <v>65</v>
      </c>
      <c r="CU1" s="6" t="s">
        <v>66</v>
      </c>
    </row>
    <row r="2" spans="1:99" x14ac:dyDescent="0.35">
      <c r="A2" s="1" t="s">
        <v>2139</v>
      </c>
      <c r="B2" s="1">
        <v>181211006</v>
      </c>
      <c r="C2" s="1">
        <v>0</v>
      </c>
      <c r="D2" s="1">
        <v>1</v>
      </c>
      <c r="E2" s="1">
        <v>1</v>
      </c>
      <c r="F2" s="1">
        <v>0</v>
      </c>
      <c r="G2" s="1">
        <v>0</v>
      </c>
      <c r="H2" s="1">
        <v>1</v>
      </c>
      <c r="I2" s="1">
        <v>0</v>
      </c>
      <c r="J2" s="1">
        <v>0</v>
      </c>
      <c r="K2" s="1">
        <v>0</v>
      </c>
      <c r="L2" s="1">
        <v>0</v>
      </c>
      <c r="M2" s="1">
        <v>0</v>
      </c>
      <c r="N2" s="1">
        <v>0</v>
      </c>
      <c r="O2" s="1">
        <v>0</v>
      </c>
      <c r="P2" s="1">
        <v>4</v>
      </c>
      <c r="Q2" s="1">
        <v>4</v>
      </c>
      <c r="R2" s="1">
        <v>2</v>
      </c>
      <c r="S2" s="1">
        <v>1</v>
      </c>
      <c r="U2" s="1">
        <v>3</v>
      </c>
      <c r="V2" s="1">
        <v>2</v>
      </c>
      <c r="W2" s="1">
        <v>3</v>
      </c>
      <c r="X2" s="1">
        <v>3</v>
      </c>
      <c r="Y2" s="1">
        <v>3</v>
      </c>
      <c r="Z2" s="1">
        <v>3</v>
      </c>
      <c r="AA2" s="1">
        <v>3</v>
      </c>
      <c r="AC2" s="1">
        <v>2</v>
      </c>
      <c r="AE2" s="1">
        <v>6</v>
      </c>
      <c r="AF2" s="3">
        <v>5500000</v>
      </c>
      <c r="AG2" s="1">
        <v>13</v>
      </c>
      <c r="AT2" s="1" t="s">
        <v>75</v>
      </c>
      <c r="BP2" s="1">
        <v>3</v>
      </c>
      <c r="BQ2" s="1" t="s">
        <v>2140</v>
      </c>
      <c r="BR2" s="1" t="s">
        <v>2141</v>
      </c>
      <c r="BS2" s="1" t="s">
        <v>2142</v>
      </c>
      <c r="BT2" s="1" t="s">
        <v>79</v>
      </c>
      <c r="BU2" s="1">
        <v>2</v>
      </c>
      <c r="BV2" s="1">
        <v>2</v>
      </c>
      <c r="BW2" s="1">
        <v>1</v>
      </c>
      <c r="BX2" s="1">
        <v>0</v>
      </c>
      <c r="BY2" s="1">
        <v>0</v>
      </c>
      <c r="BZ2" s="1">
        <v>0</v>
      </c>
      <c r="CA2" s="1">
        <v>0</v>
      </c>
      <c r="CB2" s="1">
        <v>0</v>
      </c>
      <c r="CC2" s="1">
        <v>0</v>
      </c>
      <c r="CD2" s="1">
        <v>0</v>
      </c>
      <c r="CE2" s="1">
        <v>0</v>
      </c>
      <c r="CF2" s="1">
        <v>0</v>
      </c>
      <c r="CG2" s="1">
        <v>0</v>
      </c>
      <c r="CH2" s="1">
        <v>0</v>
      </c>
      <c r="CI2" s="1">
        <v>0</v>
      </c>
      <c r="CJ2" s="1">
        <v>4</v>
      </c>
      <c r="CK2" s="1">
        <v>3</v>
      </c>
      <c r="CL2" s="1">
        <v>3</v>
      </c>
      <c r="CM2" s="1">
        <v>3</v>
      </c>
      <c r="CN2" s="1">
        <v>4</v>
      </c>
      <c r="CO2" s="1">
        <v>4</v>
      </c>
      <c r="CP2" s="1">
        <v>3</v>
      </c>
      <c r="CU2" s="1">
        <v>1</v>
      </c>
    </row>
    <row r="3" spans="1:99" x14ac:dyDescent="0.35">
      <c r="A3" s="1" t="s">
        <v>2143</v>
      </c>
      <c r="B3" s="1">
        <v>181211007</v>
      </c>
      <c r="C3" s="1">
        <v>1</v>
      </c>
      <c r="D3" s="1">
        <v>1</v>
      </c>
      <c r="E3" s="1">
        <v>0</v>
      </c>
      <c r="F3" s="1">
        <v>0</v>
      </c>
      <c r="G3" s="1">
        <v>0</v>
      </c>
      <c r="H3" s="1">
        <v>0</v>
      </c>
      <c r="I3" s="1">
        <v>0</v>
      </c>
      <c r="J3" s="1">
        <v>0</v>
      </c>
      <c r="K3" s="1">
        <v>0</v>
      </c>
      <c r="L3" s="1">
        <v>1</v>
      </c>
      <c r="M3" s="1">
        <v>0</v>
      </c>
      <c r="N3" s="1">
        <v>0</v>
      </c>
      <c r="O3" s="1">
        <v>0</v>
      </c>
      <c r="P3" s="1">
        <v>5</v>
      </c>
      <c r="Q3" s="1">
        <v>4</v>
      </c>
      <c r="R3" s="1">
        <v>4</v>
      </c>
      <c r="S3" s="1">
        <v>1</v>
      </c>
      <c r="T3" s="1">
        <v>1</v>
      </c>
      <c r="U3" s="1">
        <v>4</v>
      </c>
      <c r="V3" s="1">
        <v>4</v>
      </c>
      <c r="W3" s="1">
        <v>3</v>
      </c>
      <c r="X3" s="1">
        <v>3</v>
      </c>
      <c r="Y3" s="1">
        <v>4</v>
      </c>
      <c r="Z3" s="1">
        <v>4</v>
      </c>
      <c r="AA3" s="1">
        <v>4</v>
      </c>
      <c r="AC3" s="1">
        <v>1</v>
      </c>
      <c r="AD3" s="1">
        <v>4</v>
      </c>
      <c r="AF3" s="3">
        <v>7000000</v>
      </c>
      <c r="AG3" s="1">
        <v>13</v>
      </c>
      <c r="AT3" s="1" t="s">
        <v>75</v>
      </c>
      <c r="BP3" s="1">
        <v>3</v>
      </c>
      <c r="BQ3" s="1" t="s">
        <v>1303</v>
      </c>
      <c r="BR3" s="1" t="s">
        <v>2144</v>
      </c>
      <c r="BT3" s="1" t="s">
        <v>73</v>
      </c>
      <c r="BU3" s="1">
        <v>1</v>
      </c>
      <c r="BV3" s="1">
        <v>2</v>
      </c>
      <c r="BW3" s="1">
        <v>0</v>
      </c>
      <c r="BX3" s="1">
        <v>0</v>
      </c>
      <c r="BY3" s="1">
        <v>1</v>
      </c>
      <c r="BZ3" s="1">
        <v>0</v>
      </c>
      <c r="CA3" s="1">
        <v>0</v>
      </c>
      <c r="CB3" s="1">
        <v>1</v>
      </c>
      <c r="CC3" s="1">
        <v>1</v>
      </c>
      <c r="CD3" s="1">
        <v>0</v>
      </c>
      <c r="CE3" s="1">
        <v>0</v>
      </c>
      <c r="CF3" s="1">
        <v>1</v>
      </c>
      <c r="CG3" s="1">
        <v>1</v>
      </c>
      <c r="CH3" s="1">
        <v>0</v>
      </c>
      <c r="CI3" s="1">
        <v>0</v>
      </c>
      <c r="CJ3" s="1">
        <v>4</v>
      </c>
      <c r="CK3" s="1">
        <v>4</v>
      </c>
      <c r="CL3" s="1">
        <v>3</v>
      </c>
      <c r="CM3" s="1">
        <v>4</v>
      </c>
      <c r="CN3" s="1">
        <v>4</v>
      </c>
      <c r="CO3" s="1">
        <v>4</v>
      </c>
      <c r="CP3" s="1">
        <v>4</v>
      </c>
      <c r="CU3" s="1">
        <v>1</v>
      </c>
    </row>
    <row r="4" spans="1:99" x14ac:dyDescent="0.35">
      <c r="A4" s="1" t="s">
        <v>2145</v>
      </c>
      <c r="B4" s="1">
        <v>181211009</v>
      </c>
      <c r="C4" s="1">
        <v>0</v>
      </c>
      <c r="D4" s="1">
        <v>1</v>
      </c>
      <c r="E4" s="1">
        <v>0</v>
      </c>
      <c r="F4" s="1">
        <v>0</v>
      </c>
      <c r="G4" s="1">
        <v>0</v>
      </c>
      <c r="H4" s="1">
        <v>1</v>
      </c>
      <c r="I4" s="1">
        <v>0</v>
      </c>
      <c r="J4" s="1">
        <v>0</v>
      </c>
      <c r="K4" s="1">
        <v>1</v>
      </c>
      <c r="L4" s="1">
        <v>0</v>
      </c>
      <c r="M4" s="1">
        <v>0</v>
      </c>
      <c r="N4" s="1">
        <v>0</v>
      </c>
      <c r="O4" s="1">
        <v>0</v>
      </c>
      <c r="P4" s="1" t="s">
        <v>2146</v>
      </c>
      <c r="Q4" s="1" t="s">
        <v>124</v>
      </c>
      <c r="R4" s="1" t="s">
        <v>124</v>
      </c>
      <c r="S4" s="1">
        <v>1</v>
      </c>
      <c r="T4" s="1">
        <v>1</v>
      </c>
      <c r="U4" s="1">
        <v>4</v>
      </c>
      <c r="V4" s="1">
        <v>3</v>
      </c>
      <c r="W4" s="1">
        <v>3</v>
      </c>
      <c r="X4" s="1">
        <v>3</v>
      </c>
      <c r="Y4" s="1">
        <v>3</v>
      </c>
      <c r="Z4" s="1">
        <v>4</v>
      </c>
      <c r="AA4" s="1">
        <v>4</v>
      </c>
      <c r="AC4" s="1">
        <v>1</v>
      </c>
      <c r="AD4" s="1">
        <v>1</v>
      </c>
      <c r="AF4" s="3">
        <v>8300000</v>
      </c>
      <c r="AG4" s="1">
        <v>13</v>
      </c>
      <c r="AT4" s="1" t="s">
        <v>83</v>
      </c>
      <c r="BP4" s="1">
        <v>3</v>
      </c>
      <c r="BQ4" s="1" t="s">
        <v>781</v>
      </c>
      <c r="BR4" s="1" t="s">
        <v>2147</v>
      </c>
      <c r="BS4" s="1" t="s">
        <v>4327</v>
      </c>
      <c r="BT4" s="1" t="s">
        <v>73</v>
      </c>
      <c r="BU4" s="1">
        <v>1</v>
      </c>
      <c r="BV4" s="1">
        <v>1</v>
      </c>
      <c r="BW4" s="1">
        <v>0</v>
      </c>
      <c r="BX4" s="1">
        <v>0</v>
      </c>
      <c r="BY4" s="1">
        <v>1</v>
      </c>
      <c r="BZ4" s="1">
        <v>0</v>
      </c>
      <c r="CA4" s="1">
        <v>0</v>
      </c>
      <c r="CB4" s="1">
        <v>0</v>
      </c>
      <c r="CC4" s="1">
        <v>1</v>
      </c>
      <c r="CD4" s="1">
        <v>1</v>
      </c>
      <c r="CE4" s="1">
        <v>0</v>
      </c>
      <c r="CF4" s="1">
        <v>0</v>
      </c>
      <c r="CG4" s="1">
        <v>1</v>
      </c>
      <c r="CH4" s="1">
        <v>1</v>
      </c>
      <c r="CI4" s="1">
        <v>0</v>
      </c>
      <c r="CJ4" s="1">
        <v>4</v>
      </c>
      <c r="CK4" s="1">
        <v>4</v>
      </c>
      <c r="CL4" s="1">
        <v>3</v>
      </c>
      <c r="CM4" s="1">
        <v>4</v>
      </c>
      <c r="CN4" s="1">
        <v>4</v>
      </c>
      <c r="CO4" s="1">
        <v>4</v>
      </c>
      <c r="CP4" s="1">
        <v>4</v>
      </c>
      <c r="CU4" s="1">
        <v>1</v>
      </c>
    </row>
    <row r="5" spans="1:99" x14ac:dyDescent="0.35">
      <c r="A5" s="1" t="s">
        <v>2148</v>
      </c>
      <c r="B5" s="1">
        <v>181211011</v>
      </c>
      <c r="C5" s="1">
        <v>0</v>
      </c>
      <c r="D5" s="1">
        <v>1</v>
      </c>
      <c r="E5" s="1">
        <v>1</v>
      </c>
      <c r="F5" s="1">
        <v>0</v>
      </c>
      <c r="G5" s="1">
        <v>0</v>
      </c>
      <c r="H5" s="1">
        <v>1</v>
      </c>
      <c r="I5" s="1">
        <v>0</v>
      </c>
      <c r="J5" s="1">
        <v>0</v>
      </c>
      <c r="K5" s="1">
        <v>1</v>
      </c>
      <c r="L5" s="1">
        <v>0</v>
      </c>
      <c r="M5" s="1">
        <v>0</v>
      </c>
      <c r="N5" s="1">
        <v>0</v>
      </c>
      <c r="O5" s="1">
        <v>0</v>
      </c>
      <c r="P5" s="1">
        <v>10</v>
      </c>
      <c r="Q5" s="1">
        <v>2</v>
      </c>
      <c r="R5" s="1">
        <v>2</v>
      </c>
      <c r="S5" s="1">
        <v>1</v>
      </c>
      <c r="T5" s="1">
        <v>1</v>
      </c>
      <c r="U5" s="1">
        <v>3</v>
      </c>
      <c r="V5" s="1">
        <v>1</v>
      </c>
      <c r="W5" s="1">
        <v>2</v>
      </c>
      <c r="X5" s="1">
        <v>3</v>
      </c>
      <c r="Y5" s="1">
        <v>3</v>
      </c>
      <c r="Z5" s="1">
        <v>3</v>
      </c>
      <c r="AA5" s="1">
        <v>2</v>
      </c>
      <c r="AC5" s="1">
        <v>1</v>
      </c>
      <c r="AD5" s="1">
        <v>1</v>
      </c>
      <c r="AF5" s="3">
        <v>3500000</v>
      </c>
      <c r="AG5" s="1">
        <v>12</v>
      </c>
      <c r="AS5" s="1" t="s">
        <v>472</v>
      </c>
      <c r="BP5" s="1">
        <v>3</v>
      </c>
      <c r="BQ5" s="1" t="s">
        <v>2149</v>
      </c>
      <c r="BR5" s="1" t="s">
        <v>2150</v>
      </c>
      <c r="BS5" s="1" t="s">
        <v>2151</v>
      </c>
      <c r="BT5" s="1" t="s">
        <v>79</v>
      </c>
      <c r="BU5" s="1">
        <v>3</v>
      </c>
      <c r="BV5" s="1">
        <v>2</v>
      </c>
      <c r="BW5" s="1">
        <v>0</v>
      </c>
      <c r="BX5" s="1">
        <v>0</v>
      </c>
      <c r="BY5" s="1">
        <v>0</v>
      </c>
      <c r="BZ5" s="1">
        <v>1</v>
      </c>
      <c r="CA5" s="1">
        <v>0</v>
      </c>
      <c r="CB5" s="1">
        <v>0</v>
      </c>
      <c r="CC5" s="1">
        <v>0</v>
      </c>
      <c r="CD5" s="1">
        <v>1</v>
      </c>
      <c r="CE5" s="1">
        <v>1</v>
      </c>
      <c r="CF5" s="1">
        <v>0</v>
      </c>
      <c r="CG5" s="1">
        <v>0</v>
      </c>
      <c r="CH5" s="1">
        <v>0</v>
      </c>
      <c r="CI5" s="1" t="s">
        <v>2152</v>
      </c>
      <c r="CJ5" s="1">
        <v>4</v>
      </c>
      <c r="CK5" s="1">
        <v>4</v>
      </c>
      <c r="CL5" s="1">
        <v>2</v>
      </c>
      <c r="CM5" s="1">
        <v>4</v>
      </c>
      <c r="CN5" s="1">
        <v>3</v>
      </c>
      <c r="CO5" s="1">
        <v>3</v>
      </c>
      <c r="CP5" s="1">
        <v>4</v>
      </c>
      <c r="CU5" s="1">
        <v>1</v>
      </c>
    </row>
    <row r="6" spans="1:99" x14ac:dyDescent="0.35">
      <c r="A6" s="1" t="s">
        <v>2153</v>
      </c>
      <c r="B6" s="1">
        <v>181211012</v>
      </c>
      <c r="C6" s="1">
        <v>0</v>
      </c>
      <c r="D6" s="1">
        <v>1</v>
      </c>
      <c r="E6" s="1">
        <v>0</v>
      </c>
      <c r="F6" s="1">
        <v>0</v>
      </c>
      <c r="G6" s="1">
        <v>0</v>
      </c>
      <c r="H6" s="1">
        <v>1</v>
      </c>
      <c r="I6" s="1">
        <v>0</v>
      </c>
      <c r="J6" s="1">
        <v>0</v>
      </c>
      <c r="K6" s="1">
        <v>0</v>
      </c>
      <c r="L6" s="1">
        <v>0</v>
      </c>
      <c r="M6" s="1">
        <v>0</v>
      </c>
      <c r="N6" s="1">
        <v>0</v>
      </c>
      <c r="O6" s="1">
        <v>0</v>
      </c>
      <c r="P6" s="1">
        <v>30</v>
      </c>
      <c r="Q6" s="1">
        <v>10</v>
      </c>
      <c r="R6" s="1">
        <v>7</v>
      </c>
    </row>
    <row r="7" spans="1:99" x14ac:dyDescent="0.35">
      <c r="A7" s="1" t="s">
        <v>2154</v>
      </c>
      <c r="B7" s="1">
        <v>181211018</v>
      </c>
      <c r="C7" s="1">
        <v>0</v>
      </c>
      <c r="D7" s="1">
        <v>1</v>
      </c>
      <c r="E7" s="1">
        <v>0</v>
      </c>
      <c r="F7" s="1">
        <v>0</v>
      </c>
      <c r="G7" s="1">
        <v>0</v>
      </c>
      <c r="H7" s="1">
        <v>0</v>
      </c>
      <c r="I7" s="1">
        <v>0</v>
      </c>
      <c r="J7" s="1">
        <v>1</v>
      </c>
      <c r="K7" s="1">
        <v>1</v>
      </c>
      <c r="L7" s="1">
        <v>0</v>
      </c>
      <c r="M7" s="1">
        <v>0</v>
      </c>
      <c r="N7" s="1">
        <v>0</v>
      </c>
      <c r="O7" s="1">
        <v>0</v>
      </c>
      <c r="P7" s="1">
        <v>15</v>
      </c>
      <c r="Q7" s="1">
        <v>7</v>
      </c>
      <c r="R7" s="1">
        <v>5</v>
      </c>
      <c r="S7" s="1">
        <v>1</v>
      </c>
      <c r="T7" s="1">
        <v>1</v>
      </c>
      <c r="U7" s="1">
        <v>3</v>
      </c>
      <c r="V7" s="1">
        <v>3</v>
      </c>
      <c r="W7" s="1">
        <v>3</v>
      </c>
      <c r="X7" s="1">
        <v>3</v>
      </c>
      <c r="Y7" s="1">
        <v>3</v>
      </c>
      <c r="Z7" s="1">
        <v>3</v>
      </c>
      <c r="AA7" s="1">
        <v>3</v>
      </c>
      <c r="AC7" s="1">
        <v>2</v>
      </c>
      <c r="AE7" s="1">
        <v>1</v>
      </c>
      <c r="AF7" s="3">
        <v>4000000</v>
      </c>
      <c r="AG7" s="1">
        <v>13</v>
      </c>
      <c r="AT7" s="1" t="s">
        <v>750</v>
      </c>
      <c r="BP7" s="1">
        <v>3</v>
      </c>
      <c r="BQ7" s="1" t="s">
        <v>2155</v>
      </c>
      <c r="BR7" s="1" t="s">
        <v>2156</v>
      </c>
      <c r="BT7" s="1" t="s">
        <v>79</v>
      </c>
      <c r="BU7" s="1">
        <v>4</v>
      </c>
      <c r="BV7" s="1">
        <v>2</v>
      </c>
      <c r="BW7" s="1">
        <v>0</v>
      </c>
      <c r="BX7" s="1">
        <v>0</v>
      </c>
      <c r="BY7" s="1">
        <v>0</v>
      </c>
      <c r="BZ7" s="1">
        <v>0</v>
      </c>
      <c r="CA7" s="1">
        <v>0</v>
      </c>
      <c r="CB7" s="1">
        <v>0</v>
      </c>
      <c r="CC7" s="1">
        <v>0</v>
      </c>
      <c r="CD7" s="1">
        <v>0</v>
      </c>
      <c r="CE7" s="1">
        <v>1</v>
      </c>
      <c r="CF7" s="1">
        <v>0</v>
      </c>
      <c r="CG7" s="1">
        <v>0</v>
      </c>
      <c r="CH7" s="1">
        <v>0</v>
      </c>
      <c r="CI7" s="1">
        <v>0</v>
      </c>
      <c r="CJ7" s="1">
        <v>3</v>
      </c>
      <c r="CK7" s="1">
        <v>3</v>
      </c>
      <c r="CL7" s="1">
        <v>3</v>
      </c>
      <c r="CM7" s="1">
        <v>3</v>
      </c>
      <c r="CN7" s="1">
        <v>3</v>
      </c>
      <c r="CO7" s="1">
        <v>3</v>
      </c>
      <c r="CP7" s="1">
        <v>3</v>
      </c>
      <c r="CU7" s="1">
        <v>3</v>
      </c>
    </row>
    <row r="8" spans="1:99" x14ac:dyDescent="0.35">
      <c r="A8" s="1" t="s">
        <v>2157</v>
      </c>
      <c r="B8" s="1">
        <v>181211022</v>
      </c>
      <c r="C8" s="1">
        <v>0</v>
      </c>
      <c r="D8" s="1">
        <v>1</v>
      </c>
      <c r="E8" s="1">
        <v>0</v>
      </c>
      <c r="F8" s="1">
        <v>0</v>
      </c>
      <c r="G8" s="1">
        <v>0</v>
      </c>
      <c r="H8" s="1">
        <v>0</v>
      </c>
      <c r="I8" s="1">
        <v>0</v>
      </c>
      <c r="J8" s="1">
        <v>0</v>
      </c>
      <c r="K8" s="1">
        <v>0</v>
      </c>
      <c r="L8" s="1">
        <v>0</v>
      </c>
      <c r="M8" s="1">
        <v>0</v>
      </c>
      <c r="N8" s="1">
        <v>0</v>
      </c>
      <c r="O8" s="1">
        <v>0</v>
      </c>
      <c r="P8" s="1">
        <v>5</v>
      </c>
      <c r="Q8" s="1">
        <v>1</v>
      </c>
      <c r="R8" s="1">
        <v>0</v>
      </c>
      <c r="S8" s="1">
        <v>5</v>
      </c>
      <c r="T8" s="1">
        <v>1</v>
      </c>
      <c r="U8" s="1">
        <v>4</v>
      </c>
      <c r="V8" s="1">
        <v>3</v>
      </c>
      <c r="W8" s="1">
        <v>3</v>
      </c>
      <c r="X8" s="1">
        <v>4</v>
      </c>
      <c r="Y8" s="1">
        <v>4</v>
      </c>
      <c r="Z8" s="1">
        <v>4</v>
      </c>
      <c r="AA8" s="1">
        <v>4</v>
      </c>
      <c r="CU8" s="1">
        <v>4</v>
      </c>
    </row>
    <row r="9" spans="1:99" x14ac:dyDescent="0.35">
      <c r="A9" s="1" t="s">
        <v>2158</v>
      </c>
      <c r="B9" s="1">
        <v>181211029</v>
      </c>
      <c r="C9" s="1">
        <v>1</v>
      </c>
      <c r="D9" s="1">
        <v>1</v>
      </c>
      <c r="E9" s="1">
        <v>0</v>
      </c>
      <c r="F9" s="1">
        <v>0</v>
      </c>
      <c r="G9" s="1">
        <v>0</v>
      </c>
      <c r="H9" s="1">
        <v>1</v>
      </c>
      <c r="I9" s="1">
        <v>0</v>
      </c>
      <c r="J9" s="1">
        <v>1</v>
      </c>
      <c r="K9" s="1">
        <v>1</v>
      </c>
      <c r="L9" s="1">
        <v>0</v>
      </c>
      <c r="M9" s="1">
        <v>0</v>
      </c>
      <c r="N9" s="1">
        <v>0</v>
      </c>
      <c r="O9" s="1">
        <v>0</v>
      </c>
      <c r="P9" s="1">
        <v>30</v>
      </c>
      <c r="Q9" s="1">
        <v>5</v>
      </c>
      <c r="R9" s="1">
        <v>1</v>
      </c>
      <c r="S9" s="1">
        <v>1</v>
      </c>
      <c r="T9" s="1">
        <v>1</v>
      </c>
      <c r="U9" s="1">
        <v>4</v>
      </c>
      <c r="V9" s="1">
        <v>2</v>
      </c>
      <c r="W9" s="1">
        <v>3</v>
      </c>
      <c r="X9" s="1">
        <v>3</v>
      </c>
      <c r="Y9" s="1">
        <v>4</v>
      </c>
      <c r="Z9" s="1">
        <v>3</v>
      </c>
      <c r="AA9" s="1">
        <v>3</v>
      </c>
      <c r="AC9" s="1">
        <v>1</v>
      </c>
      <c r="AD9" s="1">
        <v>3</v>
      </c>
      <c r="AE9" s="1">
        <v>3</v>
      </c>
      <c r="AF9" s="3">
        <v>5800000</v>
      </c>
      <c r="AG9" s="1">
        <v>13</v>
      </c>
      <c r="AT9" s="1" t="s">
        <v>1809</v>
      </c>
      <c r="BP9" s="1">
        <v>6</v>
      </c>
      <c r="BQ9" s="1" t="s">
        <v>2159</v>
      </c>
      <c r="BR9" s="1" t="s">
        <v>2160</v>
      </c>
      <c r="BS9" s="1" t="s">
        <v>2161</v>
      </c>
      <c r="BT9" s="1" t="s">
        <v>73</v>
      </c>
      <c r="BU9" s="1">
        <v>1</v>
      </c>
      <c r="BV9" s="1">
        <v>2</v>
      </c>
      <c r="BW9" s="1">
        <v>1</v>
      </c>
      <c r="BX9" s="1">
        <v>0</v>
      </c>
      <c r="BY9" s="1">
        <v>1</v>
      </c>
      <c r="BZ9" s="1">
        <v>0</v>
      </c>
      <c r="CA9" s="1">
        <v>1</v>
      </c>
      <c r="CB9" s="1">
        <v>0</v>
      </c>
      <c r="CC9" s="1">
        <v>0</v>
      </c>
      <c r="CD9" s="1">
        <v>0</v>
      </c>
      <c r="CE9" s="1">
        <v>0</v>
      </c>
      <c r="CF9" s="1">
        <v>0</v>
      </c>
      <c r="CG9" s="1">
        <v>0</v>
      </c>
      <c r="CH9" s="1">
        <v>1</v>
      </c>
      <c r="CI9" s="1">
        <v>0</v>
      </c>
      <c r="CJ9" s="1">
        <v>4</v>
      </c>
      <c r="CK9" s="1">
        <v>2</v>
      </c>
      <c r="CL9" s="1">
        <v>3</v>
      </c>
      <c r="CM9" s="1">
        <v>3</v>
      </c>
      <c r="CN9" s="1">
        <v>4</v>
      </c>
      <c r="CO9" s="1">
        <v>4</v>
      </c>
      <c r="CP9" s="1">
        <v>3</v>
      </c>
      <c r="CU9" s="1">
        <v>1</v>
      </c>
    </row>
    <row r="10" spans="1:99" x14ac:dyDescent="0.35">
      <c r="A10" s="1" t="s">
        <v>2162</v>
      </c>
      <c r="B10" s="1">
        <v>181211030</v>
      </c>
      <c r="C10" s="1">
        <v>0</v>
      </c>
      <c r="D10" s="1">
        <v>1</v>
      </c>
      <c r="E10" s="1">
        <v>0</v>
      </c>
      <c r="F10" s="1">
        <v>1</v>
      </c>
      <c r="G10" s="1">
        <v>0</v>
      </c>
      <c r="H10" s="1">
        <v>1</v>
      </c>
      <c r="I10" s="1">
        <v>0</v>
      </c>
      <c r="J10" s="1">
        <v>0</v>
      </c>
      <c r="K10" s="1">
        <v>0</v>
      </c>
      <c r="L10" s="1">
        <v>0</v>
      </c>
      <c r="M10" s="1">
        <v>0</v>
      </c>
      <c r="N10" s="1">
        <v>0</v>
      </c>
      <c r="O10" s="1">
        <v>0</v>
      </c>
      <c r="P10" s="1">
        <v>20</v>
      </c>
      <c r="Q10" s="1">
        <v>15</v>
      </c>
      <c r="R10" s="1">
        <v>10</v>
      </c>
      <c r="S10" s="1">
        <v>1</v>
      </c>
      <c r="T10" s="1">
        <v>1</v>
      </c>
      <c r="U10" s="1">
        <v>4</v>
      </c>
      <c r="V10" s="1">
        <v>3</v>
      </c>
      <c r="W10" s="1">
        <v>2</v>
      </c>
      <c r="X10" s="1">
        <v>4</v>
      </c>
      <c r="Y10" s="1">
        <v>4</v>
      </c>
      <c r="Z10" s="1">
        <v>4</v>
      </c>
      <c r="AA10" s="1">
        <v>4</v>
      </c>
      <c r="AC10" s="1">
        <v>2</v>
      </c>
      <c r="AE10" s="1">
        <v>4</v>
      </c>
      <c r="AF10" s="3">
        <v>6000000</v>
      </c>
      <c r="AG10" s="1">
        <v>13</v>
      </c>
      <c r="AT10" s="1" t="s">
        <v>402</v>
      </c>
      <c r="BP10" s="1">
        <v>3</v>
      </c>
      <c r="BQ10" s="1" t="s">
        <v>2163</v>
      </c>
      <c r="BT10" s="1" t="s">
        <v>79</v>
      </c>
      <c r="BU10" s="1">
        <v>2</v>
      </c>
      <c r="BV10" s="1">
        <v>2</v>
      </c>
      <c r="BW10" s="1">
        <v>1</v>
      </c>
      <c r="BX10" s="1">
        <v>0</v>
      </c>
      <c r="BY10" s="1">
        <v>0</v>
      </c>
      <c r="BZ10" s="1">
        <v>0</v>
      </c>
      <c r="CA10" s="1">
        <v>0</v>
      </c>
      <c r="CB10" s="1">
        <v>0</v>
      </c>
      <c r="CC10" s="1">
        <v>0</v>
      </c>
      <c r="CD10" s="1">
        <v>0</v>
      </c>
      <c r="CE10" s="1">
        <v>0</v>
      </c>
      <c r="CF10" s="1">
        <v>0</v>
      </c>
      <c r="CG10" s="1">
        <v>0</v>
      </c>
      <c r="CH10" s="1">
        <v>0</v>
      </c>
      <c r="CI10" s="1">
        <v>0</v>
      </c>
      <c r="CJ10" s="1">
        <v>4</v>
      </c>
      <c r="CK10" s="1">
        <v>4</v>
      </c>
      <c r="CL10" s="1">
        <v>2</v>
      </c>
      <c r="CM10" s="1">
        <v>4</v>
      </c>
      <c r="CN10" s="1">
        <v>4</v>
      </c>
      <c r="CO10" s="1">
        <v>4</v>
      </c>
      <c r="CP10" s="1">
        <v>4</v>
      </c>
    </row>
    <row r="11" spans="1:99" x14ac:dyDescent="0.35">
      <c r="A11" s="1" t="s">
        <v>2164</v>
      </c>
      <c r="B11" s="1">
        <v>181211031</v>
      </c>
      <c r="C11" s="1">
        <v>1</v>
      </c>
      <c r="D11" s="1">
        <v>1</v>
      </c>
      <c r="E11" s="1">
        <v>0</v>
      </c>
      <c r="F11" s="1">
        <v>0</v>
      </c>
      <c r="G11" s="1">
        <v>0</v>
      </c>
      <c r="H11" s="1">
        <v>1</v>
      </c>
      <c r="I11" s="1">
        <v>0</v>
      </c>
      <c r="J11" s="1">
        <v>1</v>
      </c>
      <c r="K11" s="1">
        <v>1</v>
      </c>
      <c r="L11" s="1">
        <v>0</v>
      </c>
      <c r="M11" s="1">
        <v>0</v>
      </c>
      <c r="N11" s="1">
        <v>0</v>
      </c>
      <c r="O11" s="1">
        <v>0</v>
      </c>
      <c r="P11" s="1">
        <v>10</v>
      </c>
      <c r="Q11" s="1">
        <v>9</v>
      </c>
      <c r="R11" s="1">
        <v>9</v>
      </c>
    </row>
    <row r="12" spans="1:99" x14ac:dyDescent="0.35">
      <c r="A12" s="1" t="s">
        <v>2165</v>
      </c>
      <c r="B12" s="1">
        <v>181211034</v>
      </c>
      <c r="C12" s="1">
        <v>0</v>
      </c>
      <c r="D12" s="1">
        <v>1</v>
      </c>
      <c r="E12" s="1">
        <v>0</v>
      </c>
      <c r="F12" s="1">
        <v>0</v>
      </c>
      <c r="G12" s="1">
        <v>0</v>
      </c>
      <c r="H12" s="1">
        <v>1</v>
      </c>
      <c r="I12" s="1">
        <v>0</v>
      </c>
      <c r="J12" s="1">
        <v>1</v>
      </c>
      <c r="K12" s="1">
        <v>1</v>
      </c>
      <c r="L12" s="1">
        <v>0</v>
      </c>
      <c r="M12" s="1">
        <v>0</v>
      </c>
      <c r="N12" s="1">
        <v>0</v>
      </c>
      <c r="O12" s="1">
        <v>0</v>
      </c>
      <c r="P12" s="1">
        <v>7</v>
      </c>
      <c r="Q12" s="1">
        <v>6</v>
      </c>
      <c r="R12" s="1">
        <v>5</v>
      </c>
      <c r="S12" s="1">
        <v>1</v>
      </c>
      <c r="T12" s="1">
        <v>1</v>
      </c>
      <c r="U12" s="1">
        <v>3</v>
      </c>
      <c r="V12" s="1">
        <v>3</v>
      </c>
      <c r="W12" s="1">
        <v>4</v>
      </c>
      <c r="X12" s="1">
        <v>3</v>
      </c>
      <c r="Y12" s="1">
        <v>2</v>
      </c>
      <c r="Z12" s="1">
        <v>3</v>
      </c>
      <c r="AA12" s="1">
        <v>3</v>
      </c>
      <c r="AC12" s="1">
        <v>1</v>
      </c>
      <c r="AD12" s="1">
        <v>5</v>
      </c>
      <c r="AF12" s="3">
        <v>6200000</v>
      </c>
      <c r="AG12" s="1">
        <v>23</v>
      </c>
      <c r="BD12" s="1" t="s">
        <v>2166</v>
      </c>
      <c r="BP12" s="1">
        <v>3</v>
      </c>
      <c r="BQ12" s="1" t="s">
        <v>899</v>
      </c>
      <c r="BR12" s="1" t="s">
        <v>2167</v>
      </c>
      <c r="BT12" s="1" t="s">
        <v>73</v>
      </c>
      <c r="BU12" s="1">
        <v>2</v>
      </c>
      <c r="BV12" s="1">
        <v>2</v>
      </c>
      <c r="BW12" s="1">
        <v>0</v>
      </c>
      <c r="BX12" s="1">
        <v>0</v>
      </c>
      <c r="BY12" s="1">
        <v>1</v>
      </c>
      <c r="BZ12" s="1">
        <v>0</v>
      </c>
      <c r="CA12" s="1">
        <v>0</v>
      </c>
      <c r="CB12" s="1">
        <v>0</v>
      </c>
      <c r="CC12" s="1">
        <v>1</v>
      </c>
      <c r="CD12" s="1">
        <v>1</v>
      </c>
      <c r="CE12" s="1">
        <v>0</v>
      </c>
      <c r="CF12" s="1">
        <v>0</v>
      </c>
      <c r="CG12" s="1">
        <v>0</v>
      </c>
      <c r="CH12" s="1">
        <v>0</v>
      </c>
      <c r="CI12" s="1">
        <v>0</v>
      </c>
      <c r="CJ12" s="1">
        <v>3</v>
      </c>
      <c r="CK12" s="1">
        <v>3</v>
      </c>
      <c r="CL12" s="1">
        <v>2</v>
      </c>
      <c r="CM12" s="1">
        <v>3</v>
      </c>
      <c r="CN12" s="1">
        <v>4</v>
      </c>
      <c r="CO12" s="1">
        <v>3</v>
      </c>
      <c r="CP12" s="1">
        <v>3</v>
      </c>
      <c r="CU12" s="1">
        <v>1</v>
      </c>
    </row>
    <row r="13" spans="1:99" x14ac:dyDescent="0.35">
      <c r="A13" s="1" t="s">
        <v>2168</v>
      </c>
      <c r="B13" s="1">
        <v>181211042</v>
      </c>
      <c r="C13" s="1">
        <v>0</v>
      </c>
      <c r="D13" s="1">
        <v>1</v>
      </c>
      <c r="E13" s="1">
        <v>0</v>
      </c>
      <c r="F13" s="1">
        <v>0</v>
      </c>
      <c r="G13" s="1">
        <v>0</v>
      </c>
      <c r="H13" s="1">
        <v>1</v>
      </c>
      <c r="I13" s="1">
        <v>0</v>
      </c>
      <c r="J13" s="1">
        <v>0</v>
      </c>
      <c r="K13" s="1">
        <v>1</v>
      </c>
      <c r="L13" s="1">
        <v>0</v>
      </c>
      <c r="M13" s="1">
        <v>0</v>
      </c>
      <c r="N13" s="1">
        <v>0</v>
      </c>
      <c r="O13" s="1">
        <v>0</v>
      </c>
      <c r="P13" s="1">
        <v>1</v>
      </c>
      <c r="Q13" s="1">
        <v>1</v>
      </c>
      <c r="R13" s="1">
        <v>1</v>
      </c>
      <c r="S13" s="1">
        <v>1</v>
      </c>
      <c r="T13" s="1">
        <v>1</v>
      </c>
      <c r="U13" s="1">
        <v>4</v>
      </c>
      <c r="V13" s="1">
        <v>4</v>
      </c>
      <c r="W13" s="1">
        <v>1</v>
      </c>
      <c r="X13" s="1">
        <v>2</v>
      </c>
      <c r="Y13" s="1">
        <v>3</v>
      </c>
      <c r="Z13" s="1">
        <v>4</v>
      </c>
      <c r="AA13" s="1">
        <v>2</v>
      </c>
      <c r="AC13" s="1">
        <v>1</v>
      </c>
      <c r="AD13" s="1">
        <v>1</v>
      </c>
      <c r="AF13" s="3">
        <v>6500000</v>
      </c>
      <c r="AG13" s="1">
        <v>12</v>
      </c>
      <c r="AS13" s="1" t="s">
        <v>824</v>
      </c>
      <c r="BP13" s="1">
        <v>3</v>
      </c>
      <c r="BQ13" s="1" t="s">
        <v>2169</v>
      </c>
      <c r="BR13" s="1" t="s">
        <v>826</v>
      </c>
      <c r="BS13" s="1" t="s">
        <v>2170</v>
      </c>
      <c r="BT13" s="1" t="s">
        <v>73</v>
      </c>
      <c r="BU13" s="1">
        <v>4</v>
      </c>
      <c r="BV13" s="1">
        <v>3</v>
      </c>
      <c r="BW13" s="1">
        <v>0</v>
      </c>
      <c r="BX13" s="1">
        <v>1</v>
      </c>
      <c r="BY13" s="1">
        <v>0</v>
      </c>
      <c r="BZ13" s="1">
        <v>0</v>
      </c>
      <c r="CA13" s="1">
        <v>0</v>
      </c>
      <c r="CB13" s="1">
        <v>0</v>
      </c>
      <c r="CC13" s="1">
        <v>0</v>
      </c>
      <c r="CD13" s="1">
        <v>0</v>
      </c>
      <c r="CE13" s="1">
        <v>0</v>
      </c>
      <c r="CF13" s="1">
        <v>1</v>
      </c>
      <c r="CG13" s="1">
        <v>0</v>
      </c>
      <c r="CH13" s="1">
        <v>1</v>
      </c>
      <c r="CI13" s="1" t="s">
        <v>2171</v>
      </c>
      <c r="CJ13" s="1">
        <v>4</v>
      </c>
      <c r="CK13" s="1">
        <v>3</v>
      </c>
      <c r="CL13" s="1">
        <v>4</v>
      </c>
      <c r="CM13" s="1">
        <v>3</v>
      </c>
      <c r="CN13" s="1">
        <v>3</v>
      </c>
      <c r="CO13" s="1">
        <v>3</v>
      </c>
      <c r="CP13" s="1">
        <v>4</v>
      </c>
      <c r="CU13" s="1">
        <v>2</v>
      </c>
    </row>
    <row r="14" spans="1:99" x14ac:dyDescent="0.35">
      <c r="A14" s="1" t="s">
        <v>2172</v>
      </c>
      <c r="B14" s="1">
        <v>181211044</v>
      </c>
      <c r="C14" s="1">
        <v>0</v>
      </c>
      <c r="D14" s="1">
        <v>1</v>
      </c>
      <c r="E14" s="1">
        <v>0</v>
      </c>
      <c r="F14" s="1">
        <v>0</v>
      </c>
      <c r="G14" s="1">
        <v>0</v>
      </c>
      <c r="H14" s="1">
        <v>1</v>
      </c>
      <c r="I14" s="1">
        <v>1</v>
      </c>
      <c r="J14" s="1">
        <v>1</v>
      </c>
      <c r="K14" s="1">
        <v>1</v>
      </c>
      <c r="L14" s="1">
        <v>1</v>
      </c>
      <c r="M14" s="1">
        <v>0</v>
      </c>
      <c r="N14" s="1">
        <v>0</v>
      </c>
      <c r="O14" s="1">
        <v>0</v>
      </c>
      <c r="P14" s="1" t="s">
        <v>1677</v>
      </c>
      <c r="Q14" s="1">
        <v>5</v>
      </c>
      <c r="R14" s="1">
        <v>5</v>
      </c>
    </row>
    <row r="15" spans="1:99" x14ac:dyDescent="0.35">
      <c r="A15" s="1" t="s">
        <v>2173</v>
      </c>
      <c r="B15" s="1">
        <v>181211053</v>
      </c>
      <c r="C15" s="1">
        <v>1</v>
      </c>
      <c r="D15" s="1">
        <v>1</v>
      </c>
      <c r="E15" s="1">
        <v>0</v>
      </c>
      <c r="F15" s="1">
        <v>0</v>
      </c>
      <c r="G15" s="1">
        <v>0</v>
      </c>
      <c r="H15" s="1">
        <v>0</v>
      </c>
      <c r="I15" s="1">
        <v>0</v>
      </c>
      <c r="J15" s="1">
        <v>1</v>
      </c>
      <c r="K15" s="1">
        <v>1</v>
      </c>
      <c r="L15" s="1">
        <v>0</v>
      </c>
      <c r="M15" s="1">
        <v>0</v>
      </c>
      <c r="N15" s="1">
        <v>0</v>
      </c>
      <c r="O15" s="1">
        <v>0</v>
      </c>
      <c r="P15" s="1">
        <v>87</v>
      </c>
      <c r="Q15" s="1">
        <v>20</v>
      </c>
      <c r="R15" s="1">
        <v>6</v>
      </c>
      <c r="S15" s="1">
        <v>1</v>
      </c>
      <c r="T15" s="1">
        <v>1</v>
      </c>
      <c r="U15" s="1">
        <v>4</v>
      </c>
      <c r="V15" s="1">
        <v>4</v>
      </c>
      <c r="W15" s="1">
        <v>4</v>
      </c>
      <c r="X15" s="1">
        <v>4</v>
      </c>
      <c r="Y15" s="1">
        <v>4</v>
      </c>
      <c r="Z15" s="1">
        <v>4</v>
      </c>
      <c r="AA15" s="1">
        <v>4</v>
      </c>
      <c r="AC15" s="1">
        <v>1</v>
      </c>
      <c r="AD15" s="1">
        <v>6</v>
      </c>
      <c r="AF15" s="3">
        <v>6000000</v>
      </c>
      <c r="AG15" s="1">
        <v>13</v>
      </c>
      <c r="AT15" s="1" t="s">
        <v>402</v>
      </c>
      <c r="BP15" s="1">
        <v>3</v>
      </c>
      <c r="BQ15" s="1" t="s">
        <v>2174</v>
      </c>
      <c r="BR15" s="1" t="s">
        <v>2175</v>
      </c>
      <c r="BT15" s="1" t="s">
        <v>79</v>
      </c>
      <c r="BU15" s="1">
        <v>1</v>
      </c>
      <c r="BV15" s="1">
        <v>2</v>
      </c>
      <c r="BW15" s="1">
        <v>1</v>
      </c>
      <c r="BX15" s="1">
        <v>0</v>
      </c>
      <c r="BY15" s="1">
        <v>0</v>
      </c>
      <c r="BZ15" s="1">
        <v>0</v>
      </c>
      <c r="CA15" s="1">
        <v>0</v>
      </c>
      <c r="CB15" s="1">
        <v>0</v>
      </c>
      <c r="CC15" s="1">
        <v>0</v>
      </c>
      <c r="CD15" s="1">
        <v>0</v>
      </c>
      <c r="CE15" s="1">
        <v>0</v>
      </c>
      <c r="CF15" s="1">
        <v>0</v>
      </c>
      <c r="CG15" s="1">
        <v>0</v>
      </c>
      <c r="CH15" s="1">
        <v>0</v>
      </c>
      <c r="CI15" s="1">
        <v>0</v>
      </c>
      <c r="CJ15" s="1">
        <v>4</v>
      </c>
      <c r="CK15" s="1">
        <v>4</v>
      </c>
      <c r="CL15" s="1">
        <v>3</v>
      </c>
      <c r="CM15" s="1">
        <v>3</v>
      </c>
      <c r="CN15" s="1">
        <v>4</v>
      </c>
      <c r="CO15" s="1">
        <v>4</v>
      </c>
      <c r="CP15" s="1">
        <v>4</v>
      </c>
      <c r="CU15" s="1">
        <v>1</v>
      </c>
    </row>
    <row r="16" spans="1:99" x14ac:dyDescent="0.35">
      <c r="A16" s="1" t="s">
        <v>2176</v>
      </c>
      <c r="B16" s="1">
        <v>181211058</v>
      </c>
      <c r="C16" s="1">
        <v>0</v>
      </c>
      <c r="D16" s="1">
        <v>1</v>
      </c>
      <c r="E16" s="1">
        <v>0</v>
      </c>
      <c r="F16" s="1">
        <v>0</v>
      </c>
      <c r="G16" s="1">
        <v>0</v>
      </c>
      <c r="H16" s="1">
        <v>1</v>
      </c>
      <c r="I16" s="1">
        <v>0</v>
      </c>
      <c r="J16" s="1">
        <v>0</v>
      </c>
      <c r="K16" s="1">
        <v>1</v>
      </c>
      <c r="L16" s="1">
        <v>0</v>
      </c>
      <c r="M16" s="1">
        <v>0</v>
      </c>
      <c r="N16" s="1">
        <v>0</v>
      </c>
      <c r="O16" s="1">
        <v>0</v>
      </c>
      <c r="P16" s="1">
        <v>10</v>
      </c>
      <c r="Q16" s="1">
        <v>5</v>
      </c>
      <c r="R16" s="1">
        <v>5</v>
      </c>
      <c r="S16" s="1">
        <v>1</v>
      </c>
      <c r="T16" s="1">
        <v>1</v>
      </c>
      <c r="U16" s="1">
        <v>4</v>
      </c>
      <c r="V16" s="1">
        <v>3</v>
      </c>
      <c r="W16" s="1">
        <v>2</v>
      </c>
      <c r="X16" s="1">
        <v>3</v>
      </c>
      <c r="Y16" s="1">
        <v>4</v>
      </c>
      <c r="Z16" s="1">
        <v>4</v>
      </c>
      <c r="AA16" s="1">
        <v>4</v>
      </c>
      <c r="AC16" s="1">
        <v>2</v>
      </c>
      <c r="AE16" s="1">
        <v>8</v>
      </c>
      <c r="AF16" s="3">
        <v>5500000</v>
      </c>
      <c r="AG16" s="1">
        <v>13</v>
      </c>
      <c r="AT16" s="1" t="s">
        <v>75</v>
      </c>
      <c r="BP16" s="1">
        <v>3</v>
      </c>
      <c r="BQ16" s="1" t="s">
        <v>2177</v>
      </c>
      <c r="BR16" s="1" t="s">
        <v>2178</v>
      </c>
      <c r="BT16" s="1" t="s">
        <v>79</v>
      </c>
      <c r="BU16" s="1">
        <v>1</v>
      </c>
      <c r="BV16" s="1">
        <v>2</v>
      </c>
      <c r="BW16" s="1">
        <v>1</v>
      </c>
      <c r="BX16" s="1">
        <v>0</v>
      </c>
      <c r="BY16" s="1">
        <v>0</v>
      </c>
      <c r="BZ16" s="1">
        <v>0</v>
      </c>
      <c r="CA16" s="1">
        <v>0</v>
      </c>
      <c r="CB16" s="1">
        <v>0</v>
      </c>
      <c r="CC16" s="1">
        <v>0</v>
      </c>
      <c r="CD16" s="1">
        <v>0</v>
      </c>
      <c r="CE16" s="1">
        <v>0</v>
      </c>
      <c r="CF16" s="1">
        <v>0</v>
      </c>
      <c r="CG16" s="1">
        <v>0</v>
      </c>
      <c r="CH16" s="1">
        <v>0</v>
      </c>
      <c r="CI16" s="1">
        <v>0</v>
      </c>
      <c r="CJ16" s="1">
        <v>4</v>
      </c>
      <c r="CK16" s="1">
        <v>4</v>
      </c>
      <c r="CL16" s="1">
        <v>3</v>
      </c>
      <c r="CM16" s="1">
        <v>4</v>
      </c>
      <c r="CN16" s="1">
        <v>4</v>
      </c>
      <c r="CO16" s="1">
        <v>4</v>
      </c>
      <c r="CP16" s="1">
        <v>4</v>
      </c>
      <c r="CU16" s="1">
        <v>1</v>
      </c>
    </row>
    <row r="17" spans="1:99" x14ac:dyDescent="0.35">
      <c r="A17" s="1" t="s">
        <v>2179</v>
      </c>
      <c r="B17" s="1">
        <v>181211062</v>
      </c>
      <c r="C17" s="1">
        <v>0</v>
      </c>
      <c r="D17" s="1">
        <v>1</v>
      </c>
      <c r="E17" s="1">
        <v>0</v>
      </c>
      <c r="F17" s="1">
        <v>0</v>
      </c>
      <c r="G17" s="1">
        <v>0</v>
      </c>
      <c r="H17" s="1">
        <v>1</v>
      </c>
      <c r="I17" s="1">
        <v>0</v>
      </c>
      <c r="J17" s="1">
        <v>0</v>
      </c>
      <c r="K17" s="1">
        <v>1</v>
      </c>
      <c r="L17" s="1">
        <v>0</v>
      </c>
      <c r="M17" s="1">
        <v>0</v>
      </c>
      <c r="N17" s="1">
        <v>0</v>
      </c>
      <c r="O17" s="1">
        <v>0</v>
      </c>
      <c r="P17" s="1">
        <v>12</v>
      </c>
      <c r="Q17" s="1">
        <v>8</v>
      </c>
      <c r="R17" s="1">
        <v>5</v>
      </c>
      <c r="S17" s="1">
        <v>5</v>
      </c>
      <c r="T17" s="1">
        <v>1</v>
      </c>
      <c r="U17" s="1">
        <v>3</v>
      </c>
      <c r="V17" s="1">
        <v>3</v>
      </c>
      <c r="W17" s="1">
        <v>3</v>
      </c>
      <c r="X17" s="1">
        <v>3</v>
      </c>
      <c r="Y17" s="1">
        <v>3</v>
      </c>
      <c r="Z17" s="1">
        <v>3</v>
      </c>
      <c r="AA17" s="1">
        <v>3</v>
      </c>
      <c r="CU17" s="1">
        <v>2</v>
      </c>
    </row>
    <row r="18" spans="1:99" x14ac:dyDescent="0.35">
      <c r="A18" s="1" t="s">
        <v>3743</v>
      </c>
      <c r="B18" s="1">
        <v>171211049</v>
      </c>
    </row>
    <row r="19" spans="1:99" x14ac:dyDescent="0.35">
      <c r="A19" s="1" t="s">
        <v>3744</v>
      </c>
      <c r="B19" s="1">
        <v>181211002</v>
      </c>
    </row>
    <row r="20" spans="1:99" x14ac:dyDescent="0.35">
      <c r="A20" s="1" t="s">
        <v>3745</v>
      </c>
      <c r="B20" s="1">
        <v>181211003</v>
      </c>
    </row>
    <row r="21" spans="1:99" x14ac:dyDescent="0.35">
      <c r="A21" s="1" t="s">
        <v>3746</v>
      </c>
      <c r="B21" s="1">
        <v>181211004</v>
      </c>
    </row>
    <row r="22" spans="1:99" x14ac:dyDescent="0.35">
      <c r="A22" s="1" t="s">
        <v>3747</v>
      </c>
      <c r="B22" s="1">
        <v>181211008</v>
      </c>
    </row>
    <row r="23" spans="1:99" x14ac:dyDescent="0.35">
      <c r="A23" s="1" t="s">
        <v>3748</v>
      </c>
      <c r="B23" s="1">
        <v>181211014</v>
      </c>
    </row>
    <row r="24" spans="1:99" x14ac:dyDescent="0.35">
      <c r="A24" s="1" t="s">
        <v>3749</v>
      </c>
      <c r="B24" s="1">
        <v>181211015</v>
      </c>
    </row>
    <row r="25" spans="1:99" x14ac:dyDescent="0.35">
      <c r="A25" s="1" t="s">
        <v>3750</v>
      </c>
      <c r="B25" s="1">
        <v>181211016</v>
      </c>
    </row>
    <row r="26" spans="1:99" x14ac:dyDescent="0.35">
      <c r="A26" s="1" t="s">
        <v>3751</v>
      </c>
      <c r="B26" s="1">
        <v>181211017</v>
      </c>
    </row>
    <row r="27" spans="1:99" x14ac:dyDescent="0.35">
      <c r="A27" s="1" t="s">
        <v>3752</v>
      </c>
      <c r="B27" s="1">
        <v>181211023</v>
      </c>
    </row>
    <row r="28" spans="1:99" x14ac:dyDescent="0.35">
      <c r="A28" s="1" t="s">
        <v>3753</v>
      </c>
      <c r="B28" s="1">
        <v>181211025</v>
      </c>
    </row>
    <row r="29" spans="1:99" x14ac:dyDescent="0.35">
      <c r="A29" s="1" t="s">
        <v>3754</v>
      </c>
      <c r="B29" s="1">
        <v>181211026</v>
      </c>
    </row>
    <row r="30" spans="1:99" x14ac:dyDescent="0.35">
      <c r="A30" s="1" t="s">
        <v>3755</v>
      </c>
      <c r="B30" s="1">
        <v>181211027</v>
      </c>
    </row>
    <row r="31" spans="1:99" x14ac:dyDescent="0.35">
      <c r="A31" s="1" t="s">
        <v>3756</v>
      </c>
      <c r="B31" s="1">
        <v>181211032</v>
      </c>
    </row>
    <row r="32" spans="1:99" x14ac:dyDescent="0.35">
      <c r="A32" s="1" t="s">
        <v>3757</v>
      </c>
      <c r="B32" s="1">
        <v>181211037</v>
      </c>
    </row>
    <row r="33" spans="1:2" x14ac:dyDescent="0.35">
      <c r="A33" s="1" t="s">
        <v>3758</v>
      </c>
      <c r="B33" s="1">
        <v>181211038</v>
      </c>
    </row>
    <row r="34" spans="1:2" x14ac:dyDescent="0.35">
      <c r="A34" s="1" t="s">
        <v>3759</v>
      </c>
      <c r="B34" s="1">
        <v>181211039</v>
      </c>
    </row>
    <row r="35" spans="1:2" x14ac:dyDescent="0.35">
      <c r="A35" s="1" t="s">
        <v>3760</v>
      </c>
      <c r="B35" s="1">
        <v>181211041</v>
      </c>
    </row>
    <row r="36" spans="1:2" x14ac:dyDescent="0.35">
      <c r="A36" s="1" t="s">
        <v>3761</v>
      </c>
      <c r="B36" s="1">
        <v>181211043</v>
      </c>
    </row>
    <row r="37" spans="1:2" x14ac:dyDescent="0.35">
      <c r="A37" s="1" t="s">
        <v>3762</v>
      </c>
      <c r="B37" s="1">
        <v>181211046</v>
      </c>
    </row>
    <row r="38" spans="1:2" x14ac:dyDescent="0.35">
      <c r="A38" s="1" t="s">
        <v>3763</v>
      </c>
      <c r="B38" s="1">
        <v>181211049</v>
      </c>
    </row>
    <row r="39" spans="1:2" x14ac:dyDescent="0.35">
      <c r="A39" s="1" t="s">
        <v>3764</v>
      </c>
      <c r="B39" s="1">
        <v>181211050</v>
      </c>
    </row>
    <row r="40" spans="1:2" x14ac:dyDescent="0.35">
      <c r="A40" s="1" t="s">
        <v>3765</v>
      </c>
      <c r="B40" s="1">
        <v>181211051</v>
      </c>
    </row>
    <row r="41" spans="1:2" x14ac:dyDescent="0.35">
      <c r="A41" s="1" t="s">
        <v>3766</v>
      </c>
      <c r="B41" s="1">
        <v>181211054</v>
      </c>
    </row>
    <row r="42" spans="1:2" x14ac:dyDescent="0.35">
      <c r="A42" s="1" t="s">
        <v>3767</v>
      </c>
      <c r="B42" s="1">
        <v>181211055</v>
      </c>
    </row>
    <row r="43" spans="1:2" x14ac:dyDescent="0.35">
      <c r="A43" s="1" t="s">
        <v>3768</v>
      </c>
      <c r="B43" s="1">
        <v>181211056</v>
      </c>
    </row>
    <row r="44" spans="1:2" x14ac:dyDescent="0.35">
      <c r="A44" s="1" t="s">
        <v>3769</v>
      </c>
      <c r="B44" s="1">
        <v>181211057</v>
      </c>
    </row>
    <row r="45" spans="1:2" x14ac:dyDescent="0.35">
      <c r="A45" s="1" t="s">
        <v>3770</v>
      </c>
      <c r="B45" s="1">
        <v>181211059</v>
      </c>
    </row>
    <row r="46" spans="1:2" x14ac:dyDescent="0.35">
      <c r="A46" s="1" t="s">
        <v>3771</v>
      </c>
      <c r="B46" s="1">
        <v>181211060</v>
      </c>
    </row>
    <row r="47" spans="1:2" x14ac:dyDescent="0.35">
      <c r="A47" s="1" t="s">
        <v>3772</v>
      </c>
      <c r="B47" s="1">
        <v>181211061</v>
      </c>
    </row>
    <row r="48" spans="1:2" x14ac:dyDescent="0.35">
      <c r="A48" s="1" t="s">
        <v>3773</v>
      </c>
      <c r="B48" s="1">
        <v>181211063</v>
      </c>
    </row>
    <row r="49" spans="1:99" x14ac:dyDescent="0.35">
      <c r="A49" s="1" t="s">
        <v>3774</v>
      </c>
      <c r="B49" s="1">
        <v>181211064</v>
      </c>
    </row>
    <row r="50" spans="1:99" x14ac:dyDescent="0.35">
      <c r="A50" s="1" t="s">
        <v>3775</v>
      </c>
      <c r="B50" s="1">
        <v>181211065</v>
      </c>
    </row>
    <row r="51" spans="1:99" x14ac:dyDescent="0.35">
      <c r="A51" s="1" t="s">
        <v>3776</v>
      </c>
      <c r="B51" s="1">
        <v>181211066</v>
      </c>
    </row>
    <row r="52" spans="1:99" x14ac:dyDescent="0.35">
      <c r="A52" s="1" t="s">
        <v>4146</v>
      </c>
      <c r="B52" s="1">
        <v>171211005</v>
      </c>
      <c r="C52" s="1">
        <v>0</v>
      </c>
      <c r="D52" s="1">
        <v>1</v>
      </c>
      <c r="E52" s="1">
        <v>0</v>
      </c>
      <c r="F52" s="1">
        <v>0</v>
      </c>
      <c r="G52" s="1">
        <v>0</v>
      </c>
      <c r="H52" s="1">
        <v>0</v>
      </c>
      <c r="I52" s="1">
        <v>0</v>
      </c>
      <c r="J52" s="1">
        <v>0</v>
      </c>
      <c r="K52" s="1">
        <v>0</v>
      </c>
      <c r="L52" s="1">
        <v>0</v>
      </c>
      <c r="M52" s="1">
        <v>0</v>
      </c>
      <c r="N52" s="1">
        <v>0</v>
      </c>
      <c r="O52" s="1">
        <v>0</v>
      </c>
      <c r="P52" s="1">
        <v>85</v>
      </c>
      <c r="Q52" s="1">
        <v>10</v>
      </c>
      <c r="R52" s="1">
        <v>6</v>
      </c>
      <c r="S52" s="1">
        <v>1</v>
      </c>
      <c r="T52" s="1">
        <v>2</v>
      </c>
      <c r="U52" s="1">
        <v>4</v>
      </c>
      <c r="V52" s="1">
        <v>3</v>
      </c>
      <c r="W52" s="1">
        <v>3</v>
      </c>
      <c r="X52" s="1">
        <v>4</v>
      </c>
      <c r="Y52" s="1">
        <v>3</v>
      </c>
      <c r="Z52" s="1">
        <v>3</v>
      </c>
      <c r="AA52" s="1">
        <v>3</v>
      </c>
      <c r="AC52" s="1">
        <v>1</v>
      </c>
      <c r="AD52" s="1">
        <v>4</v>
      </c>
      <c r="AF52" s="3">
        <v>6200000</v>
      </c>
      <c r="AG52" s="1">
        <v>23</v>
      </c>
      <c r="BD52" s="1" t="s">
        <v>4147</v>
      </c>
      <c r="BP52" s="1">
        <v>3</v>
      </c>
      <c r="BQ52" s="1" t="s">
        <v>4148</v>
      </c>
      <c r="BR52" s="1" t="s">
        <v>4149</v>
      </c>
      <c r="BT52" s="1" t="s">
        <v>79</v>
      </c>
      <c r="BU52" s="1">
        <v>1</v>
      </c>
      <c r="BV52" s="1">
        <v>2</v>
      </c>
      <c r="BW52" s="1">
        <v>1</v>
      </c>
      <c r="BX52" s="1">
        <v>0</v>
      </c>
      <c r="BY52" s="1">
        <v>0</v>
      </c>
      <c r="BZ52" s="1">
        <v>0</v>
      </c>
      <c r="CA52" s="1">
        <v>0</v>
      </c>
      <c r="CB52" s="1">
        <v>0</v>
      </c>
      <c r="CC52" s="1">
        <v>0</v>
      </c>
      <c r="CD52" s="1">
        <v>0</v>
      </c>
      <c r="CE52" s="1">
        <v>0</v>
      </c>
      <c r="CF52" s="1">
        <v>0</v>
      </c>
      <c r="CG52" s="1">
        <v>0</v>
      </c>
      <c r="CH52" s="1">
        <v>0</v>
      </c>
      <c r="CI52" s="1">
        <v>0</v>
      </c>
      <c r="CJ52" s="1">
        <v>3</v>
      </c>
      <c r="CK52" s="1">
        <v>4</v>
      </c>
      <c r="CL52" s="1">
        <v>3</v>
      </c>
      <c r="CM52" s="1">
        <v>3</v>
      </c>
      <c r="CN52" s="1">
        <v>3</v>
      </c>
      <c r="CO52" s="1">
        <v>4</v>
      </c>
      <c r="CP52" s="1">
        <v>4</v>
      </c>
      <c r="CU52" s="1">
        <v>1</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0F29A1-865B-456A-A5CD-32824279FD77}">
  <dimension ref="A1:CU31"/>
  <sheetViews>
    <sheetView topLeftCell="T1" zoomScale="40" zoomScaleNormal="40" workbookViewId="0">
      <pane ySplit="1" topLeftCell="A2" activePane="bottomLeft" state="frozen"/>
      <selection pane="bottomLeft" activeCell="T17" sqref="T17"/>
    </sheetView>
  </sheetViews>
  <sheetFormatPr defaultColWidth="8.90625" defaultRowHeight="14.5" x14ac:dyDescent="0.35"/>
  <cols>
    <col min="1" max="1" width="43.08984375" style="1" bestFit="1" customWidth="1"/>
    <col min="2" max="2" width="11.7265625" style="1" bestFit="1" customWidth="1"/>
    <col min="3" max="9" width="76" style="1" bestFit="1" customWidth="1"/>
    <col min="10" max="10" width="76.7265625" style="1" bestFit="1" customWidth="1"/>
    <col min="11" max="11" width="76.26953125" style="1" bestFit="1" customWidth="1"/>
    <col min="12" max="14" width="76.7265625" style="1" bestFit="1" customWidth="1"/>
    <col min="15" max="15" width="80.08984375" style="1" bestFit="1" customWidth="1"/>
    <col min="16" max="16" width="129.453125" style="1" bestFit="1" customWidth="1"/>
    <col min="17" max="17" width="76" style="1" bestFit="1" customWidth="1"/>
    <col min="18" max="18" width="86.26953125" style="1" bestFit="1" customWidth="1"/>
    <col min="19" max="19" width="30.81640625" style="1" bestFit="1" customWidth="1"/>
    <col min="20" max="20" width="49" style="1" bestFit="1" customWidth="1"/>
    <col min="21" max="21" width="80.36328125" style="1" bestFit="1" customWidth="1"/>
    <col min="22" max="22" width="107.81640625" style="1" bestFit="1" customWidth="1"/>
    <col min="23" max="23" width="89.90625" style="1" bestFit="1" customWidth="1"/>
    <col min="24" max="24" width="108.08984375" style="1" bestFit="1" customWidth="1"/>
    <col min="25" max="25" width="87.1796875" style="1" bestFit="1" customWidth="1"/>
    <col min="26" max="26" width="89.90625" style="1" bestFit="1" customWidth="1"/>
    <col min="27" max="27" width="94.6328125" style="1" bestFit="1" customWidth="1"/>
    <col min="28" max="28" width="50.36328125" style="1" bestFit="1" customWidth="1"/>
    <col min="29" max="29" width="86.90625" style="1" bestFit="1" customWidth="1"/>
    <col min="30" max="30" width="51" style="1" bestFit="1" customWidth="1"/>
    <col min="31" max="31" width="59.1796875" style="1" bestFit="1" customWidth="1"/>
    <col min="32" max="32" width="142.81640625" style="1" bestFit="1" customWidth="1"/>
    <col min="33" max="33" width="47.1796875" style="1" bestFit="1" customWidth="1"/>
    <col min="34" max="35" width="54.90625" style="1" bestFit="1" customWidth="1"/>
    <col min="36" max="37" width="55.36328125" style="1" bestFit="1" customWidth="1"/>
    <col min="38" max="38" width="54.90625" style="1" bestFit="1" customWidth="1"/>
    <col min="39" max="52" width="55.36328125" style="1" bestFit="1" customWidth="1"/>
    <col min="53" max="55" width="54.90625" style="1" bestFit="1" customWidth="1"/>
    <col min="56" max="64" width="55.36328125" style="1" bestFit="1" customWidth="1"/>
    <col min="65" max="67" width="54.90625" style="1" bestFit="1" customWidth="1"/>
    <col min="68" max="68" width="69.6328125" style="1" bestFit="1" customWidth="1"/>
    <col min="69" max="69" width="79.453125" style="1" bestFit="1" customWidth="1"/>
    <col min="70" max="71" width="54.6328125" style="1" bestFit="1" customWidth="1"/>
    <col min="72" max="72" width="67.1796875" style="1" bestFit="1" customWidth="1"/>
    <col min="73" max="73" width="255.6328125" style="1" bestFit="1" customWidth="1"/>
    <col min="74" max="74" width="76.90625" style="1" bestFit="1" customWidth="1"/>
    <col min="75" max="75" width="138.08984375" style="1" bestFit="1" customWidth="1"/>
    <col min="76" max="83" width="138.54296875" style="1" bestFit="1" customWidth="1"/>
    <col min="84" max="84" width="139.453125" style="1" bestFit="1" customWidth="1"/>
    <col min="85" max="85" width="138.7265625" style="1" bestFit="1" customWidth="1"/>
    <col min="86" max="86" width="139.453125" style="1" bestFit="1" customWidth="1"/>
    <col min="87" max="87" width="142.6328125" style="1" bestFit="1" customWidth="1"/>
    <col min="88" max="88" width="90.54296875" style="1" bestFit="1" customWidth="1"/>
    <col min="89" max="89" width="118.08984375" style="1" bestFit="1" customWidth="1"/>
    <col min="90" max="90" width="100.08984375" style="1" bestFit="1" customWidth="1"/>
    <col min="91" max="91" width="118.26953125" style="1" bestFit="1" customWidth="1"/>
    <col min="92" max="92" width="97.36328125" style="1" bestFit="1" customWidth="1"/>
    <col min="93" max="93" width="100.08984375" style="1" bestFit="1" customWidth="1"/>
    <col min="94" max="94" width="104.90625" style="1" bestFit="1" customWidth="1"/>
    <col min="95" max="95" width="47.6328125" style="1" bestFit="1" customWidth="1"/>
    <col min="96" max="96" width="64.453125" style="1" bestFit="1" customWidth="1"/>
    <col min="97" max="97" width="29.6328125" style="1" bestFit="1" customWidth="1"/>
    <col min="98" max="98" width="30.54296875" style="1" bestFit="1" customWidth="1"/>
    <col min="99" max="99" width="62.1796875" style="1" bestFit="1" customWidth="1"/>
    <col min="100" max="16384" width="8.90625" style="1"/>
  </cols>
  <sheetData>
    <row r="1" spans="1:99" s="6" customFormat="1" x14ac:dyDescent="0.35">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6" t="s">
        <v>15</v>
      </c>
      <c r="Q1" s="6" t="s">
        <v>16</v>
      </c>
      <c r="R1" s="6" t="s">
        <v>17</v>
      </c>
      <c r="S1" s="6" t="s">
        <v>18</v>
      </c>
      <c r="T1" s="6" t="s">
        <v>19</v>
      </c>
      <c r="U1" s="6" t="s">
        <v>20</v>
      </c>
      <c r="V1" s="6" t="s">
        <v>21</v>
      </c>
      <c r="W1" s="6" t="s">
        <v>22</v>
      </c>
      <c r="X1" s="6" t="s">
        <v>23</v>
      </c>
      <c r="Y1" s="6" t="s">
        <v>24</v>
      </c>
      <c r="Z1" s="6" t="s">
        <v>25</v>
      </c>
      <c r="AA1" s="6" t="s">
        <v>26</v>
      </c>
      <c r="AB1" s="6" t="s">
        <v>27</v>
      </c>
      <c r="AC1" s="6" t="s">
        <v>28</v>
      </c>
      <c r="AD1" s="6" t="s">
        <v>29</v>
      </c>
      <c r="AE1" s="6" t="s">
        <v>30</v>
      </c>
      <c r="AF1" s="6" t="s">
        <v>31</v>
      </c>
      <c r="AG1" s="6" t="s">
        <v>32</v>
      </c>
      <c r="AH1" s="6" t="s">
        <v>33</v>
      </c>
      <c r="AI1" s="6" t="s">
        <v>33</v>
      </c>
      <c r="AJ1" s="6" t="s">
        <v>34</v>
      </c>
      <c r="AK1" s="6" t="s">
        <v>34</v>
      </c>
      <c r="AL1" s="6" t="s">
        <v>33</v>
      </c>
      <c r="AM1" s="6" t="s">
        <v>34</v>
      </c>
      <c r="AN1" s="6" t="s">
        <v>34</v>
      </c>
      <c r="AO1" s="6" t="s">
        <v>34</v>
      </c>
      <c r="AP1" s="6" t="s">
        <v>34</v>
      </c>
      <c r="AQ1" s="6" t="s">
        <v>34</v>
      </c>
      <c r="AR1" s="6" t="s">
        <v>34</v>
      </c>
      <c r="AS1" s="6" t="s">
        <v>34</v>
      </c>
      <c r="AT1" s="6" t="s">
        <v>34</v>
      </c>
      <c r="AU1" s="6" t="s">
        <v>34</v>
      </c>
      <c r="AV1" s="6" t="s">
        <v>34</v>
      </c>
      <c r="AW1" s="6" t="s">
        <v>34</v>
      </c>
      <c r="AX1" s="6" t="s">
        <v>34</v>
      </c>
      <c r="AY1" s="6" t="s">
        <v>34</v>
      </c>
      <c r="AZ1" s="6" t="s">
        <v>34</v>
      </c>
      <c r="BA1" s="6" t="s">
        <v>33</v>
      </c>
      <c r="BB1" s="6" t="s">
        <v>33</v>
      </c>
      <c r="BC1" s="6" t="s">
        <v>33</v>
      </c>
      <c r="BD1" s="6" t="s">
        <v>34</v>
      </c>
      <c r="BE1" s="6" t="s">
        <v>34</v>
      </c>
      <c r="BF1" s="6" t="s">
        <v>34</v>
      </c>
      <c r="BG1" s="6" t="s">
        <v>34</v>
      </c>
      <c r="BH1" s="6" t="s">
        <v>34</v>
      </c>
      <c r="BI1" s="6" t="s">
        <v>34</v>
      </c>
      <c r="BJ1" s="6" t="s">
        <v>34</v>
      </c>
      <c r="BK1" s="6" t="s">
        <v>34</v>
      </c>
      <c r="BL1" s="6" t="s">
        <v>34</v>
      </c>
      <c r="BM1" s="6" t="s">
        <v>33</v>
      </c>
      <c r="BN1" s="6" t="s">
        <v>33</v>
      </c>
      <c r="BO1" s="6" t="s">
        <v>33</v>
      </c>
      <c r="BP1" s="6" t="s">
        <v>35</v>
      </c>
      <c r="BQ1" s="6" t="s">
        <v>36</v>
      </c>
      <c r="BR1" s="6" t="s">
        <v>37</v>
      </c>
      <c r="BS1" s="6" t="s">
        <v>38</v>
      </c>
      <c r="BT1" s="6" t="s">
        <v>39</v>
      </c>
      <c r="BU1" s="6" t="s">
        <v>40</v>
      </c>
      <c r="BV1" s="6" t="s">
        <v>41</v>
      </c>
      <c r="BW1" s="6" t="s">
        <v>42</v>
      </c>
      <c r="BX1" s="6" t="s">
        <v>43</v>
      </c>
      <c r="BY1" s="6" t="s">
        <v>44</v>
      </c>
      <c r="BZ1" s="6" t="s">
        <v>45</v>
      </c>
      <c r="CA1" s="6" t="s">
        <v>46</v>
      </c>
      <c r="CB1" s="6" t="s">
        <v>47</v>
      </c>
      <c r="CC1" s="6" t="s">
        <v>48</v>
      </c>
      <c r="CD1" s="6" t="s">
        <v>49</v>
      </c>
      <c r="CE1" s="6" t="s">
        <v>50</v>
      </c>
      <c r="CF1" s="6" t="s">
        <v>51</v>
      </c>
      <c r="CG1" s="6" t="s">
        <v>52</v>
      </c>
      <c r="CH1" s="6" t="s">
        <v>53</v>
      </c>
      <c r="CI1" s="6" t="s">
        <v>54</v>
      </c>
      <c r="CJ1" s="6" t="s">
        <v>55</v>
      </c>
      <c r="CK1" s="6" t="s">
        <v>56</v>
      </c>
      <c r="CL1" s="6" t="s">
        <v>57</v>
      </c>
      <c r="CM1" s="6" t="s">
        <v>58</v>
      </c>
      <c r="CN1" s="6" t="s">
        <v>59</v>
      </c>
      <c r="CO1" s="6" t="s">
        <v>60</v>
      </c>
      <c r="CP1" s="6" t="s">
        <v>61</v>
      </c>
      <c r="CQ1" s="6" t="s">
        <v>62</v>
      </c>
      <c r="CR1" s="6" t="s">
        <v>63</v>
      </c>
      <c r="CS1" s="6" t="s">
        <v>64</v>
      </c>
      <c r="CT1" s="6" t="s">
        <v>65</v>
      </c>
      <c r="CU1" s="6" t="s">
        <v>66</v>
      </c>
    </row>
    <row r="2" spans="1:99" x14ac:dyDescent="0.35">
      <c r="A2" s="1" t="s">
        <v>2180</v>
      </c>
      <c r="B2" s="1">
        <v>171364001</v>
      </c>
      <c r="S2" s="1">
        <v>1</v>
      </c>
      <c r="T2" s="1">
        <v>6</v>
      </c>
      <c r="U2" s="1">
        <v>4</v>
      </c>
      <c r="V2" s="1">
        <v>4</v>
      </c>
      <c r="W2" s="1">
        <v>3</v>
      </c>
      <c r="X2" s="1">
        <v>4</v>
      </c>
      <c r="Y2" s="1">
        <v>4</v>
      </c>
      <c r="Z2" s="1">
        <v>4</v>
      </c>
      <c r="AA2" s="1">
        <v>4</v>
      </c>
      <c r="AC2" s="1">
        <v>1</v>
      </c>
      <c r="AD2" s="1">
        <v>0</v>
      </c>
      <c r="AE2" s="1">
        <v>0</v>
      </c>
      <c r="AF2" s="3">
        <v>5200000</v>
      </c>
      <c r="AG2" s="1">
        <v>13</v>
      </c>
      <c r="AT2" s="1" t="s">
        <v>392</v>
      </c>
      <c r="BP2" s="1">
        <v>3</v>
      </c>
      <c r="BQ2" s="1" t="s">
        <v>2181</v>
      </c>
      <c r="BR2" s="1" t="s">
        <v>2182</v>
      </c>
      <c r="BS2" s="1" t="s">
        <v>2183</v>
      </c>
      <c r="BT2" s="1" t="s">
        <v>73</v>
      </c>
      <c r="BU2" s="1">
        <v>2</v>
      </c>
      <c r="BV2" s="1">
        <v>2</v>
      </c>
      <c r="BW2" s="1">
        <v>1</v>
      </c>
      <c r="BX2" s="1">
        <v>0</v>
      </c>
      <c r="BY2" s="1">
        <v>0</v>
      </c>
      <c r="BZ2" s="1">
        <v>0</v>
      </c>
      <c r="CA2" s="1">
        <v>0</v>
      </c>
      <c r="CB2" s="1">
        <v>0</v>
      </c>
      <c r="CC2" s="1">
        <v>0</v>
      </c>
      <c r="CD2" s="1">
        <v>0</v>
      </c>
      <c r="CE2" s="1">
        <v>1</v>
      </c>
      <c r="CF2" s="1">
        <v>1</v>
      </c>
      <c r="CG2" s="1">
        <v>0</v>
      </c>
      <c r="CH2" s="1">
        <v>0</v>
      </c>
      <c r="CI2" s="1">
        <v>0</v>
      </c>
      <c r="CJ2" s="1">
        <v>4</v>
      </c>
      <c r="CK2" s="1">
        <v>4</v>
      </c>
      <c r="CL2" s="1">
        <v>4</v>
      </c>
      <c r="CM2" s="1">
        <v>4</v>
      </c>
      <c r="CN2" s="1">
        <v>4</v>
      </c>
      <c r="CO2" s="1">
        <v>4</v>
      </c>
      <c r="CP2" s="1">
        <v>4</v>
      </c>
      <c r="CU2" s="1">
        <v>4</v>
      </c>
    </row>
    <row r="3" spans="1:99" x14ac:dyDescent="0.35">
      <c r="A3" s="1" t="s">
        <v>2184</v>
      </c>
      <c r="B3" s="1">
        <v>171364002</v>
      </c>
      <c r="C3" s="1">
        <v>0</v>
      </c>
      <c r="D3" s="1">
        <v>1</v>
      </c>
      <c r="E3" s="1">
        <v>0</v>
      </c>
      <c r="F3" s="1">
        <v>0</v>
      </c>
      <c r="G3" s="1">
        <v>0</v>
      </c>
      <c r="H3" s="1">
        <v>0</v>
      </c>
      <c r="I3" s="1">
        <v>0</v>
      </c>
      <c r="J3" s="1">
        <v>0</v>
      </c>
      <c r="K3" s="1">
        <v>1</v>
      </c>
      <c r="L3" s="1">
        <v>0</v>
      </c>
      <c r="M3" s="1">
        <v>0</v>
      </c>
      <c r="N3" s="1">
        <v>0</v>
      </c>
      <c r="O3" s="1">
        <v>0</v>
      </c>
      <c r="P3" s="1" t="s">
        <v>117</v>
      </c>
      <c r="Q3" s="1" t="s">
        <v>1316</v>
      </c>
      <c r="R3" s="1">
        <v>3</v>
      </c>
      <c r="S3" s="1">
        <v>1</v>
      </c>
      <c r="T3" s="1">
        <v>1</v>
      </c>
      <c r="U3" s="1">
        <v>4</v>
      </c>
      <c r="V3" s="1">
        <v>4</v>
      </c>
      <c r="W3" s="1">
        <v>2</v>
      </c>
      <c r="X3" s="1">
        <v>3</v>
      </c>
      <c r="Y3" s="1">
        <v>3</v>
      </c>
      <c r="Z3" s="1">
        <v>3</v>
      </c>
      <c r="AA3" s="1">
        <v>4</v>
      </c>
      <c r="AC3" s="1">
        <v>2</v>
      </c>
      <c r="AE3" s="1">
        <v>9</v>
      </c>
      <c r="AF3" s="3">
        <v>4500000</v>
      </c>
      <c r="AG3" s="1">
        <v>13</v>
      </c>
      <c r="AT3" s="1" t="s">
        <v>1414</v>
      </c>
      <c r="BP3" s="1">
        <v>2</v>
      </c>
      <c r="BQ3" s="1" t="s">
        <v>2185</v>
      </c>
      <c r="BR3" s="1" t="s">
        <v>2186</v>
      </c>
      <c r="BS3" s="1" t="s">
        <v>2187</v>
      </c>
      <c r="BT3" s="1" t="s">
        <v>79</v>
      </c>
      <c r="BU3" s="1">
        <v>2</v>
      </c>
      <c r="BV3" s="1">
        <v>3</v>
      </c>
      <c r="BW3" s="1">
        <v>1</v>
      </c>
      <c r="BX3" s="1">
        <v>0</v>
      </c>
      <c r="BY3" s="1">
        <v>0</v>
      </c>
      <c r="BZ3" s="1">
        <v>0</v>
      </c>
      <c r="CA3" s="1">
        <v>0</v>
      </c>
      <c r="CB3" s="1">
        <v>0</v>
      </c>
      <c r="CC3" s="1">
        <v>0</v>
      </c>
      <c r="CD3" s="1">
        <v>0</v>
      </c>
      <c r="CE3" s="1">
        <v>0</v>
      </c>
      <c r="CF3" s="1">
        <v>0</v>
      </c>
      <c r="CG3" s="1">
        <v>0</v>
      </c>
      <c r="CH3" s="1">
        <v>0</v>
      </c>
      <c r="CI3" s="1" t="s">
        <v>2188</v>
      </c>
      <c r="CJ3" s="1">
        <v>4</v>
      </c>
      <c r="CK3" s="1">
        <v>3</v>
      </c>
      <c r="CL3" s="1">
        <v>3</v>
      </c>
      <c r="CM3" s="1">
        <v>3</v>
      </c>
      <c r="CN3" s="1">
        <v>3</v>
      </c>
      <c r="CO3" s="1">
        <v>3</v>
      </c>
      <c r="CP3" s="1">
        <v>4</v>
      </c>
      <c r="CU3" s="1">
        <v>3</v>
      </c>
    </row>
    <row r="4" spans="1:99" x14ac:dyDescent="0.35">
      <c r="A4" s="1" t="s">
        <v>2189</v>
      </c>
      <c r="B4" s="1">
        <v>171364003</v>
      </c>
      <c r="C4" s="1">
        <v>0</v>
      </c>
      <c r="D4" s="1">
        <v>1</v>
      </c>
      <c r="E4" s="1">
        <v>0</v>
      </c>
      <c r="F4" s="1">
        <v>0</v>
      </c>
      <c r="G4" s="1">
        <v>0</v>
      </c>
      <c r="H4" s="1">
        <v>0</v>
      </c>
      <c r="I4" s="1">
        <v>0</v>
      </c>
      <c r="J4" s="1">
        <v>0</v>
      </c>
      <c r="K4" s="1">
        <v>1</v>
      </c>
      <c r="L4" s="1">
        <v>0</v>
      </c>
      <c r="M4" s="1">
        <v>0</v>
      </c>
      <c r="N4" s="1">
        <v>0</v>
      </c>
      <c r="O4" s="1">
        <v>0</v>
      </c>
      <c r="P4" s="1">
        <v>11</v>
      </c>
      <c r="Q4" s="1">
        <v>4</v>
      </c>
      <c r="R4" s="1">
        <v>3</v>
      </c>
      <c r="S4" s="1">
        <v>5</v>
      </c>
      <c r="T4" s="1">
        <v>1</v>
      </c>
      <c r="U4" s="1">
        <v>3</v>
      </c>
      <c r="V4" s="1">
        <v>3</v>
      </c>
      <c r="W4" s="1">
        <v>3</v>
      </c>
      <c r="X4" s="1">
        <v>3</v>
      </c>
      <c r="Y4" s="1">
        <v>3</v>
      </c>
      <c r="Z4" s="1">
        <v>3</v>
      </c>
      <c r="AA4" s="1">
        <v>3</v>
      </c>
      <c r="CU4" s="1">
        <v>4</v>
      </c>
    </row>
    <row r="5" spans="1:99" x14ac:dyDescent="0.35">
      <c r="A5" s="1" t="s">
        <v>2190</v>
      </c>
      <c r="B5" s="1">
        <v>171364005</v>
      </c>
      <c r="S5" s="1">
        <v>3</v>
      </c>
      <c r="T5" s="1">
        <v>1</v>
      </c>
      <c r="U5" s="1">
        <v>4</v>
      </c>
      <c r="V5" s="1">
        <v>3</v>
      </c>
      <c r="W5" s="1">
        <v>2</v>
      </c>
      <c r="X5" s="1">
        <v>3</v>
      </c>
      <c r="Y5" s="1">
        <v>3</v>
      </c>
      <c r="Z5" s="1">
        <v>4</v>
      </c>
      <c r="AA5" s="1">
        <v>4</v>
      </c>
      <c r="AB5" s="1">
        <v>1</v>
      </c>
      <c r="AC5" s="1">
        <v>2</v>
      </c>
      <c r="AE5" s="1">
        <v>0</v>
      </c>
      <c r="AF5" s="3">
        <v>9000000</v>
      </c>
      <c r="AG5" s="1">
        <v>13</v>
      </c>
      <c r="AT5" s="1" t="s">
        <v>354</v>
      </c>
      <c r="BP5" s="1">
        <v>4</v>
      </c>
      <c r="BT5" s="1" t="s">
        <v>107</v>
      </c>
      <c r="BU5" s="1">
        <v>5</v>
      </c>
      <c r="BV5" s="1">
        <v>2</v>
      </c>
      <c r="BW5" s="1">
        <v>0</v>
      </c>
      <c r="BX5" s="1">
        <v>0</v>
      </c>
      <c r="BY5" s="1">
        <v>0</v>
      </c>
      <c r="BZ5" s="1">
        <v>0</v>
      </c>
      <c r="CA5" s="1">
        <v>0</v>
      </c>
      <c r="CB5" s="1">
        <v>0</v>
      </c>
      <c r="CC5" s="1">
        <v>0</v>
      </c>
      <c r="CD5" s="1">
        <v>0</v>
      </c>
      <c r="CE5" s="1">
        <v>0</v>
      </c>
      <c r="CF5" s="1">
        <v>0</v>
      </c>
      <c r="CG5" s="1">
        <v>0</v>
      </c>
      <c r="CH5" s="1">
        <v>0</v>
      </c>
      <c r="CI5" s="1" t="s">
        <v>2191</v>
      </c>
      <c r="CJ5" s="1">
        <v>4</v>
      </c>
      <c r="CK5" s="1">
        <v>1</v>
      </c>
      <c r="CL5" s="1">
        <v>3</v>
      </c>
      <c r="CM5" s="1">
        <v>4</v>
      </c>
      <c r="CN5" s="1">
        <v>4</v>
      </c>
      <c r="CO5" s="1">
        <v>4</v>
      </c>
      <c r="CP5" s="1">
        <v>4</v>
      </c>
      <c r="CU5" s="1">
        <v>1</v>
      </c>
    </row>
    <row r="6" spans="1:99" x14ac:dyDescent="0.35">
      <c r="A6" s="1" t="s">
        <v>2192</v>
      </c>
      <c r="B6" s="1">
        <v>171364006</v>
      </c>
      <c r="C6" s="1">
        <v>1</v>
      </c>
      <c r="D6" s="1">
        <v>1</v>
      </c>
      <c r="E6" s="1">
        <v>0</v>
      </c>
      <c r="F6" s="1">
        <v>0</v>
      </c>
      <c r="G6" s="1">
        <v>0</v>
      </c>
      <c r="H6" s="1">
        <v>1</v>
      </c>
      <c r="I6" s="1">
        <v>0</v>
      </c>
      <c r="J6" s="1">
        <v>0</v>
      </c>
      <c r="K6" s="1">
        <v>0</v>
      </c>
      <c r="L6" s="1">
        <v>0</v>
      </c>
      <c r="M6" s="1">
        <v>0</v>
      </c>
      <c r="N6" s="1">
        <v>0</v>
      </c>
      <c r="O6" s="1">
        <v>0</v>
      </c>
      <c r="P6" s="1">
        <v>150</v>
      </c>
      <c r="Q6" s="1">
        <v>15</v>
      </c>
      <c r="R6" s="1">
        <v>15</v>
      </c>
      <c r="S6" s="1">
        <v>1</v>
      </c>
      <c r="T6" s="1">
        <v>1</v>
      </c>
      <c r="U6" s="1">
        <v>4</v>
      </c>
      <c r="V6" s="1">
        <v>3</v>
      </c>
      <c r="W6" s="1">
        <v>3</v>
      </c>
      <c r="X6" s="1">
        <v>3</v>
      </c>
      <c r="Y6" s="1">
        <v>3</v>
      </c>
      <c r="Z6" s="1">
        <v>3</v>
      </c>
      <c r="AA6" s="1">
        <v>3</v>
      </c>
      <c r="AC6" s="1">
        <v>2</v>
      </c>
      <c r="AE6" s="1">
        <v>8</v>
      </c>
      <c r="AF6" s="3">
        <v>5000000</v>
      </c>
      <c r="AG6" s="1">
        <v>13</v>
      </c>
      <c r="AT6" s="1" t="s">
        <v>83</v>
      </c>
      <c r="BP6" s="1">
        <v>3</v>
      </c>
      <c r="BQ6" s="1" t="s">
        <v>2193</v>
      </c>
      <c r="BR6" s="1" t="s">
        <v>2194</v>
      </c>
      <c r="BS6" s="1" t="s">
        <v>2195</v>
      </c>
      <c r="BT6" s="1" t="s">
        <v>79</v>
      </c>
      <c r="BU6" s="1">
        <v>2</v>
      </c>
      <c r="BV6" s="1">
        <v>2</v>
      </c>
      <c r="BW6" s="1">
        <v>0</v>
      </c>
      <c r="BX6" s="1">
        <v>1</v>
      </c>
      <c r="BY6" s="1">
        <v>0</v>
      </c>
      <c r="BZ6" s="1">
        <v>0</v>
      </c>
      <c r="CA6" s="1">
        <v>0</v>
      </c>
      <c r="CB6" s="1">
        <v>0</v>
      </c>
      <c r="CC6" s="1">
        <v>0</v>
      </c>
      <c r="CD6" s="1">
        <v>0</v>
      </c>
      <c r="CE6" s="1">
        <v>0</v>
      </c>
      <c r="CF6" s="1">
        <v>0</v>
      </c>
      <c r="CG6" s="1">
        <v>0</v>
      </c>
      <c r="CH6" s="1">
        <v>0</v>
      </c>
      <c r="CI6" s="1">
        <v>0</v>
      </c>
      <c r="CJ6" s="1">
        <v>3</v>
      </c>
      <c r="CK6" s="1">
        <v>3</v>
      </c>
      <c r="CL6" s="1">
        <v>2</v>
      </c>
      <c r="CM6" s="1">
        <v>3</v>
      </c>
      <c r="CN6" s="1">
        <v>3</v>
      </c>
      <c r="CO6" s="1">
        <v>3</v>
      </c>
      <c r="CP6" s="1">
        <v>3</v>
      </c>
      <c r="CU6" s="1">
        <v>1</v>
      </c>
    </row>
    <row r="7" spans="1:99" x14ac:dyDescent="0.35">
      <c r="A7" s="1" t="s">
        <v>2196</v>
      </c>
      <c r="B7" s="1">
        <v>171364007</v>
      </c>
      <c r="C7" s="1">
        <v>0</v>
      </c>
      <c r="D7" s="1">
        <v>0</v>
      </c>
      <c r="E7" s="1">
        <v>1</v>
      </c>
      <c r="F7" s="1">
        <v>0</v>
      </c>
      <c r="G7" s="1">
        <v>0</v>
      </c>
      <c r="H7" s="1">
        <v>0</v>
      </c>
      <c r="I7" s="1">
        <v>0</v>
      </c>
      <c r="J7" s="1">
        <v>0</v>
      </c>
      <c r="K7" s="1">
        <v>0</v>
      </c>
      <c r="L7" s="1">
        <v>0</v>
      </c>
      <c r="M7" s="1">
        <v>0</v>
      </c>
      <c r="N7" s="1">
        <v>0</v>
      </c>
      <c r="O7" s="1">
        <v>0</v>
      </c>
      <c r="P7" s="1">
        <v>50</v>
      </c>
      <c r="Q7" s="1">
        <v>25</v>
      </c>
      <c r="R7" s="1">
        <v>10</v>
      </c>
      <c r="S7" s="1">
        <v>1</v>
      </c>
      <c r="T7" s="1">
        <v>1</v>
      </c>
      <c r="U7" s="1">
        <v>2</v>
      </c>
      <c r="V7" s="1">
        <v>3</v>
      </c>
      <c r="W7" s="1">
        <v>4</v>
      </c>
      <c r="X7" s="1">
        <v>3</v>
      </c>
      <c r="Y7" s="1">
        <v>3</v>
      </c>
      <c r="Z7" s="1">
        <v>3</v>
      </c>
      <c r="AA7" s="1">
        <v>2</v>
      </c>
      <c r="AC7" s="1">
        <v>2</v>
      </c>
      <c r="AE7" s="1">
        <v>3</v>
      </c>
      <c r="AF7" s="3">
        <v>5000000</v>
      </c>
      <c r="AG7" s="1">
        <v>11</v>
      </c>
      <c r="AR7" s="1" t="s">
        <v>130</v>
      </c>
      <c r="BP7" s="1">
        <v>3</v>
      </c>
      <c r="BQ7" s="1" t="s">
        <v>2197</v>
      </c>
      <c r="BR7" s="1" t="s">
        <v>2198</v>
      </c>
      <c r="BS7" s="1" t="s">
        <v>2199</v>
      </c>
      <c r="BT7" s="1" t="s">
        <v>73</v>
      </c>
      <c r="BU7" s="1">
        <v>1</v>
      </c>
      <c r="BV7" s="1">
        <v>2</v>
      </c>
      <c r="BW7" s="1">
        <v>1</v>
      </c>
      <c r="BX7" s="1">
        <v>0</v>
      </c>
      <c r="BY7" s="1">
        <v>0</v>
      </c>
      <c r="BZ7" s="1">
        <v>0</v>
      </c>
      <c r="CA7" s="1">
        <v>0</v>
      </c>
      <c r="CB7" s="1">
        <v>0</v>
      </c>
      <c r="CC7" s="1">
        <v>0</v>
      </c>
      <c r="CD7" s="1">
        <v>0</v>
      </c>
      <c r="CE7" s="1">
        <v>0</v>
      </c>
      <c r="CF7" s="1">
        <v>0</v>
      </c>
      <c r="CG7" s="1">
        <v>0</v>
      </c>
      <c r="CH7" s="1">
        <v>0</v>
      </c>
      <c r="CI7" s="1">
        <v>0</v>
      </c>
      <c r="CJ7" s="1">
        <v>3</v>
      </c>
      <c r="CK7" s="1">
        <v>3</v>
      </c>
      <c r="CL7" s="1">
        <v>4</v>
      </c>
      <c r="CM7" s="1">
        <v>3</v>
      </c>
      <c r="CN7" s="1">
        <v>3</v>
      </c>
      <c r="CO7" s="1">
        <v>3</v>
      </c>
      <c r="CP7" s="1">
        <v>4</v>
      </c>
      <c r="CU7" s="1">
        <v>1</v>
      </c>
    </row>
    <row r="8" spans="1:99" x14ac:dyDescent="0.35">
      <c r="A8" s="1" t="s">
        <v>2200</v>
      </c>
      <c r="B8" s="1">
        <v>171364008</v>
      </c>
      <c r="C8" s="1">
        <v>0</v>
      </c>
      <c r="D8" s="1">
        <v>1</v>
      </c>
      <c r="E8" s="1">
        <v>0</v>
      </c>
      <c r="F8" s="1">
        <v>0</v>
      </c>
      <c r="G8" s="1">
        <v>0</v>
      </c>
      <c r="H8" s="1">
        <v>1</v>
      </c>
      <c r="I8" s="1">
        <v>0</v>
      </c>
      <c r="J8" s="1">
        <v>0</v>
      </c>
      <c r="K8" s="1">
        <v>1</v>
      </c>
      <c r="L8" s="1">
        <v>0</v>
      </c>
      <c r="M8" s="1">
        <v>0</v>
      </c>
      <c r="N8" s="1">
        <v>0</v>
      </c>
      <c r="O8" s="1">
        <v>0</v>
      </c>
      <c r="P8" s="1">
        <v>30</v>
      </c>
      <c r="Q8" s="1">
        <v>10</v>
      </c>
      <c r="R8" s="1">
        <v>5</v>
      </c>
      <c r="S8" s="1">
        <v>1</v>
      </c>
      <c r="T8" s="1">
        <v>3</v>
      </c>
      <c r="U8" s="1">
        <v>4</v>
      </c>
      <c r="V8" s="1">
        <v>3</v>
      </c>
      <c r="W8" s="1">
        <v>3</v>
      </c>
      <c r="X8" s="1">
        <v>3</v>
      </c>
      <c r="Y8" s="1">
        <v>3</v>
      </c>
      <c r="Z8" s="1">
        <v>3</v>
      </c>
      <c r="AA8" s="1">
        <v>3</v>
      </c>
      <c r="AC8" s="1">
        <v>2</v>
      </c>
      <c r="AE8" s="1">
        <v>10</v>
      </c>
      <c r="AF8" s="3">
        <v>4000000</v>
      </c>
      <c r="AG8" s="1">
        <v>13</v>
      </c>
      <c r="AT8" s="1" t="s">
        <v>83</v>
      </c>
      <c r="BP8" s="1">
        <v>3</v>
      </c>
      <c r="BQ8" s="1" t="s">
        <v>2201</v>
      </c>
      <c r="BR8" s="1" t="s">
        <v>2202</v>
      </c>
      <c r="BS8" s="1" t="s">
        <v>2195</v>
      </c>
      <c r="BT8" s="1" t="s">
        <v>79</v>
      </c>
      <c r="BU8" s="1">
        <v>3</v>
      </c>
      <c r="BV8" s="1">
        <v>2</v>
      </c>
      <c r="BW8" s="1">
        <v>0</v>
      </c>
      <c r="BX8" s="1">
        <v>0</v>
      </c>
      <c r="BY8" s="1">
        <v>1</v>
      </c>
      <c r="BZ8" s="1">
        <v>0</v>
      </c>
      <c r="CA8" s="1">
        <v>0</v>
      </c>
      <c r="CB8" s="1">
        <v>0</v>
      </c>
      <c r="CC8" s="1">
        <v>1</v>
      </c>
      <c r="CD8" s="1">
        <v>0</v>
      </c>
      <c r="CE8" s="1">
        <v>0</v>
      </c>
      <c r="CF8" s="1">
        <v>0</v>
      </c>
      <c r="CG8" s="1">
        <v>1</v>
      </c>
      <c r="CH8" s="1">
        <v>0</v>
      </c>
      <c r="CI8" s="1">
        <v>0</v>
      </c>
      <c r="CJ8" s="1">
        <v>4</v>
      </c>
      <c r="CK8" s="1">
        <v>3</v>
      </c>
      <c r="CL8" s="1">
        <v>3</v>
      </c>
      <c r="CM8" s="1">
        <v>3</v>
      </c>
      <c r="CN8" s="1">
        <v>4</v>
      </c>
      <c r="CO8" s="1">
        <v>4</v>
      </c>
      <c r="CP8" s="1">
        <v>4</v>
      </c>
      <c r="CU8" s="1">
        <v>1</v>
      </c>
    </row>
    <row r="9" spans="1:99" x14ac:dyDescent="0.35">
      <c r="A9" s="1" t="s">
        <v>2203</v>
      </c>
      <c r="B9" s="1">
        <v>171364009</v>
      </c>
      <c r="C9" s="1">
        <v>0</v>
      </c>
      <c r="D9" s="1">
        <v>1</v>
      </c>
      <c r="E9" s="1">
        <v>0</v>
      </c>
      <c r="F9" s="1">
        <v>0</v>
      </c>
      <c r="G9" s="1">
        <v>0</v>
      </c>
      <c r="H9" s="1">
        <v>0</v>
      </c>
      <c r="I9" s="1">
        <v>0</v>
      </c>
      <c r="J9" s="1">
        <v>0</v>
      </c>
      <c r="K9" s="1">
        <v>0</v>
      </c>
      <c r="L9" s="1">
        <v>0</v>
      </c>
      <c r="M9" s="1">
        <v>0</v>
      </c>
      <c r="N9" s="1">
        <v>0</v>
      </c>
      <c r="O9" s="1">
        <v>0</v>
      </c>
      <c r="P9" s="1" t="s">
        <v>186</v>
      </c>
      <c r="Q9" s="1">
        <v>6</v>
      </c>
      <c r="R9" s="1">
        <v>2</v>
      </c>
      <c r="S9" s="1">
        <v>1</v>
      </c>
      <c r="T9" s="1">
        <v>1</v>
      </c>
      <c r="U9" s="1">
        <v>4</v>
      </c>
      <c r="V9" s="1">
        <v>3</v>
      </c>
      <c r="W9" s="1">
        <v>3</v>
      </c>
      <c r="X9" s="1">
        <v>4</v>
      </c>
      <c r="Y9" s="1">
        <v>3</v>
      </c>
      <c r="Z9" s="1">
        <v>3</v>
      </c>
      <c r="AA9" s="1">
        <v>3</v>
      </c>
      <c r="AC9" s="1">
        <v>2</v>
      </c>
      <c r="AE9" s="1">
        <v>5</v>
      </c>
      <c r="AF9" s="3">
        <v>8000000</v>
      </c>
      <c r="AG9" s="1">
        <v>13</v>
      </c>
      <c r="AT9" s="1" t="s">
        <v>750</v>
      </c>
      <c r="BP9" s="1">
        <v>3</v>
      </c>
      <c r="BQ9" s="1" t="s">
        <v>768</v>
      </c>
      <c r="BR9" s="1" t="s">
        <v>2204</v>
      </c>
      <c r="BT9" s="1" t="s">
        <v>73</v>
      </c>
      <c r="BU9" s="1">
        <v>3</v>
      </c>
      <c r="BV9" s="1">
        <v>2</v>
      </c>
      <c r="BW9" s="1">
        <v>1</v>
      </c>
      <c r="BX9" s="1">
        <v>0</v>
      </c>
      <c r="BY9" s="1">
        <v>0</v>
      </c>
      <c r="BZ9" s="1">
        <v>0</v>
      </c>
      <c r="CA9" s="1">
        <v>0</v>
      </c>
      <c r="CB9" s="1">
        <v>1</v>
      </c>
      <c r="CC9" s="1">
        <v>1</v>
      </c>
      <c r="CD9" s="1">
        <v>0</v>
      </c>
      <c r="CE9" s="1">
        <v>0</v>
      </c>
      <c r="CF9" s="1">
        <v>1</v>
      </c>
      <c r="CG9" s="1">
        <v>1</v>
      </c>
      <c r="CH9" s="1">
        <v>0</v>
      </c>
      <c r="CI9" s="1">
        <v>0</v>
      </c>
      <c r="CJ9" s="1">
        <v>4</v>
      </c>
      <c r="CK9" s="1">
        <v>3</v>
      </c>
      <c r="CL9" s="1">
        <v>3</v>
      </c>
      <c r="CM9" s="1">
        <v>3</v>
      </c>
      <c r="CN9" s="1">
        <v>4</v>
      </c>
      <c r="CO9" s="1">
        <v>4</v>
      </c>
      <c r="CP9" s="1">
        <v>3</v>
      </c>
      <c r="CU9" s="1">
        <v>1</v>
      </c>
    </row>
    <row r="10" spans="1:99" x14ac:dyDescent="0.35">
      <c r="A10" s="1" t="s">
        <v>2205</v>
      </c>
      <c r="B10" s="1">
        <v>171364010</v>
      </c>
      <c r="C10" s="1">
        <v>0</v>
      </c>
      <c r="D10" s="1">
        <v>1</v>
      </c>
      <c r="E10" s="1">
        <v>0</v>
      </c>
      <c r="F10" s="1">
        <v>0</v>
      </c>
      <c r="G10" s="1">
        <v>0</v>
      </c>
      <c r="H10" s="1">
        <v>1</v>
      </c>
      <c r="I10" s="1">
        <v>0</v>
      </c>
      <c r="J10" s="1">
        <v>0</v>
      </c>
      <c r="K10" s="1">
        <v>0</v>
      </c>
      <c r="L10" s="1">
        <v>0</v>
      </c>
      <c r="M10" s="1">
        <v>0</v>
      </c>
      <c r="N10" s="1">
        <v>0</v>
      </c>
      <c r="O10" s="1">
        <v>0</v>
      </c>
      <c r="P10" s="1">
        <v>100</v>
      </c>
      <c r="Q10" s="1">
        <v>50</v>
      </c>
      <c r="R10" s="1">
        <v>40</v>
      </c>
      <c r="S10" s="1">
        <v>1</v>
      </c>
      <c r="T10" s="1">
        <v>1</v>
      </c>
      <c r="U10" s="1">
        <v>4</v>
      </c>
      <c r="V10" s="1">
        <v>4</v>
      </c>
      <c r="W10" s="1">
        <v>4</v>
      </c>
      <c r="X10" s="1">
        <v>4</v>
      </c>
      <c r="Y10" s="1">
        <v>4</v>
      </c>
      <c r="Z10" s="1">
        <v>4</v>
      </c>
      <c r="AA10" s="1">
        <v>4</v>
      </c>
      <c r="AC10" s="1">
        <v>2</v>
      </c>
      <c r="AE10" s="1">
        <v>4</v>
      </c>
      <c r="AF10" s="3">
        <v>5000000</v>
      </c>
      <c r="AG10" s="1">
        <v>16</v>
      </c>
      <c r="AW10" s="1" t="s">
        <v>2206</v>
      </c>
      <c r="BP10" s="1">
        <v>3</v>
      </c>
      <c r="BQ10" s="1" t="s">
        <v>2207</v>
      </c>
      <c r="BR10" s="1" t="s">
        <v>2208</v>
      </c>
      <c r="BS10" s="1" t="s">
        <v>2209</v>
      </c>
      <c r="BT10" s="1" t="s">
        <v>79</v>
      </c>
      <c r="BU10" s="1">
        <v>4</v>
      </c>
      <c r="BV10" s="1">
        <v>2</v>
      </c>
      <c r="BW10" s="1">
        <v>0</v>
      </c>
      <c r="BX10" s="1">
        <v>0</v>
      </c>
      <c r="BY10" s="1">
        <v>1</v>
      </c>
      <c r="BZ10" s="1">
        <v>0</v>
      </c>
      <c r="CA10" s="1">
        <v>0</v>
      </c>
      <c r="CB10" s="1">
        <v>0</v>
      </c>
      <c r="CC10" s="1">
        <v>0</v>
      </c>
      <c r="CD10" s="1">
        <v>0</v>
      </c>
      <c r="CE10" s="1">
        <v>0</v>
      </c>
      <c r="CF10" s="1">
        <v>0</v>
      </c>
      <c r="CG10" s="1">
        <v>0</v>
      </c>
      <c r="CH10" s="1">
        <v>0</v>
      </c>
      <c r="CI10" s="1">
        <v>0</v>
      </c>
      <c r="CJ10" s="1">
        <v>4</v>
      </c>
      <c r="CK10" s="1">
        <v>4</v>
      </c>
      <c r="CL10" s="1">
        <v>4</v>
      </c>
      <c r="CM10" s="1">
        <v>4</v>
      </c>
      <c r="CN10" s="1">
        <v>4</v>
      </c>
      <c r="CO10" s="1">
        <v>4</v>
      </c>
      <c r="CP10" s="1">
        <v>4</v>
      </c>
      <c r="CU10" s="1">
        <v>1</v>
      </c>
    </row>
    <row r="11" spans="1:99" x14ac:dyDescent="0.35">
      <c r="A11" s="1" t="s">
        <v>2210</v>
      </c>
      <c r="B11" s="1">
        <v>171364011</v>
      </c>
      <c r="C11" s="1">
        <v>0</v>
      </c>
      <c r="D11" s="1">
        <v>1</v>
      </c>
      <c r="E11" s="1">
        <v>1</v>
      </c>
      <c r="F11" s="1">
        <v>0</v>
      </c>
      <c r="G11" s="1">
        <v>0</v>
      </c>
      <c r="H11" s="1">
        <v>0</v>
      </c>
      <c r="I11" s="1">
        <v>0</v>
      </c>
      <c r="J11" s="1">
        <v>1</v>
      </c>
      <c r="K11" s="1">
        <v>1</v>
      </c>
      <c r="L11" s="1">
        <v>1</v>
      </c>
      <c r="M11" s="1">
        <v>1</v>
      </c>
      <c r="N11" s="1">
        <v>1</v>
      </c>
      <c r="O11" s="1">
        <v>0</v>
      </c>
      <c r="P11" s="1">
        <v>100</v>
      </c>
      <c r="Q11" s="1" t="s">
        <v>726</v>
      </c>
      <c r="R11" s="1" t="s">
        <v>726</v>
      </c>
      <c r="S11" s="1">
        <v>1</v>
      </c>
      <c r="T11" s="1">
        <v>3</v>
      </c>
      <c r="U11" s="1">
        <v>3</v>
      </c>
      <c r="V11" s="1">
        <v>3</v>
      </c>
      <c r="W11" s="1">
        <v>2</v>
      </c>
      <c r="X11" s="1">
        <v>2</v>
      </c>
      <c r="Y11" s="1">
        <v>4</v>
      </c>
      <c r="Z11" s="1">
        <v>4</v>
      </c>
      <c r="AA11" s="1">
        <v>3</v>
      </c>
      <c r="AC11" s="1">
        <v>1</v>
      </c>
      <c r="AD11" s="1">
        <v>0</v>
      </c>
      <c r="AF11" s="3">
        <v>5000000</v>
      </c>
      <c r="AG11" s="1">
        <v>13</v>
      </c>
      <c r="AT11" s="1" t="s">
        <v>86</v>
      </c>
      <c r="BP11" s="1">
        <v>1</v>
      </c>
      <c r="BQ11" s="1" t="s">
        <v>2211</v>
      </c>
      <c r="BR11" s="1" t="s">
        <v>2212</v>
      </c>
      <c r="BS11" s="1" t="s">
        <v>2213</v>
      </c>
      <c r="BT11" s="1" t="s">
        <v>79</v>
      </c>
      <c r="BU11" s="1">
        <v>3</v>
      </c>
      <c r="BV11" s="1">
        <v>2</v>
      </c>
      <c r="BW11" s="1">
        <v>1</v>
      </c>
      <c r="BX11" s="1">
        <v>0</v>
      </c>
      <c r="BY11" s="1">
        <v>0</v>
      </c>
      <c r="BZ11" s="1">
        <v>0</v>
      </c>
      <c r="CA11" s="1">
        <v>0</v>
      </c>
      <c r="CB11" s="1">
        <v>0</v>
      </c>
      <c r="CC11" s="1">
        <v>0</v>
      </c>
      <c r="CD11" s="1">
        <v>0</v>
      </c>
      <c r="CE11" s="1">
        <v>0</v>
      </c>
      <c r="CF11" s="1">
        <v>0</v>
      </c>
      <c r="CG11" s="1">
        <v>0</v>
      </c>
      <c r="CH11" s="1">
        <v>0</v>
      </c>
      <c r="CI11" s="1">
        <v>0</v>
      </c>
      <c r="CJ11" s="1">
        <v>4</v>
      </c>
      <c r="CK11" s="1">
        <v>4</v>
      </c>
      <c r="CL11" s="1">
        <v>2</v>
      </c>
      <c r="CM11" s="1">
        <v>3</v>
      </c>
      <c r="CN11" s="1">
        <v>3</v>
      </c>
      <c r="CO11" s="1">
        <v>4</v>
      </c>
      <c r="CP11" s="1">
        <v>4</v>
      </c>
      <c r="CU11" s="1">
        <v>1</v>
      </c>
    </row>
    <row r="12" spans="1:99" x14ac:dyDescent="0.35">
      <c r="A12" s="1" t="s">
        <v>2214</v>
      </c>
      <c r="B12" s="1">
        <v>171364012</v>
      </c>
      <c r="C12" s="1">
        <v>0</v>
      </c>
      <c r="D12" s="1">
        <v>1</v>
      </c>
      <c r="E12" s="1">
        <v>0</v>
      </c>
      <c r="F12" s="1">
        <v>0</v>
      </c>
      <c r="G12" s="1">
        <v>0</v>
      </c>
      <c r="H12" s="1">
        <v>1</v>
      </c>
      <c r="I12" s="1">
        <v>0</v>
      </c>
      <c r="J12" s="1">
        <v>0</v>
      </c>
      <c r="K12" s="1">
        <v>1</v>
      </c>
      <c r="L12" s="1">
        <v>1</v>
      </c>
      <c r="M12" s="1">
        <v>0</v>
      </c>
      <c r="N12" s="1">
        <v>0</v>
      </c>
      <c r="O12" s="1">
        <v>0</v>
      </c>
      <c r="P12" s="1" t="s">
        <v>2215</v>
      </c>
      <c r="Q12" s="1" t="s">
        <v>2216</v>
      </c>
      <c r="R12" s="1" t="s">
        <v>780</v>
      </c>
      <c r="S12" s="1">
        <v>5</v>
      </c>
      <c r="T12" s="1">
        <v>1</v>
      </c>
      <c r="U12" s="1">
        <v>4</v>
      </c>
      <c r="V12" s="1">
        <v>3</v>
      </c>
      <c r="W12" s="1">
        <v>3</v>
      </c>
      <c r="X12" s="1">
        <v>4</v>
      </c>
      <c r="Y12" s="1">
        <v>4</v>
      </c>
      <c r="Z12" s="1">
        <v>4</v>
      </c>
      <c r="AA12" s="1">
        <v>4</v>
      </c>
      <c r="CU12" s="1">
        <v>4</v>
      </c>
    </row>
    <row r="13" spans="1:99" x14ac:dyDescent="0.35">
      <c r="A13" s="1" t="s">
        <v>2217</v>
      </c>
      <c r="B13" s="1">
        <v>171364013</v>
      </c>
      <c r="C13" s="1">
        <v>0</v>
      </c>
      <c r="D13" s="1">
        <v>1</v>
      </c>
      <c r="E13" s="1">
        <v>0</v>
      </c>
      <c r="F13" s="1">
        <v>0</v>
      </c>
      <c r="G13" s="1">
        <v>0</v>
      </c>
      <c r="H13" s="1">
        <v>1</v>
      </c>
      <c r="I13" s="1">
        <v>0</v>
      </c>
      <c r="J13" s="1">
        <v>0</v>
      </c>
      <c r="K13" s="1">
        <v>0</v>
      </c>
      <c r="L13" s="1">
        <v>0</v>
      </c>
      <c r="M13" s="1">
        <v>0</v>
      </c>
      <c r="N13" s="1">
        <v>0</v>
      </c>
      <c r="O13" s="1">
        <v>0</v>
      </c>
      <c r="P13" s="1">
        <v>10</v>
      </c>
      <c r="Q13" s="1">
        <v>5</v>
      </c>
      <c r="R13" s="1">
        <v>4</v>
      </c>
      <c r="S13" s="1">
        <v>1</v>
      </c>
      <c r="T13" s="1">
        <v>1</v>
      </c>
      <c r="U13" s="1">
        <v>3</v>
      </c>
      <c r="V13" s="1">
        <v>3</v>
      </c>
      <c r="W13" s="1">
        <v>2</v>
      </c>
      <c r="X13" s="1">
        <v>3</v>
      </c>
      <c r="Y13" s="1">
        <v>3</v>
      </c>
      <c r="Z13" s="1">
        <v>3</v>
      </c>
      <c r="AA13" s="1">
        <v>3</v>
      </c>
      <c r="AC13" s="1">
        <v>1</v>
      </c>
      <c r="AD13" s="1">
        <v>4</v>
      </c>
      <c r="AE13" s="1">
        <v>4</v>
      </c>
      <c r="AF13" s="3">
        <v>5800000</v>
      </c>
      <c r="AG13" s="1">
        <v>13</v>
      </c>
      <c r="AT13" s="1" t="s">
        <v>83</v>
      </c>
      <c r="BP13" s="1">
        <v>3</v>
      </c>
      <c r="BQ13" s="1" t="s">
        <v>751</v>
      </c>
      <c r="BR13" s="1" t="s">
        <v>2218</v>
      </c>
      <c r="BT13" s="1" t="s">
        <v>79</v>
      </c>
      <c r="BU13" s="1">
        <v>2</v>
      </c>
      <c r="BV13" s="1">
        <v>2</v>
      </c>
      <c r="BW13" s="1">
        <v>1</v>
      </c>
      <c r="BX13" s="1">
        <v>0</v>
      </c>
      <c r="BY13" s="1">
        <v>0</v>
      </c>
      <c r="BZ13" s="1">
        <v>0</v>
      </c>
      <c r="CA13" s="1">
        <v>0</v>
      </c>
      <c r="CB13" s="1">
        <v>0</v>
      </c>
      <c r="CC13" s="1">
        <v>0</v>
      </c>
      <c r="CD13" s="1">
        <v>0</v>
      </c>
      <c r="CE13" s="1">
        <v>0</v>
      </c>
      <c r="CF13" s="1">
        <v>0</v>
      </c>
      <c r="CG13" s="1">
        <v>0</v>
      </c>
      <c r="CH13" s="1">
        <v>0</v>
      </c>
      <c r="CI13" s="1">
        <v>0</v>
      </c>
      <c r="CJ13" s="1">
        <v>3</v>
      </c>
      <c r="CK13" s="1">
        <v>3</v>
      </c>
      <c r="CL13" s="1">
        <v>3</v>
      </c>
      <c r="CM13" s="1">
        <v>3</v>
      </c>
      <c r="CN13" s="1">
        <v>3</v>
      </c>
      <c r="CO13" s="1">
        <v>3</v>
      </c>
      <c r="CP13" s="1">
        <v>3</v>
      </c>
      <c r="CU13" s="1">
        <v>1</v>
      </c>
    </row>
    <row r="14" spans="1:99" x14ac:dyDescent="0.35">
      <c r="A14" s="1" t="s">
        <v>2219</v>
      </c>
      <c r="B14" s="1">
        <v>171364014</v>
      </c>
      <c r="C14" s="1">
        <v>1</v>
      </c>
      <c r="D14" s="1">
        <v>1</v>
      </c>
      <c r="E14" s="1">
        <v>0</v>
      </c>
      <c r="F14" s="1">
        <v>0</v>
      </c>
      <c r="G14" s="1">
        <v>0</v>
      </c>
      <c r="H14" s="1">
        <v>1</v>
      </c>
      <c r="I14" s="1">
        <v>0</v>
      </c>
      <c r="J14" s="1">
        <v>0</v>
      </c>
      <c r="K14" s="1">
        <v>1</v>
      </c>
      <c r="L14" s="1">
        <v>0</v>
      </c>
      <c r="M14" s="1">
        <v>0</v>
      </c>
      <c r="N14" s="1">
        <v>0</v>
      </c>
      <c r="O14" s="1">
        <v>0</v>
      </c>
      <c r="P14" s="1">
        <v>7</v>
      </c>
      <c r="Q14" s="1">
        <v>6</v>
      </c>
      <c r="R14" s="1">
        <v>4</v>
      </c>
      <c r="S14" s="1">
        <v>1</v>
      </c>
      <c r="T14" s="1">
        <v>1</v>
      </c>
      <c r="U14" s="1">
        <v>3</v>
      </c>
      <c r="V14" s="1">
        <v>3</v>
      </c>
      <c r="W14" s="1">
        <v>3</v>
      </c>
      <c r="X14" s="1">
        <v>3</v>
      </c>
      <c r="Y14" s="1">
        <v>3</v>
      </c>
      <c r="Z14" s="1">
        <v>3</v>
      </c>
      <c r="AA14" s="1">
        <v>3</v>
      </c>
      <c r="AC14" s="1">
        <v>1</v>
      </c>
      <c r="AD14" s="1">
        <v>5</v>
      </c>
      <c r="AE14" s="1">
        <v>5</v>
      </c>
      <c r="AF14" s="3">
        <v>3000000</v>
      </c>
      <c r="AG14" s="1">
        <v>13</v>
      </c>
      <c r="AT14" s="1" t="s">
        <v>86</v>
      </c>
      <c r="BQ14" s="1" t="s">
        <v>4328</v>
      </c>
      <c r="BR14" s="1" t="s">
        <v>2220</v>
      </c>
      <c r="BS14" s="1" t="s">
        <v>2221</v>
      </c>
      <c r="BT14" s="1" t="s">
        <v>107</v>
      </c>
      <c r="BU14" s="1">
        <v>2</v>
      </c>
      <c r="BV14" s="1">
        <v>2</v>
      </c>
      <c r="BW14" s="1">
        <v>1</v>
      </c>
      <c r="BX14" s="1">
        <v>0</v>
      </c>
      <c r="BY14" s="1">
        <v>0</v>
      </c>
      <c r="BZ14" s="1">
        <v>0</v>
      </c>
      <c r="CA14" s="1">
        <v>0</v>
      </c>
      <c r="CB14" s="1">
        <v>0</v>
      </c>
      <c r="CC14" s="1">
        <v>0</v>
      </c>
      <c r="CD14" s="1">
        <v>0</v>
      </c>
      <c r="CE14" s="1">
        <v>0</v>
      </c>
      <c r="CF14" s="1">
        <v>0</v>
      </c>
      <c r="CG14" s="1">
        <v>0</v>
      </c>
      <c r="CH14" s="1">
        <v>0</v>
      </c>
      <c r="CI14" s="1" t="s">
        <v>2222</v>
      </c>
      <c r="CJ14" s="1">
        <v>4</v>
      </c>
      <c r="CK14" s="1">
        <v>4</v>
      </c>
      <c r="CL14" s="1">
        <v>3</v>
      </c>
      <c r="CM14" s="1">
        <v>4</v>
      </c>
      <c r="CN14" s="1">
        <v>4</v>
      </c>
      <c r="CO14" s="1">
        <v>4</v>
      </c>
      <c r="CP14" s="1">
        <v>4</v>
      </c>
      <c r="CU14" s="1">
        <v>1</v>
      </c>
    </row>
    <row r="15" spans="1:99" x14ac:dyDescent="0.35">
      <c r="A15" s="1" t="s">
        <v>2223</v>
      </c>
      <c r="B15" s="1">
        <v>171364015</v>
      </c>
      <c r="C15" s="1">
        <v>0</v>
      </c>
      <c r="D15" s="1">
        <v>1</v>
      </c>
      <c r="E15" s="1">
        <v>0</v>
      </c>
      <c r="F15" s="1">
        <v>0</v>
      </c>
      <c r="G15" s="1">
        <v>0</v>
      </c>
      <c r="H15" s="1">
        <v>0</v>
      </c>
      <c r="I15" s="1">
        <v>0</v>
      </c>
      <c r="J15" s="1">
        <v>0</v>
      </c>
      <c r="K15" s="1">
        <v>1</v>
      </c>
      <c r="L15" s="1">
        <v>0</v>
      </c>
      <c r="M15" s="1">
        <v>0</v>
      </c>
      <c r="N15" s="1">
        <v>0</v>
      </c>
      <c r="O15" s="1">
        <v>0</v>
      </c>
      <c r="P15" s="1" t="s">
        <v>2224</v>
      </c>
      <c r="Q15" s="1" t="s">
        <v>1052</v>
      </c>
      <c r="R15" s="1" t="s">
        <v>1052</v>
      </c>
      <c r="S15" s="1">
        <v>1</v>
      </c>
      <c r="T15" s="1">
        <v>1</v>
      </c>
      <c r="U15" s="1">
        <v>4</v>
      </c>
      <c r="V15" s="1">
        <v>3</v>
      </c>
      <c r="W15" s="1">
        <v>3</v>
      </c>
      <c r="X15" s="1">
        <v>4</v>
      </c>
      <c r="Y15" s="1">
        <v>3</v>
      </c>
      <c r="Z15" s="1">
        <v>3</v>
      </c>
      <c r="AA15" s="1">
        <v>3</v>
      </c>
      <c r="AC15" s="1">
        <v>2</v>
      </c>
      <c r="AE15" s="1">
        <v>7</v>
      </c>
      <c r="AF15" s="3">
        <v>5100000</v>
      </c>
      <c r="AG15" s="1">
        <v>12</v>
      </c>
      <c r="AS15" s="1" t="s">
        <v>472</v>
      </c>
      <c r="BP15" s="1">
        <v>3</v>
      </c>
      <c r="BQ15" s="1" t="s">
        <v>2225</v>
      </c>
      <c r="BR15" s="1" t="s">
        <v>2226</v>
      </c>
      <c r="BS15" s="1" t="s">
        <v>2227</v>
      </c>
      <c r="BT15" s="1" t="s">
        <v>107</v>
      </c>
      <c r="BU15" s="1">
        <v>2</v>
      </c>
      <c r="BV15" s="1">
        <v>2</v>
      </c>
      <c r="BW15" s="1">
        <v>0</v>
      </c>
      <c r="BX15" s="1">
        <v>0</v>
      </c>
      <c r="BY15" s="1">
        <v>1</v>
      </c>
      <c r="BZ15" s="1">
        <v>0</v>
      </c>
      <c r="CA15" s="1">
        <v>0</v>
      </c>
      <c r="CB15" s="1">
        <v>0</v>
      </c>
      <c r="CC15" s="1">
        <v>1</v>
      </c>
      <c r="CD15" s="1">
        <v>1</v>
      </c>
      <c r="CE15" s="1">
        <v>0</v>
      </c>
      <c r="CF15" s="1">
        <v>0</v>
      </c>
      <c r="CG15" s="1">
        <v>0</v>
      </c>
      <c r="CH15" s="1">
        <v>0</v>
      </c>
      <c r="CI15" s="1">
        <v>0</v>
      </c>
      <c r="CJ15" s="1">
        <v>4</v>
      </c>
      <c r="CK15" s="1">
        <v>4</v>
      </c>
      <c r="CL15" s="1">
        <v>4</v>
      </c>
      <c r="CM15" s="1">
        <v>3</v>
      </c>
      <c r="CN15" s="1">
        <v>3</v>
      </c>
      <c r="CO15" s="1">
        <v>3</v>
      </c>
      <c r="CP15" s="1">
        <v>4</v>
      </c>
      <c r="CU15" s="1">
        <v>1</v>
      </c>
    </row>
    <row r="16" spans="1:99" x14ac:dyDescent="0.35">
      <c r="A16" s="1" t="s">
        <v>2228</v>
      </c>
      <c r="B16" s="1">
        <v>171364016</v>
      </c>
      <c r="C16" s="1">
        <v>1</v>
      </c>
      <c r="D16" s="1">
        <v>1</v>
      </c>
      <c r="E16" s="1">
        <v>0</v>
      </c>
      <c r="F16" s="1">
        <v>0</v>
      </c>
      <c r="G16" s="1">
        <v>0</v>
      </c>
      <c r="H16" s="1">
        <v>1</v>
      </c>
      <c r="I16" s="1">
        <v>0</v>
      </c>
      <c r="J16" s="1">
        <v>1</v>
      </c>
      <c r="K16" s="1">
        <v>1</v>
      </c>
      <c r="L16" s="1">
        <v>0</v>
      </c>
      <c r="M16" s="1">
        <v>1</v>
      </c>
      <c r="N16" s="1">
        <v>0</v>
      </c>
      <c r="O16" s="1">
        <v>0</v>
      </c>
      <c r="P16" s="1">
        <v>24</v>
      </c>
      <c r="Q16" s="1">
        <v>2</v>
      </c>
      <c r="R16" s="1">
        <v>1</v>
      </c>
      <c r="S16" s="1">
        <v>5</v>
      </c>
      <c r="T16" s="1">
        <v>1</v>
      </c>
      <c r="U16" s="1">
        <v>4</v>
      </c>
      <c r="V16" s="1">
        <v>4</v>
      </c>
      <c r="W16" s="1">
        <v>3</v>
      </c>
      <c r="X16" s="1">
        <v>4</v>
      </c>
      <c r="Y16" s="1">
        <v>4</v>
      </c>
      <c r="Z16" s="1">
        <v>4</v>
      </c>
      <c r="AA16" s="1">
        <v>4</v>
      </c>
      <c r="CU16" s="1">
        <v>4</v>
      </c>
    </row>
    <row r="17" spans="1:99" x14ac:dyDescent="0.35">
      <c r="A17" s="1" t="s">
        <v>2229</v>
      </c>
      <c r="B17" s="1">
        <v>171364018</v>
      </c>
      <c r="C17" s="1">
        <v>0</v>
      </c>
      <c r="D17" s="1">
        <v>1</v>
      </c>
      <c r="E17" s="1">
        <v>0</v>
      </c>
      <c r="F17" s="1">
        <v>0</v>
      </c>
      <c r="G17" s="1">
        <v>0</v>
      </c>
      <c r="H17" s="1">
        <v>0</v>
      </c>
      <c r="I17" s="1">
        <v>0</v>
      </c>
      <c r="J17" s="1">
        <v>0</v>
      </c>
      <c r="K17" s="1">
        <v>0</v>
      </c>
      <c r="L17" s="1">
        <v>0</v>
      </c>
      <c r="M17" s="1">
        <v>0</v>
      </c>
      <c r="N17" s="1">
        <v>0</v>
      </c>
      <c r="O17" s="1">
        <v>0</v>
      </c>
      <c r="P17" s="1">
        <v>12</v>
      </c>
      <c r="Q17" s="1">
        <v>8</v>
      </c>
      <c r="R17" s="1">
        <v>8</v>
      </c>
      <c r="S17" s="1">
        <v>1</v>
      </c>
      <c r="T17" s="1">
        <v>1</v>
      </c>
      <c r="U17" s="1">
        <v>3</v>
      </c>
      <c r="V17" s="1">
        <v>3</v>
      </c>
      <c r="W17" s="1">
        <v>4</v>
      </c>
      <c r="X17" s="1">
        <v>4</v>
      </c>
      <c r="Y17" s="1">
        <v>3</v>
      </c>
      <c r="Z17" s="1">
        <v>3</v>
      </c>
      <c r="AA17" s="1">
        <v>4</v>
      </c>
      <c r="AC17" s="1">
        <v>1</v>
      </c>
      <c r="AD17" s="1">
        <v>6</v>
      </c>
      <c r="AF17" s="3">
        <v>6500000</v>
      </c>
      <c r="AG17" s="1">
        <v>13</v>
      </c>
      <c r="AT17" s="1" t="s">
        <v>83</v>
      </c>
      <c r="BP17" s="1">
        <v>3</v>
      </c>
      <c r="BQ17" s="1" t="s">
        <v>2230</v>
      </c>
      <c r="BR17" s="1" t="s">
        <v>2231</v>
      </c>
      <c r="BS17" s="1" t="s">
        <v>2232</v>
      </c>
      <c r="BT17" s="1" t="s">
        <v>79</v>
      </c>
      <c r="BU17" s="1">
        <v>3</v>
      </c>
      <c r="BV17" s="1">
        <v>2</v>
      </c>
      <c r="BW17" s="1">
        <v>1</v>
      </c>
      <c r="BX17" s="1">
        <v>0</v>
      </c>
      <c r="BY17" s="1">
        <v>0</v>
      </c>
      <c r="BZ17" s="1">
        <v>0</v>
      </c>
      <c r="CA17" s="1">
        <v>0</v>
      </c>
      <c r="CB17" s="1">
        <v>0</v>
      </c>
      <c r="CC17" s="1">
        <v>0</v>
      </c>
      <c r="CD17" s="1">
        <v>0</v>
      </c>
      <c r="CE17" s="1">
        <v>0</v>
      </c>
      <c r="CF17" s="1">
        <v>1</v>
      </c>
      <c r="CG17" s="1">
        <v>0</v>
      </c>
      <c r="CH17" s="1">
        <v>0</v>
      </c>
      <c r="CI17" s="1">
        <v>0</v>
      </c>
      <c r="CJ17" s="1">
        <v>4</v>
      </c>
      <c r="CK17" s="1">
        <v>4</v>
      </c>
      <c r="CL17" s="1">
        <v>4</v>
      </c>
      <c r="CM17" s="1">
        <v>4</v>
      </c>
      <c r="CN17" s="1">
        <v>4</v>
      </c>
      <c r="CO17" s="1">
        <v>4</v>
      </c>
      <c r="CP17" s="1">
        <v>3</v>
      </c>
      <c r="CU17" s="1">
        <v>1</v>
      </c>
    </row>
    <row r="18" spans="1:99" x14ac:dyDescent="0.35">
      <c r="A18" s="1" t="s">
        <v>2233</v>
      </c>
      <c r="B18" s="1">
        <v>171364019</v>
      </c>
      <c r="C18" s="1">
        <v>1</v>
      </c>
      <c r="D18" s="1">
        <v>1</v>
      </c>
      <c r="E18" s="1">
        <v>0</v>
      </c>
      <c r="F18" s="1">
        <v>0</v>
      </c>
      <c r="G18" s="1">
        <v>0</v>
      </c>
      <c r="H18" s="1">
        <v>1</v>
      </c>
      <c r="I18" s="1">
        <v>1</v>
      </c>
      <c r="J18" s="1">
        <v>1</v>
      </c>
      <c r="K18" s="1">
        <v>1</v>
      </c>
      <c r="L18" s="1">
        <v>0</v>
      </c>
      <c r="M18" s="1">
        <v>1</v>
      </c>
      <c r="N18" s="1">
        <v>0</v>
      </c>
      <c r="O18" s="1">
        <v>0</v>
      </c>
      <c r="P18" s="1" t="s">
        <v>2234</v>
      </c>
      <c r="Q18" s="1" t="s">
        <v>2234</v>
      </c>
      <c r="R18" s="1" t="s">
        <v>2234</v>
      </c>
      <c r="S18" s="1">
        <v>1</v>
      </c>
      <c r="T18" s="1">
        <v>1</v>
      </c>
      <c r="U18" s="1">
        <v>4</v>
      </c>
      <c r="V18" s="1">
        <v>4</v>
      </c>
      <c r="W18" s="1">
        <v>4</v>
      </c>
      <c r="X18" s="1">
        <v>4</v>
      </c>
      <c r="Y18" s="1">
        <v>4</v>
      </c>
      <c r="Z18" s="1">
        <v>4</v>
      </c>
      <c r="AA18" s="1">
        <v>4</v>
      </c>
      <c r="AC18" s="1">
        <v>2</v>
      </c>
      <c r="AE18" s="1">
        <v>7</v>
      </c>
      <c r="AF18" s="3">
        <v>4800000</v>
      </c>
      <c r="AG18" s="1">
        <v>13</v>
      </c>
      <c r="AT18" s="1" t="s">
        <v>83</v>
      </c>
      <c r="BP18" s="1">
        <v>3</v>
      </c>
      <c r="BQ18" s="1" t="s">
        <v>2235</v>
      </c>
      <c r="BR18" s="1" t="s">
        <v>2236</v>
      </c>
      <c r="BT18" s="1" t="s">
        <v>73</v>
      </c>
      <c r="BU18" s="1">
        <v>5</v>
      </c>
      <c r="BV18" s="1">
        <v>2</v>
      </c>
      <c r="BW18" s="1">
        <v>0</v>
      </c>
      <c r="BX18" s="1">
        <v>1</v>
      </c>
      <c r="BY18" s="1">
        <v>0</v>
      </c>
      <c r="BZ18" s="1">
        <v>0</v>
      </c>
      <c r="CA18" s="1">
        <v>0</v>
      </c>
      <c r="CB18" s="1">
        <v>1</v>
      </c>
      <c r="CC18" s="1">
        <v>0</v>
      </c>
      <c r="CD18" s="1">
        <v>1</v>
      </c>
      <c r="CE18" s="1">
        <v>0</v>
      </c>
      <c r="CF18" s="1">
        <v>0</v>
      </c>
      <c r="CG18" s="1">
        <v>1</v>
      </c>
      <c r="CH18" s="1">
        <v>1</v>
      </c>
      <c r="CI18" s="1">
        <v>0</v>
      </c>
      <c r="CJ18" s="1">
        <v>4</v>
      </c>
      <c r="CK18" s="1">
        <v>4</v>
      </c>
      <c r="CL18" s="1">
        <v>4</v>
      </c>
      <c r="CM18" s="1">
        <v>4</v>
      </c>
      <c r="CN18" s="1">
        <v>4</v>
      </c>
      <c r="CO18" s="1">
        <v>4</v>
      </c>
      <c r="CP18" s="1">
        <v>4</v>
      </c>
      <c r="CU18" s="1">
        <v>1</v>
      </c>
    </row>
    <row r="19" spans="1:99" x14ac:dyDescent="0.35">
      <c r="A19" s="1" t="s">
        <v>2237</v>
      </c>
      <c r="B19" s="1">
        <v>171364020</v>
      </c>
      <c r="C19" s="1">
        <v>0</v>
      </c>
      <c r="D19" s="1">
        <v>1</v>
      </c>
      <c r="E19" s="1">
        <v>0</v>
      </c>
      <c r="F19" s="1">
        <v>0</v>
      </c>
      <c r="G19" s="1">
        <v>0</v>
      </c>
      <c r="H19" s="1">
        <v>0</v>
      </c>
      <c r="I19" s="1">
        <v>0</v>
      </c>
      <c r="J19" s="1">
        <v>0</v>
      </c>
      <c r="K19" s="1">
        <v>1</v>
      </c>
      <c r="L19" s="1">
        <v>0</v>
      </c>
      <c r="M19" s="1">
        <v>1</v>
      </c>
      <c r="N19" s="1">
        <v>0</v>
      </c>
      <c r="O19" s="1">
        <v>0</v>
      </c>
      <c r="P19" s="1" t="s">
        <v>2238</v>
      </c>
      <c r="Q19" s="1" t="s">
        <v>2239</v>
      </c>
      <c r="R19" s="1" t="s">
        <v>124</v>
      </c>
      <c r="S19" s="1">
        <v>5</v>
      </c>
      <c r="T19" s="1">
        <v>1</v>
      </c>
      <c r="U19" s="1">
        <v>4</v>
      </c>
      <c r="V19" s="1">
        <v>3</v>
      </c>
      <c r="W19" s="1">
        <v>4</v>
      </c>
      <c r="X19" s="1">
        <v>4</v>
      </c>
      <c r="Y19" s="1">
        <v>4</v>
      </c>
      <c r="Z19" s="1">
        <v>4</v>
      </c>
      <c r="AA19" s="1">
        <v>4</v>
      </c>
      <c r="CU19" s="1">
        <v>4</v>
      </c>
    </row>
    <row r="20" spans="1:99" x14ac:dyDescent="0.35">
      <c r="A20" s="1" t="s">
        <v>2240</v>
      </c>
      <c r="B20" s="1">
        <v>171364021</v>
      </c>
      <c r="C20" s="1">
        <v>0</v>
      </c>
      <c r="D20" s="1">
        <v>1</v>
      </c>
      <c r="E20" s="1">
        <v>1</v>
      </c>
      <c r="F20" s="1">
        <v>0</v>
      </c>
      <c r="G20" s="1">
        <v>0</v>
      </c>
      <c r="H20" s="1">
        <v>0</v>
      </c>
      <c r="I20" s="1">
        <v>0</v>
      </c>
      <c r="J20" s="1">
        <v>0</v>
      </c>
      <c r="K20" s="1">
        <v>0</v>
      </c>
      <c r="L20" s="1">
        <v>0</v>
      </c>
      <c r="M20" s="1">
        <v>0</v>
      </c>
      <c r="N20" s="1">
        <v>0</v>
      </c>
      <c r="O20" s="1">
        <v>0</v>
      </c>
      <c r="P20" s="1">
        <v>350</v>
      </c>
      <c r="Q20" s="1">
        <v>40</v>
      </c>
      <c r="R20" s="1">
        <v>15</v>
      </c>
      <c r="S20" s="1">
        <v>5</v>
      </c>
      <c r="T20" s="1">
        <v>1</v>
      </c>
      <c r="U20" s="1">
        <v>4</v>
      </c>
      <c r="V20" s="1">
        <v>3</v>
      </c>
      <c r="W20" s="1">
        <v>3</v>
      </c>
      <c r="X20" s="1">
        <v>4</v>
      </c>
      <c r="Y20" s="1">
        <v>4</v>
      </c>
      <c r="Z20" s="1">
        <v>4</v>
      </c>
      <c r="AA20" s="1">
        <v>3</v>
      </c>
      <c r="CU20" s="1">
        <v>4</v>
      </c>
    </row>
    <row r="21" spans="1:99" x14ac:dyDescent="0.35">
      <c r="A21" s="1" t="s">
        <v>2241</v>
      </c>
      <c r="B21" s="1">
        <v>171364022</v>
      </c>
      <c r="C21" s="1">
        <v>0</v>
      </c>
      <c r="D21" s="1">
        <v>0</v>
      </c>
      <c r="E21" s="1">
        <v>0</v>
      </c>
      <c r="F21" s="1">
        <v>0</v>
      </c>
      <c r="G21" s="1">
        <v>0</v>
      </c>
      <c r="H21" s="1">
        <v>0</v>
      </c>
      <c r="I21" s="1">
        <v>0</v>
      </c>
      <c r="J21" s="1">
        <v>0</v>
      </c>
      <c r="K21" s="1">
        <v>1</v>
      </c>
      <c r="L21" s="1">
        <v>0</v>
      </c>
      <c r="M21" s="1">
        <v>0</v>
      </c>
      <c r="N21" s="1">
        <v>0</v>
      </c>
      <c r="O21" s="1">
        <v>0</v>
      </c>
      <c r="P21" s="1" t="s">
        <v>506</v>
      </c>
      <c r="Q21" s="1" t="s">
        <v>506</v>
      </c>
      <c r="R21" s="1" t="s">
        <v>2242</v>
      </c>
      <c r="S21" s="1">
        <v>5</v>
      </c>
      <c r="T21" s="1">
        <v>1</v>
      </c>
      <c r="U21" s="1">
        <v>4</v>
      </c>
      <c r="V21" s="1">
        <v>2</v>
      </c>
      <c r="W21" s="1">
        <v>3</v>
      </c>
      <c r="X21" s="1">
        <v>3</v>
      </c>
      <c r="Y21" s="1">
        <v>4</v>
      </c>
      <c r="Z21" s="1">
        <v>4</v>
      </c>
      <c r="AA21" s="1">
        <v>4</v>
      </c>
      <c r="CU21" s="1">
        <v>3</v>
      </c>
    </row>
    <row r="22" spans="1:99" x14ac:dyDescent="0.35">
      <c r="A22" s="1" t="s">
        <v>2243</v>
      </c>
      <c r="B22" s="1">
        <v>171364023</v>
      </c>
      <c r="C22" s="1">
        <v>0</v>
      </c>
      <c r="D22" s="1">
        <v>1</v>
      </c>
      <c r="E22" s="1">
        <v>0</v>
      </c>
      <c r="F22" s="1">
        <v>0</v>
      </c>
      <c r="G22" s="1">
        <v>0</v>
      </c>
      <c r="H22" s="1">
        <v>0</v>
      </c>
      <c r="I22" s="1">
        <v>0</v>
      </c>
      <c r="J22" s="1">
        <v>0</v>
      </c>
      <c r="K22" s="1">
        <v>1</v>
      </c>
      <c r="L22" s="1">
        <v>0</v>
      </c>
      <c r="M22" s="1">
        <v>0</v>
      </c>
      <c r="N22" s="1">
        <v>0</v>
      </c>
      <c r="O22" s="1">
        <v>0</v>
      </c>
      <c r="P22" s="1">
        <v>5</v>
      </c>
      <c r="Q22" s="1">
        <v>4</v>
      </c>
      <c r="R22" s="1">
        <v>3</v>
      </c>
      <c r="S22" s="1">
        <v>1</v>
      </c>
      <c r="T22" s="1">
        <v>1</v>
      </c>
      <c r="U22" s="1">
        <v>4</v>
      </c>
      <c r="V22" s="1">
        <v>3</v>
      </c>
      <c r="W22" s="1">
        <v>2</v>
      </c>
      <c r="X22" s="1">
        <v>3</v>
      </c>
      <c r="Y22" s="1">
        <v>3</v>
      </c>
      <c r="Z22" s="1">
        <v>3</v>
      </c>
      <c r="AA22" s="1">
        <v>3</v>
      </c>
      <c r="AC22" s="1">
        <v>2</v>
      </c>
      <c r="AE22" s="1">
        <v>1</v>
      </c>
      <c r="AF22" s="3">
        <v>4700000</v>
      </c>
      <c r="AG22" s="1">
        <v>13</v>
      </c>
      <c r="AT22" s="1" t="s">
        <v>83</v>
      </c>
      <c r="BP22" s="1">
        <v>3</v>
      </c>
      <c r="BQ22" s="1" t="s">
        <v>2244</v>
      </c>
      <c r="BR22" s="1" t="s">
        <v>2245</v>
      </c>
      <c r="BT22" s="1" t="s">
        <v>79</v>
      </c>
      <c r="BU22" s="1">
        <v>1</v>
      </c>
      <c r="BV22" s="1">
        <v>3</v>
      </c>
      <c r="BW22" s="1">
        <v>1</v>
      </c>
      <c r="BX22" s="1">
        <v>0</v>
      </c>
      <c r="BY22" s="1">
        <v>0</v>
      </c>
      <c r="BZ22" s="1">
        <v>0</v>
      </c>
      <c r="CA22" s="1">
        <v>0</v>
      </c>
      <c r="CB22" s="1">
        <v>0</v>
      </c>
      <c r="CC22" s="1">
        <v>0</v>
      </c>
      <c r="CD22" s="1">
        <v>0</v>
      </c>
      <c r="CE22" s="1">
        <v>0</v>
      </c>
      <c r="CF22" s="1">
        <v>0</v>
      </c>
      <c r="CG22" s="1">
        <v>0</v>
      </c>
      <c r="CH22" s="1">
        <v>0</v>
      </c>
      <c r="CI22" s="1">
        <v>0</v>
      </c>
      <c r="CJ22" s="1">
        <v>4</v>
      </c>
      <c r="CK22" s="1">
        <v>4</v>
      </c>
      <c r="CL22" s="1">
        <v>3</v>
      </c>
      <c r="CM22" s="1">
        <v>2</v>
      </c>
      <c r="CN22" s="1">
        <v>3</v>
      </c>
      <c r="CO22" s="1">
        <v>4</v>
      </c>
      <c r="CP22" s="1">
        <v>4</v>
      </c>
      <c r="CU22" s="1">
        <v>1</v>
      </c>
    </row>
    <row r="23" spans="1:99" x14ac:dyDescent="0.35">
      <c r="A23" s="1" t="s">
        <v>2246</v>
      </c>
      <c r="B23" s="1">
        <v>171364024</v>
      </c>
      <c r="C23" s="1">
        <v>0</v>
      </c>
      <c r="D23" s="1">
        <v>0</v>
      </c>
      <c r="E23" s="1">
        <v>0</v>
      </c>
      <c r="F23" s="1">
        <v>0</v>
      </c>
      <c r="G23" s="1">
        <v>0</v>
      </c>
      <c r="H23" s="1">
        <v>0</v>
      </c>
      <c r="I23" s="1">
        <v>0</v>
      </c>
      <c r="J23" s="1">
        <v>0</v>
      </c>
      <c r="K23" s="1">
        <v>1</v>
      </c>
      <c r="L23" s="1">
        <v>0</v>
      </c>
      <c r="M23" s="1">
        <v>0</v>
      </c>
      <c r="N23" s="1">
        <v>0</v>
      </c>
      <c r="O23" s="1">
        <v>0</v>
      </c>
      <c r="P23" s="1" t="s">
        <v>726</v>
      </c>
      <c r="Q23" s="1">
        <v>1</v>
      </c>
      <c r="R23" s="1">
        <v>1</v>
      </c>
      <c r="S23" s="1">
        <v>1</v>
      </c>
      <c r="T23" s="1">
        <v>1</v>
      </c>
      <c r="U23" s="1">
        <v>4</v>
      </c>
      <c r="V23" s="1">
        <v>4</v>
      </c>
      <c r="W23" s="1">
        <v>2</v>
      </c>
      <c r="X23" s="1">
        <v>3</v>
      </c>
      <c r="Y23" s="1">
        <v>3</v>
      </c>
      <c r="Z23" s="1">
        <v>4</v>
      </c>
      <c r="AA23" s="1">
        <v>4</v>
      </c>
      <c r="AC23" s="1">
        <v>2</v>
      </c>
      <c r="AE23" s="1">
        <v>8</v>
      </c>
      <c r="AF23" s="3">
        <v>4500000</v>
      </c>
      <c r="AG23" s="1">
        <v>13</v>
      </c>
      <c r="AT23" s="1" t="s">
        <v>86</v>
      </c>
      <c r="BP23" s="1">
        <v>3</v>
      </c>
      <c r="BQ23" s="1" t="s">
        <v>2247</v>
      </c>
      <c r="BR23" s="1" t="s">
        <v>881</v>
      </c>
      <c r="BS23" s="1" t="s">
        <v>2248</v>
      </c>
      <c r="BT23" s="1" t="s">
        <v>79</v>
      </c>
      <c r="BU23" s="1">
        <v>1</v>
      </c>
      <c r="BV23" s="1">
        <v>2</v>
      </c>
      <c r="BW23" s="1">
        <v>1</v>
      </c>
      <c r="BX23" s="1">
        <v>0</v>
      </c>
      <c r="BY23" s="1">
        <v>0</v>
      </c>
      <c r="BZ23" s="1">
        <v>0</v>
      </c>
      <c r="CA23" s="1">
        <v>0</v>
      </c>
      <c r="CB23" s="1">
        <v>0</v>
      </c>
      <c r="CC23" s="1">
        <v>0</v>
      </c>
      <c r="CD23" s="1">
        <v>0</v>
      </c>
      <c r="CE23" s="1">
        <v>0</v>
      </c>
      <c r="CF23" s="1">
        <v>0</v>
      </c>
      <c r="CG23" s="1">
        <v>0</v>
      </c>
      <c r="CH23" s="1">
        <v>0</v>
      </c>
      <c r="CI23" s="1">
        <v>0</v>
      </c>
      <c r="CJ23" s="1">
        <v>4</v>
      </c>
      <c r="CK23" s="1">
        <v>4</v>
      </c>
      <c r="CL23" s="1">
        <v>3</v>
      </c>
      <c r="CM23" s="1">
        <v>4</v>
      </c>
      <c r="CN23" s="1">
        <v>4</v>
      </c>
      <c r="CO23" s="1">
        <v>4</v>
      </c>
      <c r="CP23" s="1">
        <v>4</v>
      </c>
      <c r="CU23" s="1">
        <v>1</v>
      </c>
    </row>
    <row r="24" spans="1:99" x14ac:dyDescent="0.35">
      <c r="A24" s="1" t="s">
        <v>2249</v>
      </c>
      <c r="B24" s="1">
        <v>171364025</v>
      </c>
      <c r="C24" s="1">
        <v>0</v>
      </c>
      <c r="D24" s="1">
        <v>1</v>
      </c>
      <c r="E24" s="1">
        <v>0</v>
      </c>
      <c r="F24" s="1">
        <v>0</v>
      </c>
      <c r="G24" s="1">
        <v>0</v>
      </c>
      <c r="H24" s="1">
        <v>1</v>
      </c>
      <c r="I24" s="1">
        <v>0</v>
      </c>
      <c r="J24" s="1">
        <v>0</v>
      </c>
      <c r="K24" s="1">
        <v>1</v>
      </c>
      <c r="L24" s="1">
        <v>0</v>
      </c>
      <c r="M24" s="1">
        <v>0</v>
      </c>
      <c r="N24" s="1">
        <v>0</v>
      </c>
      <c r="O24" s="1">
        <v>0</v>
      </c>
      <c r="P24" s="1">
        <v>20</v>
      </c>
      <c r="Q24" s="1">
        <v>10</v>
      </c>
      <c r="R24" s="1">
        <v>10</v>
      </c>
      <c r="S24" s="1">
        <v>1</v>
      </c>
      <c r="T24" s="1">
        <v>1</v>
      </c>
      <c r="U24" s="1">
        <v>4</v>
      </c>
      <c r="V24" s="1">
        <v>3</v>
      </c>
      <c r="W24" s="1">
        <v>3</v>
      </c>
      <c r="X24" s="1">
        <v>3</v>
      </c>
      <c r="Y24" s="1">
        <v>4</v>
      </c>
      <c r="Z24" s="1">
        <v>4</v>
      </c>
      <c r="AA24" s="1">
        <v>3</v>
      </c>
      <c r="AC24" s="1">
        <v>2</v>
      </c>
      <c r="AE24" s="1">
        <v>2</v>
      </c>
      <c r="AF24" s="3">
        <v>6000000</v>
      </c>
      <c r="AG24" s="1">
        <v>12</v>
      </c>
      <c r="AS24" s="1" t="s">
        <v>472</v>
      </c>
      <c r="BP24" s="1">
        <v>3</v>
      </c>
      <c r="BQ24" s="1" t="s">
        <v>2250</v>
      </c>
      <c r="BR24" s="1" t="s">
        <v>2251</v>
      </c>
      <c r="BS24" s="1" t="s">
        <v>2252</v>
      </c>
      <c r="BT24" s="1" t="s">
        <v>73</v>
      </c>
      <c r="BU24" s="1">
        <v>4</v>
      </c>
      <c r="BV24" s="1">
        <v>2</v>
      </c>
      <c r="BW24" s="1">
        <v>0</v>
      </c>
      <c r="BX24" s="1">
        <v>1</v>
      </c>
      <c r="BY24" s="1">
        <v>0</v>
      </c>
      <c r="BZ24" s="1">
        <v>0</v>
      </c>
      <c r="CA24" s="1">
        <v>0</v>
      </c>
      <c r="CB24" s="1">
        <v>1</v>
      </c>
      <c r="CC24" s="1">
        <v>0</v>
      </c>
      <c r="CD24" s="1">
        <v>0</v>
      </c>
      <c r="CE24" s="1">
        <v>0</v>
      </c>
      <c r="CF24" s="1">
        <v>0</v>
      </c>
      <c r="CG24" s="1">
        <v>0</v>
      </c>
      <c r="CH24" s="1">
        <v>1</v>
      </c>
      <c r="CI24" s="1">
        <v>0</v>
      </c>
      <c r="CJ24" s="1">
        <v>4</v>
      </c>
      <c r="CK24" s="1">
        <v>4</v>
      </c>
      <c r="CL24" s="1">
        <v>4</v>
      </c>
      <c r="CM24" s="1">
        <v>4</v>
      </c>
      <c r="CN24" s="1">
        <v>4</v>
      </c>
      <c r="CO24" s="1">
        <v>4</v>
      </c>
      <c r="CP24" s="1">
        <v>4</v>
      </c>
      <c r="CU24" s="1">
        <v>2</v>
      </c>
    </row>
    <row r="25" spans="1:99" x14ac:dyDescent="0.35">
      <c r="A25" s="1" t="s">
        <v>2253</v>
      </c>
      <c r="B25" s="1">
        <v>171364026</v>
      </c>
      <c r="C25" s="1">
        <v>0</v>
      </c>
      <c r="D25" s="1">
        <v>1</v>
      </c>
      <c r="E25" s="1">
        <v>0</v>
      </c>
      <c r="F25" s="1">
        <v>0</v>
      </c>
      <c r="G25" s="1">
        <v>0</v>
      </c>
      <c r="H25" s="1">
        <v>1</v>
      </c>
      <c r="I25" s="1">
        <v>0</v>
      </c>
      <c r="J25" s="1">
        <v>0</v>
      </c>
      <c r="K25" s="1">
        <v>0</v>
      </c>
      <c r="L25" s="1">
        <v>0</v>
      </c>
      <c r="M25" s="1">
        <v>0</v>
      </c>
      <c r="N25" s="1">
        <v>0</v>
      </c>
      <c r="O25" s="1">
        <v>0</v>
      </c>
      <c r="P25" s="1">
        <v>70</v>
      </c>
      <c r="Q25" s="1">
        <v>20</v>
      </c>
      <c r="R25" s="1">
        <v>10</v>
      </c>
      <c r="S25" s="1">
        <v>1</v>
      </c>
      <c r="T25" s="1">
        <v>1</v>
      </c>
      <c r="U25" s="1">
        <v>3</v>
      </c>
      <c r="V25" s="1">
        <v>3</v>
      </c>
      <c r="W25" s="1">
        <v>3</v>
      </c>
      <c r="X25" s="1">
        <v>3</v>
      </c>
      <c r="Y25" s="1">
        <v>3</v>
      </c>
      <c r="Z25" s="1">
        <v>3</v>
      </c>
      <c r="AA25" s="1">
        <v>3</v>
      </c>
      <c r="AC25" s="1">
        <v>1</v>
      </c>
      <c r="AD25" s="1">
        <v>2</v>
      </c>
      <c r="AE25" s="1">
        <v>2</v>
      </c>
      <c r="AF25" s="3">
        <v>5500000</v>
      </c>
      <c r="AG25" s="1">
        <v>13</v>
      </c>
      <c r="AT25" s="1" t="s">
        <v>750</v>
      </c>
      <c r="BP25" s="1">
        <v>3</v>
      </c>
      <c r="BQ25" s="1" t="s">
        <v>2254</v>
      </c>
      <c r="BR25" s="1" t="s">
        <v>2255</v>
      </c>
      <c r="BT25" s="1" t="s">
        <v>79</v>
      </c>
      <c r="BU25" s="1">
        <v>3</v>
      </c>
      <c r="BV25" s="1">
        <v>3</v>
      </c>
      <c r="BW25" s="1">
        <v>1</v>
      </c>
      <c r="BX25" s="1">
        <v>0</v>
      </c>
      <c r="BY25" s="1">
        <v>0</v>
      </c>
      <c r="BZ25" s="1">
        <v>0</v>
      </c>
      <c r="CA25" s="1">
        <v>0</v>
      </c>
      <c r="CB25" s="1">
        <v>0</v>
      </c>
      <c r="CC25" s="1">
        <v>0</v>
      </c>
      <c r="CD25" s="1">
        <v>0</v>
      </c>
      <c r="CE25" s="1">
        <v>0</v>
      </c>
      <c r="CF25" s="1">
        <v>0</v>
      </c>
      <c r="CG25" s="1">
        <v>0</v>
      </c>
      <c r="CH25" s="1">
        <v>0</v>
      </c>
      <c r="CI25" s="1">
        <v>0</v>
      </c>
      <c r="CJ25" s="1">
        <v>3</v>
      </c>
      <c r="CK25" s="1">
        <v>3</v>
      </c>
      <c r="CL25" s="1">
        <v>3</v>
      </c>
      <c r="CM25" s="1">
        <v>3</v>
      </c>
      <c r="CN25" s="1">
        <v>3</v>
      </c>
      <c r="CO25" s="1">
        <v>3</v>
      </c>
      <c r="CP25" s="1">
        <v>3</v>
      </c>
      <c r="CU25" s="1">
        <v>1</v>
      </c>
    </row>
    <row r="26" spans="1:99" x14ac:dyDescent="0.35">
      <c r="A26" s="1" t="s">
        <v>2256</v>
      </c>
      <c r="B26" s="1">
        <v>171364027</v>
      </c>
      <c r="C26" s="1">
        <v>0</v>
      </c>
      <c r="D26" s="1">
        <v>1</v>
      </c>
      <c r="E26" s="1">
        <v>0</v>
      </c>
      <c r="F26" s="1">
        <v>0</v>
      </c>
      <c r="G26" s="1">
        <v>0</v>
      </c>
      <c r="H26" s="1">
        <v>0</v>
      </c>
      <c r="I26" s="1">
        <v>0</v>
      </c>
      <c r="J26" s="1">
        <v>0</v>
      </c>
      <c r="K26" s="1">
        <v>0</v>
      </c>
      <c r="L26" s="1">
        <v>0</v>
      </c>
      <c r="M26" s="1">
        <v>0</v>
      </c>
      <c r="N26" s="1">
        <v>0</v>
      </c>
      <c r="O26" s="1">
        <v>0</v>
      </c>
      <c r="P26" s="1">
        <v>100</v>
      </c>
      <c r="Q26" s="1">
        <v>15</v>
      </c>
      <c r="R26" s="1">
        <v>15</v>
      </c>
      <c r="S26" s="1">
        <v>5</v>
      </c>
      <c r="T26" s="1">
        <v>1</v>
      </c>
      <c r="U26" s="1">
        <v>4</v>
      </c>
      <c r="V26" s="1">
        <v>2</v>
      </c>
      <c r="W26" s="1">
        <v>3</v>
      </c>
      <c r="X26" s="1">
        <v>4</v>
      </c>
      <c r="Y26" s="1">
        <v>4</v>
      </c>
      <c r="Z26" s="1">
        <v>4</v>
      </c>
      <c r="AA26" s="1">
        <v>4</v>
      </c>
      <c r="CU26" s="1">
        <v>4</v>
      </c>
    </row>
    <row r="27" spans="1:99" x14ac:dyDescent="0.35">
      <c r="A27" s="1" t="s">
        <v>2257</v>
      </c>
      <c r="B27" s="1">
        <v>171364028</v>
      </c>
      <c r="S27" s="1">
        <v>3</v>
      </c>
      <c r="T27" s="1">
        <v>1</v>
      </c>
      <c r="U27" s="1">
        <v>4</v>
      </c>
      <c r="V27" s="1">
        <v>3</v>
      </c>
      <c r="W27" s="1">
        <v>3</v>
      </c>
      <c r="X27" s="1">
        <v>3</v>
      </c>
      <c r="Y27" s="1">
        <v>3</v>
      </c>
      <c r="Z27" s="1">
        <v>3</v>
      </c>
      <c r="AA27" s="1">
        <v>3</v>
      </c>
      <c r="AB27" s="1">
        <v>1</v>
      </c>
      <c r="AC27" s="1">
        <v>1</v>
      </c>
      <c r="AD27" s="1">
        <v>0</v>
      </c>
      <c r="AF27" s="3">
        <v>7000000</v>
      </c>
      <c r="AG27" s="1">
        <v>13</v>
      </c>
      <c r="AT27" s="1" t="s">
        <v>2258</v>
      </c>
      <c r="BP27" s="1">
        <v>3</v>
      </c>
      <c r="BQ27" s="1" t="s">
        <v>2259</v>
      </c>
      <c r="BR27" s="1" t="s">
        <v>2260</v>
      </c>
      <c r="BS27" s="1" t="s">
        <v>2261</v>
      </c>
      <c r="BT27" s="1" t="s">
        <v>107</v>
      </c>
      <c r="BU27" s="1">
        <v>4</v>
      </c>
      <c r="BV27" s="1">
        <v>4</v>
      </c>
      <c r="BW27" s="1">
        <v>0</v>
      </c>
      <c r="BX27" s="1">
        <v>0</v>
      </c>
      <c r="BY27" s="1">
        <v>1</v>
      </c>
      <c r="BZ27" s="1">
        <v>0</v>
      </c>
      <c r="CA27" s="1">
        <v>0</v>
      </c>
      <c r="CB27" s="1">
        <v>0</v>
      </c>
      <c r="CC27" s="1">
        <v>0</v>
      </c>
      <c r="CD27" s="1">
        <v>0</v>
      </c>
      <c r="CE27" s="1">
        <v>0</v>
      </c>
      <c r="CF27" s="1">
        <v>0</v>
      </c>
      <c r="CG27" s="1">
        <v>0</v>
      </c>
      <c r="CH27" s="1">
        <v>0</v>
      </c>
      <c r="CI27" s="1">
        <v>0</v>
      </c>
      <c r="CJ27" s="1">
        <v>4</v>
      </c>
      <c r="CK27" s="1">
        <v>4</v>
      </c>
      <c r="CL27" s="1">
        <v>2</v>
      </c>
      <c r="CM27" s="1">
        <v>4</v>
      </c>
      <c r="CN27" s="1">
        <v>4</v>
      </c>
      <c r="CO27" s="1">
        <v>4</v>
      </c>
      <c r="CP27" s="1">
        <v>4</v>
      </c>
      <c r="CU27" s="1">
        <v>1</v>
      </c>
    </row>
    <row r="28" spans="1:99" x14ac:dyDescent="0.35">
      <c r="A28" s="1" t="s">
        <v>2262</v>
      </c>
      <c r="B28" s="1">
        <v>171364029</v>
      </c>
      <c r="C28" s="1">
        <v>0</v>
      </c>
      <c r="D28" s="1">
        <v>1</v>
      </c>
      <c r="E28" s="1">
        <v>0</v>
      </c>
      <c r="F28" s="1">
        <v>0</v>
      </c>
      <c r="G28" s="1">
        <v>0</v>
      </c>
      <c r="H28" s="1">
        <v>1</v>
      </c>
      <c r="I28" s="1">
        <v>0</v>
      </c>
      <c r="J28" s="1">
        <v>1</v>
      </c>
      <c r="K28" s="1">
        <v>1</v>
      </c>
      <c r="L28" s="1">
        <v>0</v>
      </c>
      <c r="M28" s="1">
        <v>0</v>
      </c>
      <c r="N28" s="1">
        <v>0</v>
      </c>
      <c r="O28" s="1">
        <v>0</v>
      </c>
      <c r="P28" s="1">
        <v>30</v>
      </c>
      <c r="Q28" s="1">
        <v>8</v>
      </c>
      <c r="R28" s="1">
        <v>2</v>
      </c>
      <c r="S28" s="1">
        <v>1</v>
      </c>
      <c r="T28" s="1">
        <v>1</v>
      </c>
      <c r="U28" s="1">
        <v>3</v>
      </c>
      <c r="V28" s="1">
        <v>3</v>
      </c>
      <c r="W28" s="1">
        <v>3</v>
      </c>
      <c r="X28" s="1">
        <v>3</v>
      </c>
      <c r="Y28" s="1">
        <v>3</v>
      </c>
      <c r="Z28" s="1">
        <v>3</v>
      </c>
      <c r="AA28" s="1">
        <v>3</v>
      </c>
      <c r="AC28" s="1">
        <v>1</v>
      </c>
      <c r="AD28" s="1">
        <v>3</v>
      </c>
      <c r="AE28" s="1">
        <v>3</v>
      </c>
      <c r="AF28" s="3">
        <v>10000000</v>
      </c>
      <c r="AG28" s="1">
        <v>13</v>
      </c>
      <c r="AT28" s="1" t="s">
        <v>75</v>
      </c>
      <c r="BP28" s="1">
        <v>3</v>
      </c>
      <c r="BQ28" s="1" t="s">
        <v>2263</v>
      </c>
      <c r="BR28" s="1" t="s">
        <v>2264</v>
      </c>
      <c r="BS28" s="1" t="s">
        <v>2265</v>
      </c>
      <c r="BT28" s="1" t="s">
        <v>73</v>
      </c>
      <c r="BU28" s="1">
        <v>3</v>
      </c>
      <c r="BV28" s="1">
        <v>2</v>
      </c>
      <c r="BW28" s="1">
        <v>1</v>
      </c>
      <c r="BX28" s="1">
        <v>1</v>
      </c>
      <c r="BY28" s="1">
        <v>1</v>
      </c>
      <c r="BZ28" s="1">
        <v>0</v>
      </c>
      <c r="CA28" s="1">
        <v>0</v>
      </c>
      <c r="CB28" s="1">
        <v>1</v>
      </c>
      <c r="CC28" s="1">
        <v>0</v>
      </c>
      <c r="CD28" s="1">
        <v>0</v>
      </c>
      <c r="CE28" s="1">
        <v>0</v>
      </c>
      <c r="CF28" s="1">
        <v>0</v>
      </c>
      <c r="CG28" s="1">
        <v>0</v>
      </c>
      <c r="CH28" s="1">
        <v>0</v>
      </c>
      <c r="CI28" s="1">
        <v>0</v>
      </c>
      <c r="CJ28" s="1">
        <v>4</v>
      </c>
      <c r="CK28" s="1">
        <v>2</v>
      </c>
      <c r="CL28" s="1">
        <v>2</v>
      </c>
      <c r="CM28" s="1">
        <v>3</v>
      </c>
      <c r="CN28" s="1">
        <v>4</v>
      </c>
      <c r="CO28" s="1">
        <v>4</v>
      </c>
      <c r="CP28" s="1">
        <v>4</v>
      </c>
      <c r="CU28" s="1">
        <v>1</v>
      </c>
    </row>
    <row r="29" spans="1:99" x14ac:dyDescent="0.35">
      <c r="A29" s="1" t="s">
        <v>2266</v>
      </c>
      <c r="B29" s="1">
        <v>171364030</v>
      </c>
      <c r="C29" s="1">
        <v>0</v>
      </c>
      <c r="D29" s="1">
        <v>1</v>
      </c>
      <c r="E29" s="1">
        <v>0</v>
      </c>
      <c r="F29" s="1">
        <v>0</v>
      </c>
      <c r="G29" s="1">
        <v>0</v>
      </c>
      <c r="H29" s="1">
        <v>0</v>
      </c>
      <c r="I29" s="1">
        <v>0</v>
      </c>
      <c r="J29" s="1">
        <v>1</v>
      </c>
      <c r="K29" s="1">
        <v>1</v>
      </c>
      <c r="L29" s="1">
        <v>0</v>
      </c>
      <c r="M29" s="1">
        <v>1</v>
      </c>
      <c r="N29" s="1">
        <v>0</v>
      </c>
      <c r="O29" s="1">
        <v>0</v>
      </c>
      <c r="P29" s="1" t="s">
        <v>2267</v>
      </c>
      <c r="Q29" s="1" t="s">
        <v>2268</v>
      </c>
      <c r="R29" s="1" t="s">
        <v>2269</v>
      </c>
      <c r="S29" s="1">
        <v>1</v>
      </c>
      <c r="T29" s="1">
        <v>1</v>
      </c>
      <c r="U29" s="1">
        <v>4</v>
      </c>
      <c r="V29" s="1">
        <v>4</v>
      </c>
      <c r="W29" s="1">
        <v>4</v>
      </c>
      <c r="X29" s="1">
        <v>4</v>
      </c>
      <c r="Y29" s="1">
        <v>3</v>
      </c>
      <c r="Z29" s="1">
        <v>4</v>
      </c>
      <c r="AA29" s="1">
        <v>4</v>
      </c>
      <c r="AC29" s="1">
        <v>1</v>
      </c>
      <c r="AD29" s="1">
        <v>1</v>
      </c>
      <c r="AE29" s="1">
        <v>1</v>
      </c>
      <c r="AF29" s="3">
        <v>4500000</v>
      </c>
      <c r="AG29" s="1">
        <v>13</v>
      </c>
      <c r="AT29" s="1" t="s">
        <v>86</v>
      </c>
      <c r="BP29" s="1">
        <v>3</v>
      </c>
      <c r="BQ29" s="1" t="s">
        <v>2270</v>
      </c>
      <c r="BR29" s="1" t="s">
        <v>881</v>
      </c>
      <c r="BS29" s="1" t="s">
        <v>882</v>
      </c>
      <c r="BT29" s="1" t="s">
        <v>79</v>
      </c>
      <c r="BU29" s="1">
        <v>1</v>
      </c>
      <c r="BV29" s="1">
        <v>2</v>
      </c>
      <c r="BW29" s="1">
        <v>0</v>
      </c>
      <c r="BX29" s="1">
        <v>0</v>
      </c>
      <c r="BY29" s="1">
        <v>1</v>
      </c>
      <c r="BZ29" s="1">
        <v>0</v>
      </c>
      <c r="CA29" s="1">
        <v>0</v>
      </c>
      <c r="CB29" s="1">
        <v>0</v>
      </c>
      <c r="CC29" s="1">
        <v>0</v>
      </c>
      <c r="CD29" s="1">
        <v>1</v>
      </c>
      <c r="CE29" s="1">
        <v>0</v>
      </c>
      <c r="CF29" s="1">
        <v>1</v>
      </c>
      <c r="CG29" s="1">
        <v>0</v>
      </c>
      <c r="CH29" s="1">
        <v>0</v>
      </c>
      <c r="CI29" s="1">
        <v>0</v>
      </c>
      <c r="CJ29" s="1">
        <v>4</v>
      </c>
      <c r="CK29" s="1">
        <v>4</v>
      </c>
      <c r="CL29" s="1">
        <v>4</v>
      </c>
      <c r="CM29" s="1">
        <v>4</v>
      </c>
      <c r="CN29" s="1">
        <v>4</v>
      </c>
      <c r="CO29" s="1">
        <v>4</v>
      </c>
      <c r="CP29" s="1">
        <v>4</v>
      </c>
      <c r="CU29" s="1">
        <v>1</v>
      </c>
    </row>
    <row r="30" spans="1:99" x14ac:dyDescent="0.35">
      <c r="A30" s="1" t="s">
        <v>2271</v>
      </c>
      <c r="B30" s="1">
        <v>171364031</v>
      </c>
      <c r="C30" s="1">
        <v>1</v>
      </c>
      <c r="D30" s="1">
        <v>1</v>
      </c>
      <c r="E30" s="1">
        <v>0</v>
      </c>
      <c r="F30" s="1">
        <v>0</v>
      </c>
      <c r="G30" s="1">
        <v>0</v>
      </c>
      <c r="H30" s="1">
        <v>1</v>
      </c>
      <c r="I30" s="1">
        <v>0</v>
      </c>
      <c r="J30" s="1">
        <v>0</v>
      </c>
      <c r="K30" s="1">
        <v>1</v>
      </c>
      <c r="L30" s="1">
        <v>1</v>
      </c>
      <c r="M30" s="1">
        <v>0</v>
      </c>
      <c r="N30" s="1">
        <v>0</v>
      </c>
      <c r="O30" s="1">
        <v>0</v>
      </c>
      <c r="P30" s="1">
        <v>12</v>
      </c>
      <c r="Q30" s="1">
        <v>3</v>
      </c>
      <c r="R30" s="1">
        <v>3</v>
      </c>
      <c r="S30" s="1">
        <v>1</v>
      </c>
      <c r="T30" s="1">
        <v>1</v>
      </c>
      <c r="U30" s="1">
        <v>4</v>
      </c>
      <c r="V30" s="1">
        <v>3</v>
      </c>
      <c r="W30" s="1">
        <v>1</v>
      </c>
      <c r="X30" s="1">
        <v>4</v>
      </c>
      <c r="Y30" s="1">
        <v>3</v>
      </c>
      <c r="Z30" s="1">
        <v>4</v>
      </c>
      <c r="AA30" s="1">
        <v>3</v>
      </c>
      <c r="AC30" s="1">
        <v>1</v>
      </c>
      <c r="AD30" s="1">
        <v>4</v>
      </c>
      <c r="AE30" s="1">
        <v>5</v>
      </c>
      <c r="AF30" s="3">
        <v>4500000</v>
      </c>
      <c r="AG30" s="1">
        <v>13</v>
      </c>
      <c r="AT30" s="1" t="s">
        <v>1414</v>
      </c>
      <c r="BP30" s="1">
        <v>7</v>
      </c>
      <c r="BQ30" s="1" t="s">
        <v>2272</v>
      </c>
      <c r="BR30" s="1" t="s">
        <v>2273</v>
      </c>
      <c r="BT30" s="1" t="s">
        <v>79</v>
      </c>
      <c r="BU30" s="1">
        <v>1</v>
      </c>
      <c r="BV30" s="1">
        <v>2</v>
      </c>
      <c r="BW30" s="1">
        <v>1</v>
      </c>
      <c r="BX30" s="1">
        <v>0</v>
      </c>
      <c r="BY30" s="1">
        <v>0</v>
      </c>
      <c r="BZ30" s="1">
        <v>0</v>
      </c>
      <c r="CA30" s="1">
        <v>0</v>
      </c>
      <c r="CB30" s="1">
        <v>0</v>
      </c>
      <c r="CC30" s="1">
        <v>0</v>
      </c>
      <c r="CD30" s="1">
        <v>0</v>
      </c>
      <c r="CE30" s="1">
        <v>0</v>
      </c>
      <c r="CF30" s="1">
        <v>0</v>
      </c>
      <c r="CG30" s="1">
        <v>0</v>
      </c>
      <c r="CH30" s="1">
        <v>0</v>
      </c>
      <c r="CI30" s="1">
        <v>0</v>
      </c>
      <c r="CJ30" s="1">
        <v>4</v>
      </c>
      <c r="CK30" s="1">
        <v>4</v>
      </c>
      <c r="CL30" s="1">
        <v>2</v>
      </c>
      <c r="CM30" s="1">
        <v>4</v>
      </c>
      <c r="CN30" s="1">
        <v>4</v>
      </c>
      <c r="CO30" s="1">
        <v>4</v>
      </c>
      <c r="CP30" s="1">
        <v>4</v>
      </c>
      <c r="CU30" s="1">
        <v>1</v>
      </c>
    </row>
    <row r="31" spans="1:99" x14ac:dyDescent="0.35">
      <c r="A31" s="1" t="s">
        <v>2274</v>
      </c>
      <c r="B31" s="1">
        <v>171364032</v>
      </c>
      <c r="C31" s="1">
        <v>0</v>
      </c>
      <c r="D31" s="1">
        <v>1</v>
      </c>
      <c r="E31" s="1">
        <v>0</v>
      </c>
      <c r="F31" s="1">
        <v>0</v>
      </c>
      <c r="G31" s="1">
        <v>0</v>
      </c>
      <c r="H31" s="1">
        <v>1</v>
      </c>
      <c r="I31" s="1">
        <v>0</v>
      </c>
      <c r="J31" s="1">
        <v>0</v>
      </c>
      <c r="K31" s="1">
        <v>0</v>
      </c>
      <c r="L31" s="1">
        <v>0</v>
      </c>
      <c r="M31" s="1">
        <v>0</v>
      </c>
      <c r="N31" s="1">
        <v>0</v>
      </c>
      <c r="O31" s="1">
        <v>0</v>
      </c>
      <c r="P31" s="1">
        <v>10</v>
      </c>
      <c r="Q31" s="1">
        <v>15</v>
      </c>
      <c r="R31" s="1">
        <v>12</v>
      </c>
      <c r="S31" s="1">
        <v>1</v>
      </c>
      <c r="T31" s="1">
        <v>1</v>
      </c>
      <c r="U31" s="1">
        <v>3</v>
      </c>
      <c r="V31" s="1">
        <v>3</v>
      </c>
      <c r="W31" s="1">
        <v>1</v>
      </c>
      <c r="X31" s="1">
        <v>3</v>
      </c>
      <c r="Y31" s="1">
        <v>3</v>
      </c>
      <c r="Z31" s="1">
        <v>4</v>
      </c>
      <c r="AA31" s="1">
        <v>4</v>
      </c>
      <c r="AC31" s="1">
        <v>2</v>
      </c>
      <c r="AE31" s="1">
        <v>5</v>
      </c>
      <c r="AF31" s="3">
        <v>6000000</v>
      </c>
      <c r="AG31" s="1">
        <v>12</v>
      </c>
      <c r="AS31" s="1" t="s">
        <v>824</v>
      </c>
      <c r="BP31" s="1">
        <v>3</v>
      </c>
      <c r="BQ31" s="1" t="s">
        <v>2275</v>
      </c>
      <c r="BR31" s="1" t="s">
        <v>826</v>
      </c>
      <c r="BT31" s="1" t="s">
        <v>79</v>
      </c>
      <c r="BU31" s="1">
        <v>4</v>
      </c>
      <c r="BV31" s="1">
        <v>3</v>
      </c>
      <c r="BW31" s="1">
        <v>0</v>
      </c>
      <c r="BX31" s="1">
        <v>0</v>
      </c>
      <c r="BY31" s="1">
        <v>0</v>
      </c>
      <c r="BZ31" s="1">
        <v>0</v>
      </c>
      <c r="CA31" s="1">
        <v>0</v>
      </c>
      <c r="CB31" s="1">
        <v>0</v>
      </c>
      <c r="CC31" s="1">
        <v>0</v>
      </c>
      <c r="CD31" s="1">
        <v>0</v>
      </c>
      <c r="CE31" s="1">
        <v>0</v>
      </c>
      <c r="CF31" s="1">
        <v>0</v>
      </c>
      <c r="CG31" s="1">
        <v>0</v>
      </c>
      <c r="CH31" s="1">
        <v>1</v>
      </c>
      <c r="CI31" s="1">
        <v>0</v>
      </c>
      <c r="CJ31" s="1">
        <v>4</v>
      </c>
      <c r="CK31" s="1">
        <v>2</v>
      </c>
      <c r="CL31" s="1">
        <v>2</v>
      </c>
      <c r="CM31" s="1">
        <v>3</v>
      </c>
      <c r="CN31" s="1">
        <v>4</v>
      </c>
      <c r="CO31" s="1">
        <v>3</v>
      </c>
      <c r="CP31" s="1">
        <v>3</v>
      </c>
      <c r="CU31" s="1">
        <v>4</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4DD103-9F26-4460-AE32-E86D7A1CE962}">
  <dimension ref="A1:CU61"/>
  <sheetViews>
    <sheetView topLeftCell="T1" zoomScale="40" zoomScaleNormal="40" workbookViewId="0">
      <pane ySplit="1" topLeftCell="A35" activePane="bottomLeft" state="frozen"/>
      <selection pane="bottomLeft" activeCell="T50" sqref="T50"/>
    </sheetView>
  </sheetViews>
  <sheetFormatPr defaultColWidth="8.90625" defaultRowHeight="14.5" x14ac:dyDescent="0.35"/>
  <cols>
    <col min="1" max="1" width="41.453125" style="1" bestFit="1" customWidth="1"/>
    <col min="2" max="2" width="11.7265625" style="1" bestFit="1" customWidth="1"/>
    <col min="3" max="9" width="76" style="1" bestFit="1" customWidth="1"/>
    <col min="10" max="10" width="76.7265625" style="1" bestFit="1" customWidth="1"/>
    <col min="11" max="11" width="76.26953125" style="1" bestFit="1" customWidth="1"/>
    <col min="12" max="14" width="76.7265625" style="1" bestFit="1" customWidth="1"/>
    <col min="15" max="15" width="80.08984375" style="1" bestFit="1" customWidth="1"/>
    <col min="16" max="16" width="129.453125" style="1" bestFit="1" customWidth="1"/>
    <col min="17" max="17" width="76" style="1" bestFit="1" customWidth="1"/>
    <col min="18" max="18" width="86.26953125" style="1" bestFit="1" customWidth="1"/>
    <col min="19" max="19" width="30.81640625" style="1" bestFit="1" customWidth="1"/>
    <col min="20" max="20" width="49.1796875" style="1" bestFit="1" customWidth="1"/>
    <col min="21" max="21" width="80.36328125" style="1" bestFit="1" customWidth="1"/>
    <col min="22" max="22" width="107.81640625" style="1" bestFit="1" customWidth="1"/>
    <col min="23" max="23" width="89.90625" style="1" bestFit="1" customWidth="1"/>
    <col min="24" max="24" width="108.08984375" style="1" bestFit="1" customWidth="1"/>
    <col min="25" max="25" width="87.1796875" style="1" bestFit="1" customWidth="1"/>
    <col min="26" max="26" width="89.90625" style="1" bestFit="1" customWidth="1"/>
    <col min="27" max="27" width="94.6328125" style="1" bestFit="1" customWidth="1"/>
    <col min="28" max="28" width="50.36328125" style="1" bestFit="1" customWidth="1"/>
    <col min="29" max="29" width="86.90625" style="1" bestFit="1" customWidth="1"/>
    <col min="30" max="30" width="51" style="1" bestFit="1" customWidth="1"/>
    <col min="31" max="31" width="59.1796875" style="1" bestFit="1" customWidth="1"/>
    <col min="32" max="32" width="142.81640625" style="1" bestFit="1" customWidth="1"/>
    <col min="33" max="33" width="47.1796875" style="1" bestFit="1" customWidth="1"/>
    <col min="34" max="35" width="54.90625" style="1" bestFit="1" customWidth="1"/>
    <col min="36" max="37" width="55.36328125" style="1" bestFit="1" customWidth="1"/>
    <col min="38" max="38" width="54.90625" style="1" bestFit="1" customWidth="1"/>
    <col min="39" max="52" width="55.36328125" style="1" bestFit="1" customWidth="1"/>
    <col min="53" max="55" width="54.90625" style="1" bestFit="1" customWidth="1"/>
    <col min="56" max="64" width="55.36328125" style="1" bestFit="1" customWidth="1"/>
    <col min="65" max="67" width="54.90625" style="1" bestFit="1" customWidth="1"/>
    <col min="68" max="68" width="69.6328125" style="1" bestFit="1" customWidth="1"/>
    <col min="69" max="69" width="51.90625" style="1" bestFit="1" customWidth="1"/>
    <col min="70" max="71" width="54.6328125" style="1" bestFit="1" customWidth="1"/>
    <col min="72" max="72" width="67.1796875" style="1" bestFit="1" customWidth="1"/>
    <col min="73" max="73" width="255.6328125" style="1" bestFit="1" customWidth="1"/>
    <col min="74" max="74" width="76.90625" style="1" bestFit="1" customWidth="1"/>
    <col min="75" max="75" width="138.08984375" style="1" bestFit="1" customWidth="1"/>
    <col min="76" max="83" width="138.54296875" style="1" bestFit="1" customWidth="1"/>
    <col min="84" max="84" width="139.453125" style="1" bestFit="1" customWidth="1"/>
    <col min="85" max="85" width="138.7265625" style="1" bestFit="1" customWidth="1"/>
    <col min="86" max="86" width="139.453125" style="1" bestFit="1" customWidth="1"/>
    <col min="87" max="87" width="142.6328125" style="1" bestFit="1" customWidth="1"/>
    <col min="88" max="88" width="90.54296875" style="1" bestFit="1" customWidth="1"/>
    <col min="89" max="89" width="118.08984375" style="1" bestFit="1" customWidth="1"/>
    <col min="90" max="90" width="100.08984375" style="1" bestFit="1" customWidth="1"/>
    <col min="91" max="91" width="118.26953125" style="1" bestFit="1" customWidth="1"/>
    <col min="92" max="92" width="97.36328125" style="1" bestFit="1" customWidth="1"/>
    <col min="93" max="93" width="100.08984375" style="1" bestFit="1" customWidth="1"/>
    <col min="94" max="94" width="104.90625" style="1" bestFit="1" customWidth="1"/>
    <col min="95" max="95" width="47.6328125" style="1" bestFit="1" customWidth="1"/>
    <col min="96" max="96" width="64.453125" style="1" bestFit="1" customWidth="1"/>
    <col min="97" max="97" width="58.26953125" style="1" bestFit="1" customWidth="1"/>
    <col min="98" max="98" width="30.54296875" style="1" bestFit="1" customWidth="1"/>
    <col min="99" max="99" width="232.81640625" style="1" bestFit="1" customWidth="1"/>
    <col min="100" max="16384" width="8.90625" style="1"/>
  </cols>
  <sheetData>
    <row r="1" spans="1:99" s="6" customFormat="1" x14ac:dyDescent="0.35">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6" t="s">
        <v>15</v>
      </c>
      <c r="Q1" s="6" t="s">
        <v>16</v>
      </c>
      <c r="R1" s="6" t="s">
        <v>17</v>
      </c>
      <c r="S1" s="6" t="s">
        <v>18</v>
      </c>
      <c r="T1" s="6" t="s">
        <v>19</v>
      </c>
      <c r="U1" s="6" t="s">
        <v>20</v>
      </c>
      <c r="V1" s="6" t="s">
        <v>21</v>
      </c>
      <c r="W1" s="6" t="s">
        <v>22</v>
      </c>
      <c r="X1" s="6" t="s">
        <v>23</v>
      </c>
      <c r="Y1" s="6" t="s">
        <v>24</v>
      </c>
      <c r="Z1" s="6" t="s">
        <v>25</v>
      </c>
      <c r="AA1" s="6" t="s">
        <v>26</v>
      </c>
      <c r="AB1" s="6" t="s">
        <v>27</v>
      </c>
      <c r="AC1" s="6" t="s">
        <v>28</v>
      </c>
      <c r="AD1" s="6" t="s">
        <v>29</v>
      </c>
      <c r="AE1" s="6" t="s">
        <v>30</v>
      </c>
      <c r="AF1" s="6" t="s">
        <v>31</v>
      </c>
      <c r="AG1" s="6" t="s">
        <v>32</v>
      </c>
      <c r="AH1" s="6" t="s">
        <v>33</v>
      </c>
      <c r="AI1" s="6" t="s">
        <v>33</v>
      </c>
      <c r="AJ1" s="6" t="s">
        <v>34</v>
      </c>
      <c r="AK1" s="6" t="s">
        <v>34</v>
      </c>
      <c r="AL1" s="6" t="s">
        <v>33</v>
      </c>
      <c r="AM1" s="6" t="s">
        <v>34</v>
      </c>
      <c r="AN1" s="6" t="s">
        <v>34</v>
      </c>
      <c r="AO1" s="6" t="s">
        <v>34</v>
      </c>
      <c r="AP1" s="6" t="s">
        <v>34</v>
      </c>
      <c r="AQ1" s="6" t="s">
        <v>34</v>
      </c>
      <c r="AR1" s="6" t="s">
        <v>34</v>
      </c>
      <c r="AS1" s="6" t="s">
        <v>34</v>
      </c>
      <c r="AT1" s="6" t="s">
        <v>34</v>
      </c>
      <c r="AU1" s="6" t="s">
        <v>34</v>
      </c>
      <c r="AV1" s="6" t="s">
        <v>34</v>
      </c>
      <c r="AW1" s="6" t="s">
        <v>34</v>
      </c>
      <c r="AX1" s="6" t="s">
        <v>34</v>
      </c>
      <c r="AY1" s="6" t="s">
        <v>34</v>
      </c>
      <c r="AZ1" s="6" t="s">
        <v>34</v>
      </c>
      <c r="BA1" s="6" t="s">
        <v>33</v>
      </c>
      <c r="BB1" s="6" t="s">
        <v>33</v>
      </c>
      <c r="BC1" s="6" t="s">
        <v>33</v>
      </c>
      <c r="BD1" s="6" t="s">
        <v>34</v>
      </c>
      <c r="BE1" s="6" t="s">
        <v>34</v>
      </c>
      <c r="BF1" s="6" t="s">
        <v>34</v>
      </c>
      <c r="BG1" s="6" t="s">
        <v>34</v>
      </c>
      <c r="BH1" s="6" t="s">
        <v>34</v>
      </c>
      <c r="BI1" s="6" t="s">
        <v>34</v>
      </c>
      <c r="BJ1" s="6" t="s">
        <v>34</v>
      </c>
      <c r="BK1" s="6" t="s">
        <v>34</v>
      </c>
      <c r="BL1" s="6" t="s">
        <v>34</v>
      </c>
      <c r="BM1" s="6" t="s">
        <v>33</v>
      </c>
      <c r="BN1" s="6" t="s">
        <v>33</v>
      </c>
      <c r="BO1" s="6" t="s">
        <v>33</v>
      </c>
      <c r="BP1" s="6" t="s">
        <v>35</v>
      </c>
      <c r="BQ1" s="6" t="s">
        <v>36</v>
      </c>
      <c r="BR1" s="6" t="s">
        <v>37</v>
      </c>
      <c r="BS1" s="6" t="s">
        <v>38</v>
      </c>
      <c r="BT1" s="6" t="s">
        <v>39</v>
      </c>
      <c r="BU1" s="6" t="s">
        <v>40</v>
      </c>
      <c r="BV1" s="6" t="s">
        <v>41</v>
      </c>
      <c r="BW1" s="6" t="s">
        <v>42</v>
      </c>
      <c r="BX1" s="6" t="s">
        <v>43</v>
      </c>
      <c r="BY1" s="6" t="s">
        <v>44</v>
      </c>
      <c r="BZ1" s="6" t="s">
        <v>45</v>
      </c>
      <c r="CA1" s="6" t="s">
        <v>46</v>
      </c>
      <c r="CB1" s="6" t="s">
        <v>47</v>
      </c>
      <c r="CC1" s="6" t="s">
        <v>48</v>
      </c>
      <c r="CD1" s="6" t="s">
        <v>49</v>
      </c>
      <c r="CE1" s="6" t="s">
        <v>50</v>
      </c>
      <c r="CF1" s="6" t="s">
        <v>51</v>
      </c>
      <c r="CG1" s="6" t="s">
        <v>52</v>
      </c>
      <c r="CH1" s="6" t="s">
        <v>53</v>
      </c>
      <c r="CI1" s="6" t="s">
        <v>54</v>
      </c>
      <c r="CJ1" s="6" t="s">
        <v>55</v>
      </c>
      <c r="CK1" s="6" t="s">
        <v>56</v>
      </c>
      <c r="CL1" s="6" t="s">
        <v>57</v>
      </c>
      <c r="CM1" s="6" t="s">
        <v>58</v>
      </c>
      <c r="CN1" s="6" t="s">
        <v>59</v>
      </c>
      <c r="CO1" s="6" t="s">
        <v>60</v>
      </c>
      <c r="CP1" s="6" t="s">
        <v>61</v>
      </c>
      <c r="CQ1" s="6" t="s">
        <v>62</v>
      </c>
      <c r="CR1" s="6" t="s">
        <v>63</v>
      </c>
      <c r="CS1" s="6" t="s">
        <v>64</v>
      </c>
      <c r="CT1" s="6" t="s">
        <v>65</v>
      </c>
      <c r="CU1" s="6" t="s">
        <v>66</v>
      </c>
    </row>
    <row r="2" spans="1:99" x14ac:dyDescent="0.35">
      <c r="A2" s="1" t="s">
        <v>2276</v>
      </c>
      <c r="B2" s="1">
        <v>171611028</v>
      </c>
      <c r="C2" s="1">
        <v>0</v>
      </c>
      <c r="D2" s="1">
        <v>1</v>
      </c>
      <c r="E2" s="1">
        <v>0</v>
      </c>
      <c r="F2" s="1">
        <v>0</v>
      </c>
      <c r="G2" s="1">
        <v>0</v>
      </c>
      <c r="H2" s="1">
        <v>0</v>
      </c>
      <c r="I2" s="1">
        <v>0</v>
      </c>
      <c r="J2" s="1">
        <v>0</v>
      </c>
      <c r="K2" s="1">
        <v>0</v>
      </c>
      <c r="L2" s="1">
        <v>0</v>
      </c>
      <c r="M2" s="1">
        <v>0</v>
      </c>
      <c r="N2" s="1">
        <v>0</v>
      </c>
      <c r="O2" s="1">
        <v>0</v>
      </c>
      <c r="P2" s="1">
        <v>30</v>
      </c>
      <c r="Q2" s="1">
        <v>3</v>
      </c>
      <c r="R2" s="1">
        <v>1</v>
      </c>
      <c r="S2" s="1">
        <v>5</v>
      </c>
      <c r="T2" s="1">
        <v>1</v>
      </c>
      <c r="U2" s="1">
        <v>3</v>
      </c>
      <c r="V2" s="1">
        <v>3</v>
      </c>
      <c r="W2" s="1">
        <v>2</v>
      </c>
      <c r="X2" s="1">
        <v>4</v>
      </c>
      <c r="Y2" s="1">
        <v>3</v>
      </c>
      <c r="Z2" s="1">
        <v>3</v>
      </c>
      <c r="AA2" s="1">
        <v>3</v>
      </c>
      <c r="CU2" s="1">
        <v>4</v>
      </c>
    </row>
    <row r="3" spans="1:99" x14ac:dyDescent="0.35">
      <c r="A3" s="1" t="s">
        <v>2277</v>
      </c>
      <c r="B3" s="1">
        <v>171611042</v>
      </c>
      <c r="S3" s="1">
        <v>2</v>
      </c>
      <c r="T3" s="1" t="s">
        <v>2278</v>
      </c>
      <c r="U3" s="1">
        <v>4</v>
      </c>
      <c r="V3" s="1">
        <v>2</v>
      </c>
      <c r="W3" s="1">
        <v>3</v>
      </c>
      <c r="X3" s="1">
        <v>4</v>
      </c>
      <c r="Y3" s="1">
        <v>3</v>
      </c>
      <c r="Z3" s="1">
        <v>2</v>
      </c>
      <c r="AA3" s="1">
        <v>3</v>
      </c>
      <c r="CU3" s="1">
        <v>1</v>
      </c>
    </row>
    <row r="4" spans="1:99" x14ac:dyDescent="0.35">
      <c r="A4" s="1" t="s">
        <v>2379</v>
      </c>
      <c r="B4" s="1">
        <v>181611001</v>
      </c>
      <c r="C4" s="1">
        <v>0</v>
      </c>
      <c r="D4" s="1">
        <v>1</v>
      </c>
      <c r="E4" s="1">
        <v>0</v>
      </c>
      <c r="F4" s="1">
        <v>0</v>
      </c>
      <c r="G4" s="1">
        <v>0</v>
      </c>
      <c r="H4" s="1">
        <v>0</v>
      </c>
      <c r="I4" s="1">
        <v>0</v>
      </c>
      <c r="J4" s="1">
        <v>0</v>
      </c>
      <c r="K4" s="1">
        <v>1</v>
      </c>
      <c r="L4" s="1">
        <v>0</v>
      </c>
      <c r="M4" s="1">
        <v>0</v>
      </c>
      <c r="N4" s="1">
        <v>0</v>
      </c>
      <c r="O4" s="1">
        <v>0</v>
      </c>
      <c r="P4" s="1">
        <v>58</v>
      </c>
      <c r="Q4" s="1">
        <v>10</v>
      </c>
      <c r="R4" s="1">
        <v>10</v>
      </c>
      <c r="S4" s="1">
        <v>1</v>
      </c>
      <c r="T4" s="1">
        <v>1</v>
      </c>
      <c r="U4" s="1">
        <v>4</v>
      </c>
      <c r="V4" s="1">
        <v>3</v>
      </c>
      <c r="W4" s="1">
        <v>3</v>
      </c>
      <c r="X4" s="1">
        <v>3</v>
      </c>
      <c r="Y4" s="1">
        <v>3</v>
      </c>
      <c r="Z4" s="1">
        <v>4</v>
      </c>
      <c r="AA4" s="1">
        <v>3</v>
      </c>
      <c r="AC4" s="1">
        <v>1</v>
      </c>
      <c r="AD4" s="1">
        <v>5</v>
      </c>
      <c r="AF4" s="3">
        <v>4000000</v>
      </c>
      <c r="AG4" s="1">
        <v>13</v>
      </c>
      <c r="AT4" s="1" t="s">
        <v>86</v>
      </c>
      <c r="BP4" s="1">
        <v>3</v>
      </c>
      <c r="BQ4" s="1" t="s">
        <v>2380</v>
      </c>
      <c r="BR4" s="1" t="s">
        <v>2381</v>
      </c>
      <c r="BS4" s="1" t="s">
        <v>2382</v>
      </c>
      <c r="BT4" s="1" t="s">
        <v>107</v>
      </c>
      <c r="BU4" s="1">
        <v>1</v>
      </c>
      <c r="BV4" s="1">
        <v>2</v>
      </c>
      <c r="BW4" s="1">
        <v>1</v>
      </c>
      <c r="BX4" s="1">
        <v>0</v>
      </c>
      <c r="BY4" s="1">
        <v>0</v>
      </c>
      <c r="BZ4" s="1">
        <v>0</v>
      </c>
      <c r="CA4" s="1">
        <v>0</v>
      </c>
      <c r="CB4" s="1">
        <v>0</v>
      </c>
      <c r="CC4" s="1">
        <v>0</v>
      </c>
      <c r="CD4" s="1">
        <v>0</v>
      </c>
      <c r="CE4" s="1">
        <v>0</v>
      </c>
      <c r="CF4" s="1">
        <v>0</v>
      </c>
      <c r="CG4" s="1">
        <v>0</v>
      </c>
      <c r="CH4" s="1">
        <v>0</v>
      </c>
      <c r="CI4" s="1">
        <v>0</v>
      </c>
      <c r="CJ4" s="1">
        <v>4</v>
      </c>
      <c r="CK4" s="1">
        <v>4</v>
      </c>
      <c r="CL4" s="1">
        <v>3</v>
      </c>
      <c r="CM4" s="1">
        <v>4</v>
      </c>
      <c r="CN4" s="1">
        <v>4</v>
      </c>
      <c r="CO4" s="1">
        <v>4</v>
      </c>
      <c r="CP4" s="1">
        <v>4</v>
      </c>
      <c r="CU4" s="1">
        <v>1</v>
      </c>
    </row>
    <row r="5" spans="1:99" x14ac:dyDescent="0.35">
      <c r="A5" s="1" t="s">
        <v>2383</v>
      </c>
      <c r="B5" s="1">
        <v>181611003</v>
      </c>
      <c r="S5" s="1">
        <v>4</v>
      </c>
      <c r="T5" s="1">
        <v>1</v>
      </c>
      <c r="U5" s="1">
        <v>3</v>
      </c>
      <c r="V5" s="1">
        <v>4</v>
      </c>
      <c r="W5" s="1">
        <v>3</v>
      </c>
      <c r="X5" s="1">
        <v>3</v>
      </c>
      <c r="Y5" s="1">
        <v>4</v>
      </c>
      <c r="Z5" s="1">
        <v>3</v>
      </c>
      <c r="AA5" s="1">
        <v>3</v>
      </c>
      <c r="CQ5" s="1">
        <v>1</v>
      </c>
      <c r="CR5" s="1" t="s">
        <v>2384</v>
      </c>
      <c r="CS5" s="1" t="s">
        <v>761</v>
      </c>
      <c r="CT5" s="5">
        <v>44809</v>
      </c>
      <c r="CU5" s="1">
        <v>1</v>
      </c>
    </row>
    <row r="6" spans="1:99" x14ac:dyDescent="0.35">
      <c r="A6" s="1" t="s">
        <v>2385</v>
      </c>
      <c r="B6" s="1">
        <v>181611004</v>
      </c>
      <c r="S6" s="1">
        <v>4</v>
      </c>
      <c r="T6" s="1">
        <v>1</v>
      </c>
      <c r="U6" s="1">
        <v>4</v>
      </c>
      <c r="V6" s="1">
        <v>3</v>
      </c>
      <c r="W6" s="1">
        <v>3</v>
      </c>
      <c r="X6" s="1">
        <v>4</v>
      </c>
      <c r="Y6" s="1">
        <v>4</v>
      </c>
      <c r="Z6" s="1">
        <v>4</v>
      </c>
      <c r="AA6" s="1">
        <v>4</v>
      </c>
      <c r="CQ6" s="1">
        <v>2</v>
      </c>
      <c r="CR6" s="1" t="s">
        <v>2386</v>
      </c>
      <c r="CS6" s="1" t="s">
        <v>2387</v>
      </c>
      <c r="CT6" s="5">
        <v>44461</v>
      </c>
      <c r="CU6" s="1">
        <v>1</v>
      </c>
    </row>
    <row r="7" spans="1:99" x14ac:dyDescent="0.35">
      <c r="A7" s="1" t="s">
        <v>2388</v>
      </c>
      <c r="B7" s="1">
        <v>181611005</v>
      </c>
      <c r="C7" s="1">
        <v>1</v>
      </c>
      <c r="D7" s="1">
        <v>1</v>
      </c>
      <c r="E7" s="1">
        <v>1</v>
      </c>
      <c r="F7" s="1">
        <v>0</v>
      </c>
      <c r="G7" s="1">
        <v>0</v>
      </c>
      <c r="H7" s="1">
        <v>1</v>
      </c>
      <c r="I7" s="1">
        <v>1</v>
      </c>
      <c r="J7" s="1">
        <v>1</v>
      </c>
      <c r="K7" s="1">
        <v>1</v>
      </c>
      <c r="L7" s="1">
        <v>0</v>
      </c>
      <c r="M7" s="1">
        <v>0</v>
      </c>
      <c r="N7" s="1">
        <v>0</v>
      </c>
      <c r="O7" s="1">
        <v>0</v>
      </c>
      <c r="P7" s="1">
        <v>28</v>
      </c>
      <c r="Q7" s="1">
        <v>21</v>
      </c>
      <c r="R7" s="1">
        <v>8</v>
      </c>
      <c r="S7" s="1">
        <v>1</v>
      </c>
      <c r="T7" s="1">
        <v>3</v>
      </c>
      <c r="U7" s="1">
        <v>4</v>
      </c>
      <c r="V7" s="1">
        <v>4</v>
      </c>
      <c r="W7" s="1">
        <v>3</v>
      </c>
      <c r="X7" s="1">
        <v>4</v>
      </c>
      <c r="Y7" s="1">
        <v>4</v>
      </c>
      <c r="Z7" s="1">
        <v>4</v>
      </c>
      <c r="AA7" s="1">
        <v>4</v>
      </c>
      <c r="AC7" s="1">
        <v>1</v>
      </c>
      <c r="AD7" s="1">
        <v>2</v>
      </c>
      <c r="AF7" s="3">
        <v>5500000</v>
      </c>
      <c r="AG7" s="1">
        <v>11</v>
      </c>
      <c r="AR7" s="1" t="s">
        <v>130</v>
      </c>
      <c r="BP7" s="1">
        <v>4</v>
      </c>
      <c r="BQ7" s="1" t="s">
        <v>2357</v>
      </c>
      <c r="BR7" s="1" t="s">
        <v>2389</v>
      </c>
      <c r="BS7" s="1" t="s">
        <v>2359</v>
      </c>
      <c r="BT7" s="1" t="s">
        <v>79</v>
      </c>
      <c r="BU7" s="1">
        <v>1</v>
      </c>
      <c r="BV7" s="1">
        <v>1</v>
      </c>
      <c r="BW7" s="1">
        <v>1</v>
      </c>
      <c r="BX7" s="1">
        <v>0</v>
      </c>
      <c r="BY7" s="1">
        <v>0</v>
      </c>
      <c r="BZ7" s="1">
        <v>0</v>
      </c>
      <c r="CA7" s="1">
        <v>0</v>
      </c>
      <c r="CB7" s="1">
        <v>0</v>
      </c>
      <c r="CC7" s="1">
        <v>0</v>
      </c>
      <c r="CD7" s="1">
        <v>0</v>
      </c>
      <c r="CE7" s="1">
        <v>0</v>
      </c>
      <c r="CF7" s="1">
        <v>0</v>
      </c>
      <c r="CG7" s="1">
        <v>0</v>
      </c>
      <c r="CH7" s="1">
        <v>0</v>
      </c>
      <c r="CI7" s="1">
        <v>0</v>
      </c>
      <c r="CJ7" s="1">
        <v>4</v>
      </c>
      <c r="CK7" s="1">
        <v>4</v>
      </c>
      <c r="CL7" s="1">
        <v>4</v>
      </c>
      <c r="CM7" s="1">
        <v>4</v>
      </c>
      <c r="CN7" s="1">
        <v>4</v>
      </c>
      <c r="CO7" s="1">
        <v>4</v>
      </c>
      <c r="CP7" s="1">
        <v>4</v>
      </c>
      <c r="CU7" s="1">
        <v>1</v>
      </c>
    </row>
    <row r="8" spans="1:99" x14ac:dyDescent="0.35">
      <c r="A8" s="1" t="s">
        <v>2390</v>
      </c>
      <c r="B8" s="1">
        <v>181611006</v>
      </c>
      <c r="C8" s="1">
        <v>0</v>
      </c>
      <c r="D8" s="1">
        <v>0</v>
      </c>
      <c r="E8" s="1">
        <v>0</v>
      </c>
      <c r="F8" s="1">
        <v>0</v>
      </c>
      <c r="G8" s="1">
        <v>0</v>
      </c>
      <c r="H8" s="1">
        <v>0</v>
      </c>
      <c r="I8" s="1">
        <v>0</v>
      </c>
      <c r="J8" s="1">
        <v>0</v>
      </c>
      <c r="K8" s="1">
        <v>0</v>
      </c>
      <c r="L8" s="1">
        <v>0</v>
      </c>
      <c r="M8" s="1">
        <v>0</v>
      </c>
      <c r="N8" s="1">
        <v>0</v>
      </c>
      <c r="O8" s="1">
        <v>0</v>
      </c>
      <c r="P8" s="1">
        <v>500</v>
      </c>
      <c r="Q8" s="1">
        <v>50</v>
      </c>
      <c r="R8" s="1">
        <v>30</v>
      </c>
      <c r="S8" s="1">
        <v>1</v>
      </c>
      <c r="T8" s="1">
        <v>1</v>
      </c>
      <c r="U8" s="1">
        <v>3</v>
      </c>
      <c r="V8" s="1">
        <v>3</v>
      </c>
      <c r="W8" s="1">
        <v>1</v>
      </c>
      <c r="X8" s="1">
        <v>3</v>
      </c>
      <c r="Y8" s="1">
        <v>4</v>
      </c>
      <c r="Z8" s="1">
        <v>4</v>
      </c>
      <c r="AA8" s="1">
        <v>4</v>
      </c>
      <c r="AC8" s="1">
        <v>1</v>
      </c>
      <c r="AD8" s="1">
        <v>0</v>
      </c>
      <c r="AF8" s="3">
        <v>7500000</v>
      </c>
      <c r="AG8" s="1">
        <v>13</v>
      </c>
      <c r="AT8" s="1" t="s">
        <v>86</v>
      </c>
      <c r="BP8" s="1">
        <v>3</v>
      </c>
      <c r="BQ8" s="1" t="s">
        <v>2391</v>
      </c>
      <c r="BR8" s="1" t="s">
        <v>2392</v>
      </c>
      <c r="BT8" s="1" t="s">
        <v>73</v>
      </c>
      <c r="BU8" s="1">
        <v>1</v>
      </c>
      <c r="BV8" s="1">
        <v>1</v>
      </c>
      <c r="BW8" s="1">
        <v>0</v>
      </c>
      <c r="BX8" s="1">
        <v>0</v>
      </c>
      <c r="BY8" s="1">
        <v>1</v>
      </c>
      <c r="BZ8" s="1">
        <v>0</v>
      </c>
      <c r="CA8" s="1">
        <v>1</v>
      </c>
      <c r="CB8" s="1">
        <v>1</v>
      </c>
      <c r="CC8" s="1">
        <v>0</v>
      </c>
      <c r="CD8" s="1">
        <v>1</v>
      </c>
      <c r="CE8" s="1">
        <v>0</v>
      </c>
      <c r="CF8" s="1">
        <v>0</v>
      </c>
      <c r="CG8" s="1">
        <v>0</v>
      </c>
      <c r="CH8" s="1">
        <v>0</v>
      </c>
      <c r="CI8" s="1">
        <v>0</v>
      </c>
      <c r="CJ8" s="1">
        <v>4</v>
      </c>
      <c r="CK8" s="1">
        <v>4</v>
      </c>
      <c r="CL8" s="1">
        <v>4</v>
      </c>
      <c r="CM8" s="1">
        <v>4</v>
      </c>
      <c r="CN8" s="1">
        <v>4</v>
      </c>
      <c r="CO8" s="1">
        <v>4</v>
      </c>
      <c r="CP8" s="1">
        <v>4</v>
      </c>
      <c r="CU8" s="1">
        <v>1</v>
      </c>
    </row>
    <row r="9" spans="1:99" x14ac:dyDescent="0.35">
      <c r="A9" s="1" t="s">
        <v>2393</v>
      </c>
      <c r="B9" s="1">
        <v>181611007</v>
      </c>
      <c r="C9" s="1">
        <v>0</v>
      </c>
      <c r="D9" s="1">
        <v>1</v>
      </c>
      <c r="E9" s="1">
        <v>0</v>
      </c>
      <c r="F9" s="1">
        <v>0</v>
      </c>
      <c r="G9" s="1">
        <v>0</v>
      </c>
      <c r="H9" s="1">
        <v>0</v>
      </c>
      <c r="I9" s="1">
        <v>0</v>
      </c>
      <c r="J9" s="1">
        <v>0</v>
      </c>
      <c r="K9" s="1">
        <v>1</v>
      </c>
      <c r="L9" s="1">
        <v>0</v>
      </c>
      <c r="M9" s="1">
        <v>0</v>
      </c>
      <c r="N9" s="1">
        <v>0</v>
      </c>
      <c r="O9" s="1">
        <v>0</v>
      </c>
      <c r="P9" s="1" t="s">
        <v>2394</v>
      </c>
      <c r="Q9" s="1" t="s">
        <v>712</v>
      </c>
      <c r="R9" s="1" t="s">
        <v>1470</v>
      </c>
      <c r="S9" s="1">
        <v>5</v>
      </c>
      <c r="T9" s="1" t="s">
        <v>2395</v>
      </c>
      <c r="U9" s="1">
        <v>4</v>
      </c>
      <c r="V9" s="1">
        <v>2</v>
      </c>
      <c r="W9" s="1">
        <v>2</v>
      </c>
      <c r="X9" s="1">
        <v>3</v>
      </c>
      <c r="Y9" s="1">
        <v>4</v>
      </c>
      <c r="Z9" s="1">
        <v>3</v>
      </c>
      <c r="AA9" s="1">
        <v>3</v>
      </c>
      <c r="CU9" s="1">
        <v>2</v>
      </c>
    </row>
    <row r="10" spans="1:99" x14ac:dyDescent="0.35">
      <c r="A10" s="1" t="s">
        <v>2396</v>
      </c>
      <c r="B10" s="1">
        <v>181611009</v>
      </c>
      <c r="S10" s="1">
        <v>4</v>
      </c>
      <c r="T10" s="1">
        <v>1</v>
      </c>
      <c r="U10" s="1">
        <v>3</v>
      </c>
      <c r="V10" s="1">
        <v>3</v>
      </c>
      <c r="W10" s="1">
        <v>4</v>
      </c>
      <c r="X10" s="1">
        <v>4</v>
      </c>
      <c r="Y10" s="1">
        <v>3</v>
      </c>
      <c r="Z10" s="1">
        <v>3</v>
      </c>
      <c r="AA10" s="1">
        <v>4</v>
      </c>
      <c r="CQ10" s="1">
        <v>2</v>
      </c>
      <c r="CR10" s="1" t="s">
        <v>2397</v>
      </c>
      <c r="CS10" s="1" t="s">
        <v>2398</v>
      </c>
      <c r="CT10" s="5">
        <v>44461</v>
      </c>
      <c r="CU10" s="1">
        <v>1</v>
      </c>
    </row>
    <row r="11" spans="1:99" x14ac:dyDescent="0.35">
      <c r="A11" s="1" t="s">
        <v>2399</v>
      </c>
      <c r="B11" s="1">
        <v>181611010</v>
      </c>
      <c r="C11" s="1">
        <v>0</v>
      </c>
      <c r="D11" s="1">
        <v>0</v>
      </c>
      <c r="E11" s="1">
        <v>0</v>
      </c>
      <c r="F11" s="1">
        <v>0</v>
      </c>
      <c r="G11" s="1">
        <v>0</v>
      </c>
      <c r="H11" s="1">
        <v>0</v>
      </c>
      <c r="I11" s="1">
        <v>0</v>
      </c>
      <c r="J11" s="1">
        <v>0</v>
      </c>
      <c r="K11" s="1">
        <v>1</v>
      </c>
      <c r="L11" s="1">
        <v>0</v>
      </c>
      <c r="M11" s="1">
        <v>0</v>
      </c>
      <c r="N11" s="1">
        <v>0</v>
      </c>
      <c r="O11" s="1">
        <v>0</v>
      </c>
      <c r="P11" s="1">
        <v>6</v>
      </c>
      <c r="Q11" s="1">
        <v>5</v>
      </c>
      <c r="R11" s="1">
        <v>3</v>
      </c>
      <c r="S11" s="1">
        <v>1</v>
      </c>
      <c r="T11" s="1">
        <v>1</v>
      </c>
      <c r="U11" s="1">
        <v>4</v>
      </c>
      <c r="V11" s="1">
        <v>3</v>
      </c>
      <c r="W11" s="1">
        <v>2</v>
      </c>
      <c r="X11" s="1">
        <v>3</v>
      </c>
      <c r="Y11" s="1">
        <v>4</v>
      </c>
      <c r="Z11" s="1">
        <v>4</v>
      </c>
      <c r="AA11" s="1">
        <v>4</v>
      </c>
      <c r="AC11" s="1">
        <v>2</v>
      </c>
      <c r="AE11" s="1">
        <v>2</v>
      </c>
      <c r="AF11" s="3">
        <v>4000000</v>
      </c>
      <c r="AG11" s="1">
        <v>13</v>
      </c>
      <c r="AT11" s="1" t="s">
        <v>209</v>
      </c>
      <c r="BP11" s="1">
        <v>3</v>
      </c>
      <c r="BQ11" s="1" t="s">
        <v>2400</v>
      </c>
      <c r="BR11" s="1" t="s">
        <v>2401</v>
      </c>
      <c r="BS11" s="1" t="s">
        <v>4329</v>
      </c>
      <c r="BT11" s="1" t="s">
        <v>79</v>
      </c>
      <c r="BU11" s="1">
        <v>1</v>
      </c>
      <c r="BV11" s="1">
        <v>2</v>
      </c>
      <c r="BW11" s="1">
        <v>1</v>
      </c>
      <c r="BX11" s="1">
        <v>0</v>
      </c>
      <c r="BY11" s="1">
        <v>0</v>
      </c>
      <c r="BZ11" s="1">
        <v>0</v>
      </c>
      <c r="CA11" s="1">
        <v>0</v>
      </c>
      <c r="CB11" s="1">
        <v>0</v>
      </c>
      <c r="CC11" s="1">
        <v>0</v>
      </c>
      <c r="CD11" s="1">
        <v>0</v>
      </c>
      <c r="CE11" s="1">
        <v>0</v>
      </c>
      <c r="CF11" s="1">
        <v>0</v>
      </c>
      <c r="CG11" s="1">
        <v>0</v>
      </c>
      <c r="CH11" s="1">
        <v>0</v>
      </c>
      <c r="CI11" s="1">
        <v>0</v>
      </c>
      <c r="CJ11" s="1">
        <v>4</v>
      </c>
      <c r="CK11" s="1">
        <v>4</v>
      </c>
      <c r="CL11" s="1">
        <v>2</v>
      </c>
      <c r="CM11" s="1">
        <v>3</v>
      </c>
      <c r="CN11" s="1">
        <v>4</v>
      </c>
      <c r="CO11" s="1">
        <v>4</v>
      </c>
      <c r="CP11" s="1">
        <v>4</v>
      </c>
      <c r="CU11" s="1">
        <v>1</v>
      </c>
    </row>
    <row r="12" spans="1:99" x14ac:dyDescent="0.35">
      <c r="A12" s="1" t="s">
        <v>2402</v>
      </c>
      <c r="B12" s="1">
        <v>181611011</v>
      </c>
      <c r="C12" s="1">
        <v>0</v>
      </c>
      <c r="D12" s="1">
        <v>1</v>
      </c>
      <c r="E12" s="1">
        <v>0</v>
      </c>
      <c r="F12" s="1">
        <v>0</v>
      </c>
      <c r="G12" s="1">
        <v>0</v>
      </c>
      <c r="H12" s="1">
        <v>0</v>
      </c>
      <c r="I12" s="1">
        <v>0</v>
      </c>
      <c r="J12" s="1">
        <v>0</v>
      </c>
      <c r="K12" s="1">
        <v>1</v>
      </c>
      <c r="L12" s="1">
        <v>0</v>
      </c>
      <c r="M12" s="1">
        <v>0</v>
      </c>
      <c r="N12" s="1">
        <v>0</v>
      </c>
      <c r="O12" s="1">
        <v>0</v>
      </c>
      <c r="P12" s="1">
        <v>12</v>
      </c>
      <c r="Q12" s="1">
        <v>6</v>
      </c>
      <c r="R12" s="1">
        <v>4</v>
      </c>
      <c r="S12" s="1">
        <v>1</v>
      </c>
      <c r="T12" s="1">
        <v>1</v>
      </c>
      <c r="U12" s="1">
        <v>4</v>
      </c>
      <c r="V12" s="1">
        <v>3</v>
      </c>
      <c r="W12" s="1">
        <v>3</v>
      </c>
      <c r="X12" s="1">
        <v>4</v>
      </c>
      <c r="Y12" s="1">
        <v>3</v>
      </c>
      <c r="Z12" s="1">
        <v>4</v>
      </c>
      <c r="AA12" s="1">
        <v>4</v>
      </c>
      <c r="AC12" s="1">
        <v>1</v>
      </c>
      <c r="AD12" s="1">
        <v>1</v>
      </c>
      <c r="AF12" s="3">
        <v>4000000</v>
      </c>
      <c r="AG12" s="1">
        <v>13</v>
      </c>
      <c r="AT12" s="1" t="s">
        <v>86</v>
      </c>
      <c r="BP12" s="1">
        <v>3</v>
      </c>
      <c r="BQ12" s="1" t="s">
        <v>2403</v>
      </c>
      <c r="BR12" s="1" t="s">
        <v>2404</v>
      </c>
      <c r="BS12" s="1" t="s">
        <v>2405</v>
      </c>
      <c r="BT12" s="1" t="s">
        <v>79</v>
      </c>
      <c r="BU12" s="1">
        <v>1</v>
      </c>
      <c r="BV12" s="1">
        <v>2</v>
      </c>
      <c r="BW12" s="1">
        <v>1</v>
      </c>
      <c r="BX12" s="1">
        <v>0</v>
      </c>
      <c r="BY12" s="1">
        <v>0</v>
      </c>
      <c r="BZ12" s="1">
        <v>0</v>
      </c>
      <c r="CA12" s="1">
        <v>0</v>
      </c>
      <c r="CB12" s="1">
        <v>0</v>
      </c>
      <c r="CC12" s="1">
        <v>0</v>
      </c>
      <c r="CD12" s="1">
        <v>0</v>
      </c>
      <c r="CE12" s="1">
        <v>0</v>
      </c>
      <c r="CF12" s="1">
        <v>0</v>
      </c>
      <c r="CG12" s="1">
        <v>0</v>
      </c>
      <c r="CH12" s="1">
        <v>0</v>
      </c>
      <c r="CI12" s="1">
        <v>0</v>
      </c>
      <c r="CJ12" s="1">
        <v>4</v>
      </c>
      <c r="CK12" s="1">
        <v>4</v>
      </c>
      <c r="CL12" s="1">
        <v>4</v>
      </c>
      <c r="CM12" s="1">
        <v>4</v>
      </c>
      <c r="CN12" s="1">
        <v>4</v>
      </c>
      <c r="CO12" s="1">
        <v>4</v>
      </c>
      <c r="CP12" s="1">
        <v>4</v>
      </c>
      <c r="CU12" s="1">
        <v>1</v>
      </c>
    </row>
    <row r="13" spans="1:99" x14ac:dyDescent="0.35">
      <c r="A13" s="1" t="s">
        <v>2406</v>
      </c>
      <c r="B13" s="1">
        <v>181611012</v>
      </c>
      <c r="C13" s="1">
        <v>0</v>
      </c>
      <c r="D13" s="1">
        <v>1</v>
      </c>
      <c r="E13" s="1">
        <v>0</v>
      </c>
      <c r="F13" s="1">
        <v>0</v>
      </c>
      <c r="G13" s="1">
        <v>0</v>
      </c>
      <c r="H13" s="1">
        <v>0</v>
      </c>
      <c r="I13" s="1">
        <v>0</v>
      </c>
      <c r="J13" s="1">
        <v>0</v>
      </c>
      <c r="K13" s="1">
        <v>0</v>
      </c>
      <c r="L13" s="1">
        <v>0</v>
      </c>
      <c r="M13" s="1">
        <v>0</v>
      </c>
      <c r="N13" s="1">
        <v>0</v>
      </c>
      <c r="O13" s="1">
        <v>0</v>
      </c>
      <c r="P13" s="1">
        <v>30</v>
      </c>
      <c r="Q13" s="1">
        <v>5</v>
      </c>
      <c r="R13" s="1">
        <v>3</v>
      </c>
      <c r="S13" s="1">
        <v>1</v>
      </c>
      <c r="T13" s="1">
        <v>1</v>
      </c>
      <c r="U13" s="1">
        <v>3</v>
      </c>
      <c r="V13" s="1">
        <v>3</v>
      </c>
      <c r="W13" s="1">
        <v>3</v>
      </c>
      <c r="X13" s="1">
        <v>3</v>
      </c>
      <c r="Y13" s="1">
        <v>3</v>
      </c>
      <c r="Z13" s="1">
        <v>3</v>
      </c>
      <c r="AA13" s="1">
        <v>3</v>
      </c>
      <c r="AC13" s="1">
        <v>1</v>
      </c>
      <c r="AD13" s="1">
        <v>2</v>
      </c>
      <c r="AF13" s="3">
        <v>4500000</v>
      </c>
      <c r="AG13" s="1">
        <v>13</v>
      </c>
      <c r="AT13" s="1" t="s">
        <v>86</v>
      </c>
      <c r="BP13" s="1">
        <v>3</v>
      </c>
      <c r="BQ13" s="1" t="s">
        <v>2407</v>
      </c>
      <c r="BR13" s="1" t="s">
        <v>2408</v>
      </c>
      <c r="BT13" s="1" t="s">
        <v>79</v>
      </c>
      <c r="BU13" s="1">
        <v>1</v>
      </c>
      <c r="BV13" s="1">
        <v>3</v>
      </c>
      <c r="BW13" s="1">
        <v>1</v>
      </c>
      <c r="BX13" s="1">
        <v>0</v>
      </c>
      <c r="BY13" s="1">
        <v>0</v>
      </c>
      <c r="BZ13" s="1">
        <v>0</v>
      </c>
      <c r="CA13" s="1">
        <v>0</v>
      </c>
      <c r="CB13" s="1">
        <v>0</v>
      </c>
      <c r="CC13" s="1">
        <v>1</v>
      </c>
      <c r="CD13" s="1">
        <v>0</v>
      </c>
      <c r="CE13" s="1">
        <v>0</v>
      </c>
      <c r="CF13" s="1">
        <v>1</v>
      </c>
      <c r="CG13" s="1">
        <v>0</v>
      </c>
      <c r="CH13" s="1">
        <v>0</v>
      </c>
      <c r="CI13" s="1">
        <v>0</v>
      </c>
      <c r="CJ13" s="1">
        <v>3</v>
      </c>
      <c r="CK13" s="1">
        <v>4</v>
      </c>
      <c r="CL13" s="1">
        <v>3</v>
      </c>
      <c r="CM13" s="1">
        <v>3</v>
      </c>
      <c r="CN13" s="1">
        <v>4</v>
      </c>
      <c r="CO13" s="1">
        <v>3</v>
      </c>
      <c r="CP13" s="1">
        <v>3</v>
      </c>
      <c r="CU13" s="1">
        <v>1</v>
      </c>
    </row>
    <row r="14" spans="1:99" x14ac:dyDescent="0.35">
      <c r="A14" s="1" t="s">
        <v>2409</v>
      </c>
      <c r="B14" s="1">
        <v>181611013</v>
      </c>
      <c r="C14" s="1">
        <v>0</v>
      </c>
      <c r="D14" s="1">
        <v>1</v>
      </c>
      <c r="E14" s="1">
        <v>0</v>
      </c>
      <c r="F14" s="1">
        <v>0</v>
      </c>
      <c r="G14" s="1">
        <v>0</v>
      </c>
      <c r="H14" s="1">
        <v>0</v>
      </c>
      <c r="I14" s="1">
        <v>0</v>
      </c>
      <c r="J14" s="1">
        <v>0</v>
      </c>
      <c r="K14" s="1">
        <v>1</v>
      </c>
      <c r="L14" s="1">
        <v>1</v>
      </c>
      <c r="M14" s="1">
        <v>0</v>
      </c>
      <c r="N14" s="1">
        <v>0</v>
      </c>
      <c r="O14" s="1">
        <v>0</v>
      </c>
      <c r="P14" s="1">
        <v>100</v>
      </c>
      <c r="Q14" s="1">
        <v>50</v>
      </c>
      <c r="R14" s="1">
        <v>50</v>
      </c>
      <c r="S14" s="1">
        <v>5</v>
      </c>
      <c r="T14" s="1">
        <v>1</v>
      </c>
      <c r="U14" s="1">
        <v>4</v>
      </c>
      <c r="V14" s="1">
        <v>4</v>
      </c>
      <c r="W14" s="1">
        <v>3</v>
      </c>
      <c r="X14" s="1">
        <v>3</v>
      </c>
      <c r="Y14" s="1">
        <v>3</v>
      </c>
      <c r="Z14" s="1">
        <v>4</v>
      </c>
      <c r="AA14" s="1">
        <v>4</v>
      </c>
      <c r="CU14" s="1">
        <v>2</v>
      </c>
    </row>
    <row r="15" spans="1:99" x14ac:dyDescent="0.35">
      <c r="A15" s="1" t="s">
        <v>2410</v>
      </c>
      <c r="B15" s="1">
        <v>181611015</v>
      </c>
      <c r="S15" s="1">
        <v>1</v>
      </c>
      <c r="T15" s="1">
        <v>1</v>
      </c>
      <c r="U15" s="1">
        <v>4</v>
      </c>
      <c r="V15" s="1">
        <v>4</v>
      </c>
      <c r="W15" s="1">
        <v>2</v>
      </c>
      <c r="X15" s="1">
        <v>4</v>
      </c>
      <c r="Y15" s="1">
        <v>3</v>
      </c>
      <c r="Z15" s="1">
        <v>4</v>
      </c>
      <c r="AA15" s="1">
        <v>4</v>
      </c>
      <c r="AC15" s="1">
        <v>2</v>
      </c>
      <c r="AE15" s="1">
        <v>1</v>
      </c>
      <c r="AF15" s="3">
        <v>3000000</v>
      </c>
      <c r="AG15" s="1">
        <v>13</v>
      </c>
      <c r="AT15" s="1" t="s">
        <v>86</v>
      </c>
      <c r="BP15" s="1">
        <v>4</v>
      </c>
      <c r="BQ15" s="1" t="s">
        <v>2411</v>
      </c>
      <c r="BT15" s="1" t="s">
        <v>107</v>
      </c>
      <c r="BU15" s="1">
        <v>5</v>
      </c>
      <c r="BV15" s="1">
        <v>4</v>
      </c>
      <c r="BW15" s="1">
        <v>0</v>
      </c>
      <c r="BX15" s="1">
        <v>0</v>
      </c>
      <c r="BY15" s="1">
        <v>0</v>
      </c>
      <c r="BZ15" s="1">
        <v>0</v>
      </c>
      <c r="CA15" s="1">
        <v>0</v>
      </c>
      <c r="CB15" s="1">
        <v>0</v>
      </c>
      <c r="CC15" s="1">
        <v>1</v>
      </c>
      <c r="CD15" s="1">
        <v>0</v>
      </c>
      <c r="CE15" s="1">
        <v>1</v>
      </c>
      <c r="CF15" s="1">
        <v>1</v>
      </c>
      <c r="CG15" s="1">
        <v>0</v>
      </c>
      <c r="CH15" s="1">
        <v>0</v>
      </c>
      <c r="CI15" s="1">
        <v>0</v>
      </c>
      <c r="CJ15" s="1">
        <v>4</v>
      </c>
      <c r="CK15" s="1">
        <v>4</v>
      </c>
      <c r="CL15" s="1">
        <v>2</v>
      </c>
      <c r="CM15" s="1">
        <v>4</v>
      </c>
      <c r="CN15" s="1">
        <v>3</v>
      </c>
      <c r="CO15" s="1">
        <v>4</v>
      </c>
      <c r="CP15" s="1">
        <v>4</v>
      </c>
      <c r="CU15" s="1">
        <v>1</v>
      </c>
    </row>
    <row r="16" spans="1:99" x14ac:dyDescent="0.35">
      <c r="A16" s="1" t="s">
        <v>2412</v>
      </c>
      <c r="B16" s="1">
        <v>181611017</v>
      </c>
      <c r="S16" s="1">
        <v>4</v>
      </c>
      <c r="U16" s="1">
        <v>3</v>
      </c>
      <c r="V16" s="1">
        <v>4</v>
      </c>
      <c r="W16" s="1">
        <v>4</v>
      </c>
      <c r="X16" s="1">
        <v>3</v>
      </c>
      <c r="Y16" s="1">
        <v>3</v>
      </c>
      <c r="Z16" s="1">
        <v>3</v>
      </c>
      <c r="AA16" s="1">
        <v>4</v>
      </c>
      <c r="CQ16" s="1">
        <v>2</v>
      </c>
      <c r="CR16" s="1" t="s">
        <v>2292</v>
      </c>
      <c r="CS16" s="1" t="s">
        <v>2413</v>
      </c>
      <c r="CT16" s="5">
        <v>44461</v>
      </c>
      <c r="CU16" s="1">
        <v>1</v>
      </c>
    </row>
    <row r="17" spans="1:99" x14ac:dyDescent="0.35">
      <c r="A17" s="1" t="s">
        <v>2414</v>
      </c>
      <c r="B17" s="1">
        <v>181611018</v>
      </c>
      <c r="S17" s="1">
        <v>4</v>
      </c>
      <c r="T17" s="1">
        <v>1</v>
      </c>
      <c r="U17" s="1">
        <v>4</v>
      </c>
      <c r="V17" s="1">
        <v>4</v>
      </c>
      <c r="W17" s="1">
        <v>4</v>
      </c>
      <c r="X17" s="1">
        <v>4</v>
      </c>
      <c r="Y17" s="1">
        <v>4</v>
      </c>
      <c r="Z17" s="1">
        <v>4</v>
      </c>
      <c r="AA17" s="1">
        <v>4</v>
      </c>
      <c r="CQ17" s="1">
        <v>2</v>
      </c>
      <c r="CR17" s="1" t="s">
        <v>2415</v>
      </c>
      <c r="CS17" s="1" t="s">
        <v>2416</v>
      </c>
      <c r="CT17" s="5">
        <v>44459</v>
      </c>
      <c r="CU17" s="1">
        <v>1</v>
      </c>
    </row>
    <row r="18" spans="1:99" x14ac:dyDescent="0.35">
      <c r="A18" s="1" t="s">
        <v>2417</v>
      </c>
      <c r="B18" s="1">
        <v>181611019</v>
      </c>
      <c r="C18" s="1">
        <v>0</v>
      </c>
      <c r="D18" s="1">
        <v>1</v>
      </c>
      <c r="E18" s="1">
        <v>0</v>
      </c>
      <c r="F18" s="1">
        <v>0</v>
      </c>
      <c r="G18" s="1">
        <v>0</v>
      </c>
      <c r="H18" s="1">
        <v>0</v>
      </c>
      <c r="I18" s="1">
        <v>0</v>
      </c>
      <c r="J18" s="1">
        <v>0</v>
      </c>
      <c r="K18" s="1">
        <v>1</v>
      </c>
      <c r="L18" s="1">
        <v>0</v>
      </c>
      <c r="M18" s="1">
        <v>0</v>
      </c>
      <c r="N18" s="1">
        <v>0</v>
      </c>
      <c r="O18" s="1">
        <v>0</v>
      </c>
      <c r="P18" s="1">
        <v>5</v>
      </c>
      <c r="Q18" s="1">
        <v>2</v>
      </c>
      <c r="R18" s="1">
        <v>1</v>
      </c>
      <c r="S18" s="1">
        <v>5</v>
      </c>
      <c r="T18" s="1">
        <v>1</v>
      </c>
      <c r="U18" s="1">
        <v>3</v>
      </c>
      <c r="V18" s="1">
        <v>3</v>
      </c>
      <c r="W18" s="1">
        <v>2</v>
      </c>
      <c r="X18" s="1">
        <v>2</v>
      </c>
      <c r="Y18" s="1">
        <v>3</v>
      </c>
      <c r="Z18" s="1">
        <v>3</v>
      </c>
      <c r="AA18" s="1">
        <v>3</v>
      </c>
      <c r="CU18" s="1">
        <v>4</v>
      </c>
    </row>
    <row r="19" spans="1:99" x14ac:dyDescent="0.35">
      <c r="A19" s="1" t="s">
        <v>2418</v>
      </c>
      <c r="B19" s="1">
        <v>181611020</v>
      </c>
      <c r="S19" s="1">
        <v>4</v>
      </c>
      <c r="T19" s="1">
        <v>1</v>
      </c>
      <c r="U19" s="1">
        <v>4</v>
      </c>
      <c r="V19" s="1">
        <v>3</v>
      </c>
      <c r="W19" s="1">
        <v>3</v>
      </c>
      <c r="X19" s="1">
        <v>4</v>
      </c>
      <c r="Y19" s="1">
        <v>3</v>
      </c>
      <c r="Z19" s="1">
        <v>3</v>
      </c>
      <c r="AA19" s="1">
        <v>4</v>
      </c>
      <c r="CQ19" s="1">
        <v>2</v>
      </c>
      <c r="CR19" s="1" t="s">
        <v>2292</v>
      </c>
      <c r="CS19" s="1" t="s">
        <v>2419</v>
      </c>
      <c r="CT19" s="5">
        <v>44461</v>
      </c>
      <c r="CU19" s="1">
        <v>1</v>
      </c>
    </row>
    <row r="20" spans="1:99" x14ac:dyDescent="0.35">
      <c r="A20" s="1" t="s">
        <v>2420</v>
      </c>
      <c r="B20" s="1">
        <v>181611021</v>
      </c>
      <c r="C20" s="1">
        <v>0</v>
      </c>
      <c r="D20" s="1">
        <v>1</v>
      </c>
      <c r="E20" s="1">
        <v>1</v>
      </c>
      <c r="F20" s="1">
        <v>0</v>
      </c>
      <c r="G20" s="1">
        <v>0</v>
      </c>
      <c r="H20" s="1">
        <v>0</v>
      </c>
      <c r="I20" s="1">
        <v>0</v>
      </c>
      <c r="J20" s="1">
        <v>1</v>
      </c>
      <c r="K20" s="1">
        <v>1</v>
      </c>
      <c r="L20" s="1">
        <v>0</v>
      </c>
      <c r="M20" s="1">
        <v>0</v>
      </c>
      <c r="N20" s="1">
        <v>0</v>
      </c>
      <c r="O20" s="1">
        <v>0</v>
      </c>
      <c r="P20" s="1">
        <v>30</v>
      </c>
      <c r="Q20" s="1">
        <v>5</v>
      </c>
      <c r="R20" s="1">
        <v>4</v>
      </c>
      <c r="S20" s="1">
        <v>1</v>
      </c>
      <c r="T20" s="1">
        <v>1</v>
      </c>
      <c r="U20" s="1">
        <v>4</v>
      </c>
      <c r="V20" s="1">
        <v>3</v>
      </c>
      <c r="W20" s="1">
        <v>3</v>
      </c>
      <c r="X20" s="1">
        <v>3</v>
      </c>
      <c r="Y20" s="1">
        <v>3</v>
      </c>
      <c r="Z20" s="1">
        <v>3</v>
      </c>
      <c r="AA20" s="1">
        <v>3</v>
      </c>
      <c r="AC20" s="1">
        <v>1</v>
      </c>
      <c r="AD20" s="1">
        <v>2</v>
      </c>
      <c r="AF20" s="3">
        <v>8000000</v>
      </c>
      <c r="AG20" s="1">
        <v>11</v>
      </c>
      <c r="AR20" s="1" t="s">
        <v>118</v>
      </c>
      <c r="BP20" s="1">
        <v>3</v>
      </c>
      <c r="BQ20" s="1" t="s">
        <v>2421</v>
      </c>
      <c r="BR20" s="1" t="s">
        <v>2422</v>
      </c>
      <c r="BS20" s="1" t="s">
        <v>2423</v>
      </c>
      <c r="BT20" s="1" t="s">
        <v>73</v>
      </c>
      <c r="BU20" s="1">
        <v>1</v>
      </c>
      <c r="BV20" s="1">
        <v>2</v>
      </c>
      <c r="BW20" s="1">
        <v>1</v>
      </c>
      <c r="BX20" s="1">
        <v>0</v>
      </c>
      <c r="BY20" s="1">
        <v>0</v>
      </c>
      <c r="BZ20" s="1">
        <v>0</v>
      </c>
      <c r="CA20" s="1">
        <v>0</v>
      </c>
      <c r="CB20" s="1">
        <v>0</v>
      </c>
      <c r="CC20" s="1">
        <v>0</v>
      </c>
      <c r="CD20" s="1">
        <v>0</v>
      </c>
      <c r="CE20" s="1">
        <v>0</v>
      </c>
      <c r="CF20" s="1">
        <v>0</v>
      </c>
      <c r="CG20" s="1">
        <v>0</v>
      </c>
      <c r="CH20" s="1">
        <v>0</v>
      </c>
      <c r="CI20" s="1">
        <v>0</v>
      </c>
      <c r="CJ20" s="1">
        <v>4</v>
      </c>
      <c r="CK20" s="1">
        <v>4</v>
      </c>
      <c r="CL20" s="1">
        <v>4</v>
      </c>
      <c r="CM20" s="1">
        <v>4</v>
      </c>
      <c r="CN20" s="1">
        <v>4</v>
      </c>
      <c r="CO20" s="1">
        <v>4</v>
      </c>
      <c r="CP20" s="1">
        <v>4</v>
      </c>
      <c r="CU20" s="1">
        <v>1</v>
      </c>
    </row>
    <row r="21" spans="1:99" x14ac:dyDescent="0.35">
      <c r="A21" s="1" t="s">
        <v>2424</v>
      </c>
      <c r="B21" s="1">
        <v>181611022</v>
      </c>
      <c r="C21" s="1">
        <v>0</v>
      </c>
      <c r="D21" s="1">
        <v>0</v>
      </c>
      <c r="E21" s="1">
        <v>0</v>
      </c>
      <c r="F21" s="1">
        <v>0</v>
      </c>
      <c r="G21" s="1">
        <v>0</v>
      </c>
      <c r="H21" s="1">
        <v>0</v>
      </c>
      <c r="I21" s="1">
        <v>1</v>
      </c>
      <c r="J21" s="1">
        <v>0</v>
      </c>
      <c r="K21" s="1">
        <v>0</v>
      </c>
      <c r="L21" s="1">
        <v>0</v>
      </c>
      <c r="M21" s="1">
        <v>0</v>
      </c>
      <c r="N21" s="1">
        <v>0</v>
      </c>
      <c r="O21" s="1">
        <v>0</v>
      </c>
      <c r="P21" s="1">
        <v>0</v>
      </c>
      <c r="Q21" s="1">
        <v>1</v>
      </c>
      <c r="R21" s="1">
        <v>1</v>
      </c>
      <c r="S21" s="1">
        <v>5</v>
      </c>
      <c r="T21" s="1">
        <v>1</v>
      </c>
      <c r="U21" s="1">
        <v>3</v>
      </c>
      <c r="V21" s="1">
        <v>3</v>
      </c>
      <c r="W21" s="1">
        <v>3</v>
      </c>
      <c r="X21" s="1">
        <v>3</v>
      </c>
      <c r="Y21" s="1">
        <v>3</v>
      </c>
      <c r="Z21" s="1">
        <v>3</v>
      </c>
      <c r="AA21" s="1">
        <v>3</v>
      </c>
      <c r="CU21" s="1">
        <v>4</v>
      </c>
    </row>
    <row r="22" spans="1:99" x14ac:dyDescent="0.35">
      <c r="A22" s="1" t="s">
        <v>2425</v>
      </c>
      <c r="B22" s="1">
        <v>181611023</v>
      </c>
      <c r="C22" s="1">
        <v>0</v>
      </c>
      <c r="D22" s="1">
        <v>0</v>
      </c>
      <c r="E22" s="1">
        <v>0</v>
      </c>
      <c r="F22" s="1">
        <v>0</v>
      </c>
      <c r="G22" s="1">
        <v>0</v>
      </c>
      <c r="H22" s="1">
        <v>0</v>
      </c>
      <c r="I22" s="1">
        <v>0</v>
      </c>
      <c r="J22" s="1">
        <v>0</v>
      </c>
      <c r="K22" s="1">
        <v>0</v>
      </c>
      <c r="L22" s="1">
        <v>0</v>
      </c>
      <c r="M22" s="1">
        <v>0</v>
      </c>
      <c r="N22" s="1">
        <v>0</v>
      </c>
      <c r="O22" s="1">
        <v>0</v>
      </c>
      <c r="P22" s="1">
        <v>3</v>
      </c>
      <c r="Q22" s="1">
        <v>3</v>
      </c>
      <c r="R22" s="1">
        <v>3</v>
      </c>
      <c r="S22" s="1">
        <v>1</v>
      </c>
      <c r="T22" s="1">
        <v>1</v>
      </c>
      <c r="U22" s="1">
        <v>4</v>
      </c>
      <c r="V22" s="1">
        <v>4</v>
      </c>
      <c r="W22" s="1">
        <v>3</v>
      </c>
      <c r="X22" s="1">
        <v>3</v>
      </c>
      <c r="Y22" s="1">
        <v>4</v>
      </c>
      <c r="Z22" s="1">
        <v>4</v>
      </c>
      <c r="AA22" s="1">
        <v>4</v>
      </c>
      <c r="AC22" s="1">
        <v>1</v>
      </c>
      <c r="AD22" s="1">
        <v>1</v>
      </c>
      <c r="AE22" s="1">
        <v>1</v>
      </c>
      <c r="AF22" s="3">
        <v>7000000</v>
      </c>
      <c r="AG22" s="1">
        <v>22</v>
      </c>
      <c r="BC22" s="1" t="s">
        <v>2426</v>
      </c>
      <c r="BP22" s="1">
        <v>3</v>
      </c>
      <c r="BQ22" s="1" t="s">
        <v>2427</v>
      </c>
      <c r="BR22" s="1" t="s">
        <v>2428</v>
      </c>
      <c r="BS22" s="1" t="s">
        <v>2429</v>
      </c>
      <c r="BT22" s="1" t="s">
        <v>79</v>
      </c>
      <c r="BU22" s="1">
        <v>1</v>
      </c>
      <c r="BV22" s="1">
        <v>2</v>
      </c>
      <c r="BW22" s="1">
        <v>1</v>
      </c>
      <c r="BX22" s="1">
        <v>0</v>
      </c>
      <c r="BY22" s="1">
        <v>0</v>
      </c>
      <c r="BZ22" s="1">
        <v>0</v>
      </c>
      <c r="CA22" s="1">
        <v>0</v>
      </c>
      <c r="CB22" s="1">
        <v>0</v>
      </c>
      <c r="CC22" s="1">
        <v>0</v>
      </c>
      <c r="CD22" s="1">
        <v>0</v>
      </c>
      <c r="CE22" s="1">
        <v>0</v>
      </c>
      <c r="CF22" s="1">
        <v>0</v>
      </c>
      <c r="CG22" s="1">
        <v>0</v>
      </c>
      <c r="CH22" s="1">
        <v>0</v>
      </c>
      <c r="CI22" s="1">
        <v>0</v>
      </c>
      <c r="CJ22" s="1">
        <v>4</v>
      </c>
      <c r="CK22" s="1">
        <v>4</v>
      </c>
      <c r="CL22" s="1">
        <v>4</v>
      </c>
      <c r="CM22" s="1">
        <v>4</v>
      </c>
      <c r="CN22" s="1">
        <v>4</v>
      </c>
      <c r="CO22" s="1">
        <v>4</v>
      </c>
      <c r="CP22" s="1">
        <v>4</v>
      </c>
      <c r="CU22" s="1">
        <v>2</v>
      </c>
    </row>
    <row r="23" spans="1:99" x14ac:dyDescent="0.35">
      <c r="A23" s="1" t="s">
        <v>2430</v>
      </c>
      <c r="B23" s="1">
        <v>181611025</v>
      </c>
      <c r="C23" s="1">
        <v>0</v>
      </c>
      <c r="D23" s="1">
        <v>1</v>
      </c>
      <c r="E23" s="1">
        <v>0</v>
      </c>
      <c r="F23" s="1">
        <v>0</v>
      </c>
      <c r="G23" s="1">
        <v>0</v>
      </c>
      <c r="H23" s="1">
        <v>0</v>
      </c>
      <c r="I23" s="1">
        <v>0</v>
      </c>
      <c r="J23" s="1">
        <v>0</v>
      </c>
      <c r="K23" s="1">
        <v>1</v>
      </c>
      <c r="L23" s="1">
        <v>1</v>
      </c>
      <c r="M23" s="1">
        <v>0</v>
      </c>
      <c r="N23" s="1">
        <v>0</v>
      </c>
      <c r="O23" s="1" t="s">
        <v>2431</v>
      </c>
      <c r="P23" s="1">
        <v>1</v>
      </c>
      <c r="Q23" s="1">
        <v>2</v>
      </c>
      <c r="R23" s="1">
        <v>2</v>
      </c>
      <c r="S23" s="1">
        <v>3</v>
      </c>
      <c r="T23" s="1">
        <v>1</v>
      </c>
      <c r="U23" s="1">
        <v>4</v>
      </c>
      <c r="V23" s="1">
        <v>3</v>
      </c>
      <c r="W23" s="1">
        <v>4</v>
      </c>
      <c r="X23" s="1">
        <v>4</v>
      </c>
      <c r="Y23" s="1">
        <v>3</v>
      </c>
      <c r="Z23" s="1">
        <v>3</v>
      </c>
      <c r="AA23" s="1">
        <v>3</v>
      </c>
      <c r="AB23" s="1" t="s">
        <v>2432</v>
      </c>
      <c r="AC23" s="1">
        <v>1</v>
      </c>
      <c r="AD23" s="1">
        <v>2</v>
      </c>
      <c r="AF23" s="3">
        <v>5500000</v>
      </c>
      <c r="AG23" s="1">
        <v>13</v>
      </c>
      <c r="AT23" s="1" t="s">
        <v>93</v>
      </c>
      <c r="BP23" s="1">
        <v>4</v>
      </c>
      <c r="BR23" s="1" t="s">
        <v>2433</v>
      </c>
      <c r="BS23" s="1" t="s">
        <v>2434</v>
      </c>
      <c r="BT23" s="1" t="s">
        <v>107</v>
      </c>
      <c r="BU23" s="1">
        <v>4</v>
      </c>
      <c r="BV23" s="1">
        <v>2</v>
      </c>
      <c r="BW23" s="1">
        <v>0</v>
      </c>
      <c r="BX23" s="1">
        <v>1</v>
      </c>
      <c r="BY23" s="1">
        <v>1</v>
      </c>
      <c r="BZ23" s="1">
        <v>0</v>
      </c>
      <c r="CA23" s="1">
        <v>0</v>
      </c>
      <c r="CB23" s="1">
        <v>1</v>
      </c>
      <c r="CC23" s="1">
        <v>0</v>
      </c>
      <c r="CD23" s="1">
        <v>0</v>
      </c>
      <c r="CE23" s="1">
        <v>1</v>
      </c>
      <c r="CF23" s="1">
        <v>1</v>
      </c>
      <c r="CG23" s="1">
        <v>0</v>
      </c>
      <c r="CH23" s="1">
        <v>1</v>
      </c>
      <c r="CI23" s="1">
        <v>0</v>
      </c>
      <c r="CJ23" s="1">
        <v>4</v>
      </c>
      <c r="CK23" s="1">
        <v>3</v>
      </c>
      <c r="CL23" s="1">
        <v>3</v>
      </c>
      <c r="CM23" s="1">
        <v>3</v>
      </c>
      <c r="CN23" s="1">
        <v>4</v>
      </c>
      <c r="CO23" s="1">
        <v>4</v>
      </c>
      <c r="CP23" s="1">
        <v>4</v>
      </c>
      <c r="CU23" s="1">
        <v>1</v>
      </c>
    </row>
    <row r="24" spans="1:99" x14ac:dyDescent="0.35">
      <c r="A24" s="1" t="s">
        <v>2435</v>
      </c>
      <c r="B24" s="1">
        <v>181611026</v>
      </c>
      <c r="S24" s="1">
        <v>4</v>
      </c>
      <c r="T24" s="1">
        <v>1</v>
      </c>
      <c r="U24" s="1">
        <v>3</v>
      </c>
      <c r="V24" s="1">
        <v>3</v>
      </c>
      <c r="W24" s="1">
        <v>3</v>
      </c>
      <c r="X24" s="1">
        <v>3</v>
      </c>
      <c r="Y24" s="1">
        <v>3</v>
      </c>
      <c r="Z24" s="1">
        <v>3</v>
      </c>
      <c r="AA24" s="1">
        <v>3</v>
      </c>
      <c r="CQ24" s="1">
        <v>2</v>
      </c>
      <c r="CR24" s="1" t="s">
        <v>2436</v>
      </c>
      <c r="CS24" s="1" t="s">
        <v>2437</v>
      </c>
      <c r="CT24" s="5">
        <v>44452</v>
      </c>
      <c r="CU24" s="1">
        <v>1</v>
      </c>
    </row>
    <row r="25" spans="1:99" x14ac:dyDescent="0.35">
      <c r="A25" s="1" t="s">
        <v>2438</v>
      </c>
      <c r="B25" s="1">
        <v>181611027</v>
      </c>
      <c r="C25" s="1">
        <v>0</v>
      </c>
      <c r="D25" s="1">
        <v>1</v>
      </c>
      <c r="E25" s="1">
        <v>0</v>
      </c>
      <c r="F25" s="1">
        <v>0</v>
      </c>
      <c r="G25" s="1">
        <v>0</v>
      </c>
      <c r="H25" s="1">
        <v>0</v>
      </c>
      <c r="I25" s="1">
        <v>0</v>
      </c>
      <c r="J25" s="1">
        <v>0</v>
      </c>
      <c r="K25" s="1">
        <v>0</v>
      </c>
      <c r="L25" s="1">
        <v>0</v>
      </c>
      <c r="M25" s="1">
        <v>0</v>
      </c>
      <c r="N25" s="1">
        <v>0</v>
      </c>
      <c r="O25" s="1">
        <v>0</v>
      </c>
      <c r="P25" s="1">
        <v>5</v>
      </c>
      <c r="Q25" s="1">
        <v>3</v>
      </c>
      <c r="R25" s="1">
        <v>3</v>
      </c>
      <c r="S25" s="1">
        <v>1</v>
      </c>
      <c r="T25" s="1">
        <v>1</v>
      </c>
      <c r="U25" s="1">
        <v>4</v>
      </c>
      <c r="V25" s="1">
        <v>3</v>
      </c>
      <c r="W25" s="1">
        <v>2</v>
      </c>
      <c r="X25" s="1">
        <v>4</v>
      </c>
      <c r="Y25" s="1">
        <v>4</v>
      </c>
      <c r="Z25" s="1">
        <v>4</v>
      </c>
      <c r="AA25" s="1">
        <v>4</v>
      </c>
      <c r="AC25" s="1">
        <v>1</v>
      </c>
      <c r="AD25" s="1">
        <v>0</v>
      </c>
      <c r="AF25" s="3">
        <v>7000000</v>
      </c>
      <c r="AG25" s="1">
        <v>11</v>
      </c>
      <c r="AR25" s="1" t="s">
        <v>144</v>
      </c>
      <c r="BP25" s="1">
        <v>3</v>
      </c>
      <c r="BQ25" s="1" t="s">
        <v>2439</v>
      </c>
      <c r="BR25" s="1" t="s">
        <v>2440</v>
      </c>
      <c r="BS25" s="1" t="s">
        <v>2441</v>
      </c>
      <c r="BT25" s="1" t="s">
        <v>79</v>
      </c>
      <c r="BU25" s="1">
        <v>3</v>
      </c>
      <c r="BV25" s="1">
        <v>2</v>
      </c>
      <c r="BW25" s="1">
        <v>1</v>
      </c>
      <c r="BX25" s="1">
        <v>0</v>
      </c>
      <c r="BY25" s="1">
        <v>1</v>
      </c>
      <c r="BZ25" s="1">
        <v>0</v>
      </c>
      <c r="CA25" s="1">
        <v>0</v>
      </c>
      <c r="CB25" s="1">
        <v>1</v>
      </c>
      <c r="CC25" s="1">
        <v>0</v>
      </c>
      <c r="CD25" s="1">
        <v>1</v>
      </c>
      <c r="CE25" s="1">
        <v>0</v>
      </c>
      <c r="CF25" s="1">
        <v>0</v>
      </c>
      <c r="CG25" s="1">
        <v>1</v>
      </c>
      <c r="CH25" s="1">
        <v>0</v>
      </c>
      <c r="CI25" s="1">
        <v>0</v>
      </c>
      <c r="CJ25" s="1">
        <v>4</v>
      </c>
      <c r="CK25" s="1">
        <v>4</v>
      </c>
      <c r="CL25" s="1">
        <v>4</v>
      </c>
      <c r="CM25" s="1">
        <v>4</v>
      </c>
      <c r="CN25" s="1">
        <v>4</v>
      </c>
      <c r="CO25" s="1">
        <v>4</v>
      </c>
      <c r="CP25" s="1">
        <v>4</v>
      </c>
      <c r="CU25" s="1">
        <v>1</v>
      </c>
    </row>
    <row r="26" spans="1:99" x14ac:dyDescent="0.35">
      <c r="A26" s="1" t="s">
        <v>2442</v>
      </c>
      <c r="B26" s="1">
        <v>181611028</v>
      </c>
      <c r="C26" s="1">
        <v>0</v>
      </c>
      <c r="D26" s="1">
        <v>1</v>
      </c>
      <c r="E26" s="1">
        <v>0</v>
      </c>
      <c r="F26" s="1">
        <v>0</v>
      </c>
      <c r="G26" s="1">
        <v>0</v>
      </c>
      <c r="H26" s="1">
        <v>1</v>
      </c>
      <c r="I26" s="1">
        <v>0</v>
      </c>
      <c r="J26" s="1">
        <v>0</v>
      </c>
      <c r="K26" s="1">
        <v>0</v>
      </c>
      <c r="L26" s="1">
        <v>0</v>
      </c>
      <c r="M26" s="1">
        <v>0</v>
      </c>
      <c r="N26" s="1">
        <v>0</v>
      </c>
      <c r="O26" s="1">
        <v>0</v>
      </c>
      <c r="P26" s="1">
        <v>3</v>
      </c>
      <c r="Q26" s="1">
        <v>1</v>
      </c>
      <c r="R26" s="1">
        <v>1</v>
      </c>
      <c r="S26" s="1">
        <v>1</v>
      </c>
      <c r="T26" s="1">
        <v>1</v>
      </c>
      <c r="U26" s="1">
        <v>4</v>
      </c>
      <c r="V26" s="1">
        <v>2</v>
      </c>
      <c r="W26" s="1">
        <v>3</v>
      </c>
      <c r="X26" s="1">
        <v>3</v>
      </c>
      <c r="Y26" s="1">
        <v>4</v>
      </c>
      <c r="Z26" s="1">
        <v>4</v>
      </c>
      <c r="AA26" s="1">
        <v>3</v>
      </c>
      <c r="AC26" s="1">
        <v>1</v>
      </c>
      <c r="AD26" s="1">
        <v>0</v>
      </c>
      <c r="AF26" s="3">
        <v>5500000</v>
      </c>
      <c r="AG26" s="1">
        <v>11</v>
      </c>
      <c r="AR26" s="1" t="s">
        <v>118</v>
      </c>
      <c r="BP26" s="1">
        <v>6</v>
      </c>
      <c r="BQ26" s="1" t="s">
        <v>2327</v>
      </c>
      <c r="BR26" s="1" t="s">
        <v>2443</v>
      </c>
      <c r="BS26" s="1" t="s">
        <v>2444</v>
      </c>
      <c r="BT26" s="1" t="s">
        <v>79</v>
      </c>
      <c r="BU26" s="1">
        <v>2</v>
      </c>
      <c r="BV26" s="1">
        <v>2</v>
      </c>
      <c r="BW26" s="1">
        <v>1</v>
      </c>
      <c r="BX26" s="1">
        <v>0</v>
      </c>
      <c r="BY26" s="1">
        <v>0</v>
      </c>
      <c r="BZ26" s="1">
        <v>0</v>
      </c>
      <c r="CA26" s="1">
        <v>0</v>
      </c>
      <c r="CB26" s="1">
        <v>0</v>
      </c>
      <c r="CC26" s="1">
        <v>0</v>
      </c>
      <c r="CD26" s="1">
        <v>0</v>
      </c>
      <c r="CE26" s="1">
        <v>0</v>
      </c>
      <c r="CF26" s="1">
        <v>0</v>
      </c>
      <c r="CG26" s="1">
        <v>0</v>
      </c>
      <c r="CH26" s="1">
        <v>0</v>
      </c>
      <c r="CI26" s="1">
        <v>0</v>
      </c>
      <c r="CJ26" s="1">
        <v>4</v>
      </c>
      <c r="CK26" s="1">
        <v>3</v>
      </c>
      <c r="CL26" s="1">
        <v>4</v>
      </c>
      <c r="CM26" s="1">
        <v>4</v>
      </c>
      <c r="CN26" s="1">
        <v>4</v>
      </c>
      <c r="CO26" s="1">
        <v>3</v>
      </c>
      <c r="CP26" s="1">
        <v>4</v>
      </c>
      <c r="CU26" s="1">
        <v>1</v>
      </c>
    </row>
    <row r="27" spans="1:99" x14ac:dyDescent="0.35">
      <c r="A27" s="1" t="s">
        <v>2445</v>
      </c>
      <c r="B27" s="1">
        <v>181611029</v>
      </c>
      <c r="C27" s="1">
        <v>0</v>
      </c>
      <c r="D27" s="1">
        <v>1</v>
      </c>
      <c r="E27" s="1">
        <v>0</v>
      </c>
      <c r="F27" s="1">
        <v>0</v>
      </c>
      <c r="G27" s="1">
        <v>0</v>
      </c>
      <c r="H27" s="1">
        <v>0</v>
      </c>
      <c r="I27" s="1">
        <v>1</v>
      </c>
      <c r="J27" s="1">
        <v>1</v>
      </c>
      <c r="K27" s="1">
        <v>1</v>
      </c>
      <c r="L27" s="1">
        <v>0</v>
      </c>
      <c r="M27" s="1">
        <v>0</v>
      </c>
      <c r="N27" s="1">
        <v>0</v>
      </c>
      <c r="O27" s="1">
        <v>0</v>
      </c>
      <c r="P27" s="1">
        <v>30</v>
      </c>
      <c r="Q27" s="1">
        <v>7</v>
      </c>
      <c r="R27" s="1">
        <v>7</v>
      </c>
      <c r="S27" s="1">
        <v>1</v>
      </c>
      <c r="T27" s="1">
        <v>1</v>
      </c>
      <c r="U27" s="1">
        <v>4</v>
      </c>
      <c r="V27" s="1">
        <v>3</v>
      </c>
      <c r="W27" s="1">
        <v>3</v>
      </c>
      <c r="X27" s="1">
        <v>4</v>
      </c>
      <c r="Y27" s="1">
        <v>4</v>
      </c>
      <c r="Z27" s="1">
        <v>3</v>
      </c>
      <c r="AA27" s="1">
        <v>4</v>
      </c>
      <c r="AC27" s="1">
        <v>1</v>
      </c>
      <c r="AD27" s="1">
        <v>2</v>
      </c>
      <c r="AF27" s="3">
        <v>8000000</v>
      </c>
      <c r="AG27" s="1">
        <v>13</v>
      </c>
      <c r="AT27" s="1" t="s">
        <v>1414</v>
      </c>
      <c r="BP27" s="1">
        <v>3</v>
      </c>
      <c r="BQ27" s="1" t="s">
        <v>2446</v>
      </c>
      <c r="BR27" s="1" t="s">
        <v>2447</v>
      </c>
      <c r="BS27" s="1" t="s">
        <v>2448</v>
      </c>
      <c r="BT27" s="1" t="s">
        <v>79</v>
      </c>
      <c r="BU27" s="1">
        <v>3</v>
      </c>
      <c r="BV27" s="1">
        <v>2</v>
      </c>
      <c r="BW27" s="1">
        <v>0</v>
      </c>
      <c r="BX27" s="1">
        <v>0</v>
      </c>
      <c r="BY27" s="1">
        <v>1</v>
      </c>
      <c r="BZ27" s="1">
        <v>0</v>
      </c>
      <c r="CA27" s="1">
        <v>0</v>
      </c>
      <c r="CB27" s="1">
        <v>1</v>
      </c>
      <c r="CC27" s="1">
        <v>1</v>
      </c>
      <c r="CD27" s="1">
        <v>1</v>
      </c>
      <c r="CE27" s="1">
        <v>1</v>
      </c>
      <c r="CF27" s="1">
        <v>0</v>
      </c>
      <c r="CG27" s="1">
        <v>1</v>
      </c>
      <c r="CH27" s="1">
        <v>0</v>
      </c>
      <c r="CI27" s="1">
        <v>0</v>
      </c>
      <c r="CJ27" s="1">
        <v>4</v>
      </c>
      <c r="CK27" s="1">
        <v>3</v>
      </c>
      <c r="CL27" s="1">
        <v>4</v>
      </c>
      <c r="CM27" s="1">
        <v>4</v>
      </c>
      <c r="CN27" s="1">
        <v>4</v>
      </c>
      <c r="CO27" s="1">
        <v>4</v>
      </c>
      <c r="CP27" s="1">
        <v>4</v>
      </c>
      <c r="CU27" s="1">
        <v>1</v>
      </c>
    </row>
    <row r="28" spans="1:99" x14ac:dyDescent="0.35">
      <c r="A28" s="1" t="s">
        <v>2449</v>
      </c>
      <c r="B28" s="1">
        <v>181611030</v>
      </c>
      <c r="C28" s="1">
        <v>0</v>
      </c>
      <c r="D28" s="1">
        <v>1</v>
      </c>
      <c r="E28" s="1">
        <v>0</v>
      </c>
      <c r="F28" s="1">
        <v>0</v>
      </c>
      <c r="G28" s="1">
        <v>0</v>
      </c>
      <c r="H28" s="1">
        <v>0</v>
      </c>
      <c r="I28" s="1">
        <v>0</v>
      </c>
      <c r="J28" s="1">
        <v>1</v>
      </c>
      <c r="K28" s="1">
        <v>1</v>
      </c>
      <c r="L28" s="1">
        <v>0</v>
      </c>
      <c r="M28" s="1">
        <v>0</v>
      </c>
      <c r="N28" s="1">
        <v>0</v>
      </c>
      <c r="O28" s="1">
        <v>0</v>
      </c>
      <c r="P28" s="1">
        <v>10</v>
      </c>
      <c r="Q28" s="1">
        <v>8</v>
      </c>
      <c r="R28" s="1">
        <v>5</v>
      </c>
      <c r="S28" s="1">
        <v>3</v>
      </c>
      <c r="T28" s="1">
        <v>1</v>
      </c>
      <c r="U28" s="1">
        <v>4</v>
      </c>
      <c r="V28" s="1">
        <v>4</v>
      </c>
      <c r="W28" s="1">
        <v>3</v>
      </c>
      <c r="X28" s="1">
        <v>4</v>
      </c>
      <c r="Y28" s="1">
        <v>3</v>
      </c>
      <c r="Z28" s="1">
        <v>4</v>
      </c>
      <c r="AA28" s="1">
        <v>4</v>
      </c>
      <c r="AB28" s="1">
        <v>3</v>
      </c>
      <c r="AC28" s="1">
        <v>1</v>
      </c>
      <c r="AD28" s="1">
        <v>2</v>
      </c>
      <c r="AF28" s="3">
        <v>4000000</v>
      </c>
      <c r="AG28" s="1">
        <v>13</v>
      </c>
      <c r="AT28" s="1" t="s">
        <v>86</v>
      </c>
      <c r="BP28" s="1">
        <v>3</v>
      </c>
      <c r="BQ28" s="1" t="s">
        <v>2403</v>
      </c>
      <c r="BR28" s="1" t="s">
        <v>2450</v>
      </c>
      <c r="BS28" s="1" t="s">
        <v>2451</v>
      </c>
      <c r="BT28" s="1" t="s">
        <v>79</v>
      </c>
      <c r="BU28" s="1">
        <v>1</v>
      </c>
      <c r="BV28" s="1">
        <v>1</v>
      </c>
      <c r="BW28" s="1">
        <v>1</v>
      </c>
      <c r="BX28" s="1">
        <v>0</v>
      </c>
      <c r="BY28" s="1">
        <v>0</v>
      </c>
      <c r="BZ28" s="1">
        <v>0</v>
      </c>
      <c r="CA28" s="1">
        <v>0</v>
      </c>
      <c r="CB28" s="1">
        <v>0</v>
      </c>
      <c r="CC28" s="1">
        <v>0</v>
      </c>
      <c r="CD28" s="1">
        <v>0</v>
      </c>
      <c r="CE28" s="1">
        <v>0</v>
      </c>
      <c r="CF28" s="1">
        <v>0</v>
      </c>
      <c r="CG28" s="1">
        <v>0</v>
      </c>
      <c r="CH28" s="1">
        <v>0</v>
      </c>
      <c r="CI28" s="1">
        <v>0</v>
      </c>
      <c r="CJ28" s="1">
        <v>4</v>
      </c>
      <c r="CK28" s="1">
        <v>4</v>
      </c>
      <c r="CL28" s="1">
        <v>3</v>
      </c>
      <c r="CM28" s="1">
        <v>4</v>
      </c>
      <c r="CN28" s="1">
        <v>4</v>
      </c>
      <c r="CO28" s="1">
        <v>4</v>
      </c>
      <c r="CP28" s="1">
        <v>4</v>
      </c>
      <c r="CU28" s="1">
        <v>1</v>
      </c>
    </row>
    <row r="29" spans="1:99" x14ac:dyDescent="0.35">
      <c r="A29" s="1" t="s">
        <v>2452</v>
      </c>
      <c r="B29" s="1">
        <v>181611032</v>
      </c>
      <c r="C29" s="1">
        <v>0</v>
      </c>
      <c r="D29" s="1">
        <v>0</v>
      </c>
      <c r="E29" s="1">
        <v>0</v>
      </c>
      <c r="F29" s="1">
        <v>0</v>
      </c>
      <c r="G29" s="1">
        <v>0</v>
      </c>
      <c r="H29" s="1">
        <v>0</v>
      </c>
      <c r="I29" s="1">
        <v>0</v>
      </c>
      <c r="J29" s="1">
        <v>0</v>
      </c>
      <c r="K29" s="1">
        <v>1</v>
      </c>
      <c r="L29" s="1">
        <v>0</v>
      </c>
      <c r="M29" s="1">
        <v>0</v>
      </c>
      <c r="N29" s="1">
        <v>0</v>
      </c>
      <c r="O29" s="1">
        <v>0</v>
      </c>
      <c r="P29" s="1">
        <v>1</v>
      </c>
      <c r="Q29" s="1">
        <v>1</v>
      </c>
      <c r="R29" s="1">
        <v>1</v>
      </c>
      <c r="S29" s="1">
        <v>1</v>
      </c>
      <c r="T29" s="1">
        <v>1</v>
      </c>
      <c r="U29" s="1">
        <v>4</v>
      </c>
      <c r="V29" s="1">
        <v>4</v>
      </c>
      <c r="W29" s="1">
        <v>4</v>
      </c>
      <c r="X29" s="1">
        <v>4</v>
      </c>
      <c r="Y29" s="1">
        <v>4</v>
      </c>
      <c r="Z29" s="1">
        <v>4</v>
      </c>
      <c r="AA29" s="1">
        <v>4</v>
      </c>
      <c r="AC29" s="1">
        <v>2</v>
      </c>
      <c r="AE29" s="1">
        <v>7</v>
      </c>
      <c r="AF29" s="3">
        <v>4000000</v>
      </c>
      <c r="AG29" s="1">
        <v>13</v>
      </c>
      <c r="AT29" s="1" t="s">
        <v>93</v>
      </c>
      <c r="BP29" s="1">
        <v>1</v>
      </c>
      <c r="BQ29" s="1" t="s">
        <v>2453</v>
      </c>
      <c r="BR29" s="1" t="s">
        <v>2454</v>
      </c>
      <c r="BT29" s="1" t="s">
        <v>79</v>
      </c>
      <c r="BU29" s="1">
        <v>3</v>
      </c>
      <c r="BV29" s="1">
        <v>2</v>
      </c>
      <c r="BW29" s="1">
        <v>0</v>
      </c>
      <c r="BX29" s="1">
        <v>0</v>
      </c>
      <c r="BY29" s="1">
        <v>0</v>
      </c>
      <c r="BZ29" s="1">
        <v>1</v>
      </c>
      <c r="CA29" s="1">
        <v>0</v>
      </c>
      <c r="CB29" s="1">
        <v>0</v>
      </c>
      <c r="CC29" s="1">
        <v>0</v>
      </c>
      <c r="CD29" s="1">
        <v>1</v>
      </c>
      <c r="CE29" s="1">
        <v>1</v>
      </c>
      <c r="CF29" s="1">
        <v>0</v>
      </c>
      <c r="CG29" s="1">
        <v>1</v>
      </c>
      <c r="CH29" s="1">
        <v>1</v>
      </c>
      <c r="CI29" s="1">
        <v>0</v>
      </c>
      <c r="CJ29" s="1">
        <v>4</v>
      </c>
      <c r="CK29" s="1">
        <v>2</v>
      </c>
      <c r="CL29" s="1">
        <v>2</v>
      </c>
      <c r="CM29" s="1">
        <v>4</v>
      </c>
      <c r="CN29" s="1">
        <v>4</v>
      </c>
      <c r="CO29" s="1">
        <v>4</v>
      </c>
      <c r="CP29" s="1">
        <v>4</v>
      </c>
      <c r="CU29" s="1">
        <v>1</v>
      </c>
    </row>
    <row r="30" spans="1:99" x14ac:dyDescent="0.35">
      <c r="A30" s="1" t="s">
        <v>2455</v>
      </c>
      <c r="B30" s="1">
        <v>181611034</v>
      </c>
      <c r="C30" s="1">
        <v>0</v>
      </c>
      <c r="D30" s="1">
        <v>0</v>
      </c>
      <c r="E30" s="1">
        <v>1</v>
      </c>
      <c r="F30" s="1">
        <v>0</v>
      </c>
      <c r="G30" s="1">
        <v>0</v>
      </c>
      <c r="H30" s="1">
        <v>0</v>
      </c>
      <c r="I30" s="1">
        <v>0</v>
      </c>
      <c r="J30" s="1">
        <v>0</v>
      </c>
      <c r="K30" s="1">
        <v>0</v>
      </c>
      <c r="L30" s="1">
        <v>0</v>
      </c>
      <c r="M30" s="1">
        <v>0</v>
      </c>
      <c r="N30" s="1">
        <v>0</v>
      </c>
      <c r="O30" s="1">
        <v>0</v>
      </c>
      <c r="P30" s="1">
        <v>0</v>
      </c>
      <c r="Q30" s="1">
        <v>0</v>
      </c>
      <c r="R30" s="1">
        <v>1</v>
      </c>
      <c r="S30" s="1">
        <v>1</v>
      </c>
      <c r="T30" s="1">
        <v>1</v>
      </c>
      <c r="U30" s="1">
        <v>3</v>
      </c>
      <c r="V30" s="1">
        <v>2</v>
      </c>
      <c r="W30" s="1">
        <v>3</v>
      </c>
      <c r="X30" s="1">
        <v>3</v>
      </c>
      <c r="Y30" s="1">
        <v>3</v>
      </c>
      <c r="Z30" s="1">
        <v>3</v>
      </c>
      <c r="AA30" s="1">
        <v>3</v>
      </c>
      <c r="AC30" s="1">
        <v>1</v>
      </c>
      <c r="AD30" s="1">
        <v>0</v>
      </c>
      <c r="AF30" s="3">
        <v>8000000</v>
      </c>
      <c r="AG30" s="1">
        <v>13</v>
      </c>
      <c r="AT30" s="1" t="s">
        <v>75</v>
      </c>
      <c r="BP30" s="1">
        <v>3</v>
      </c>
      <c r="BQ30" s="1" t="s">
        <v>2456</v>
      </c>
      <c r="BR30" s="1" t="s">
        <v>2457</v>
      </c>
      <c r="BS30" s="1" t="s">
        <v>2458</v>
      </c>
      <c r="BT30" s="1" t="s">
        <v>73</v>
      </c>
      <c r="BU30" s="1">
        <v>5</v>
      </c>
      <c r="BV30" s="1">
        <v>2</v>
      </c>
      <c r="BW30" s="1">
        <v>0</v>
      </c>
      <c r="BX30" s="1">
        <v>0</v>
      </c>
      <c r="BY30" s="1">
        <v>1</v>
      </c>
      <c r="BZ30" s="1">
        <v>0</v>
      </c>
      <c r="CA30" s="1">
        <v>0</v>
      </c>
      <c r="CB30" s="1">
        <v>1</v>
      </c>
      <c r="CC30" s="1">
        <v>1</v>
      </c>
      <c r="CD30" s="1">
        <v>1</v>
      </c>
      <c r="CE30" s="1">
        <v>0</v>
      </c>
      <c r="CF30" s="1">
        <v>0</v>
      </c>
      <c r="CG30" s="1">
        <v>0</v>
      </c>
      <c r="CH30" s="1">
        <v>0</v>
      </c>
      <c r="CI30" s="1">
        <v>0</v>
      </c>
      <c r="CJ30" s="1">
        <v>3</v>
      </c>
      <c r="CK30" s="1">
        <v>3</v>
      </c>
      <c r="CL30" s="1">
        <v>3</v>
      </c>
      <c r="CM30" s="1">
        <v>3</v>
      </c>
      <c r="CN30" s="1">
        <v>3</v>
      </c>
      <c r="CO30" s="1">
        <v>3</v>
      </c>
      <c r="CP30" s="1">
        <v>3</v>
      </c>
      <c r="CU30" s="1">
        <v>1</v>
      </c>
    </row>
    <row r="31" spans="1:99" x14ac:dyDescent="0.35">
      <c r="A31" s="1" t="s">
        <v>2459</v>
      </c>
      <c r="B31" s="1">
        <v>181611035</v>
      </c>
      <c r="C31" s="1">
        <v>0</v>
      </c>
      <c r="D31" s="1">
        <v>1</v>
      </c>
      <c r="E31" s="1">
        <v>0</v>
      </c>
      <c r="F31" s="1">
        <v>0</v>
      </c>
      <c r="G31" s="1">
        <v>0</v>
      </c>
      <c r="H31" s="1">
        <v>0</v>
      </c>
      <c r="I31" s="1">
        <v>0</v>
      </c>
      <c r="J31" s="1">
        <v>0</v>
      </c>
      <c r="K31" s="1">
        <v>0</v>
      </c>
      <c r="L31" s="1">
        <v>0</v>
      </c>
      <c r="M31" s="1">
        <v>0</v>
      </c>
      <c r="N31" s="1">
        <v>0</v>
      </c>
      <c r="O31" s="1">
        <v>0</v>
      </c>
      <c r="P31" s="1">
        <v>7</v>
      </c>
      <c r="Q31" s="1">
        <v>4</v>
      </c>
      <c r="R31" s="1">
        <v>2</v>
      </c>
      <c r="S31" s="1">
        <v>1</v>
      </c>
      <c r="T31" s="1">
        <v>1</v>
      </c>
      <c r="U31" s="1">
        <v>4</v>
      </c>
      <c r="V31" s="1">
        <v>3</v>
      </c>
      <c r="X31" s="1">
        <v>3</v>
      </c>
      <c r="Y31" s="1">
        <v>3</v>
      </c>
      <c r="Z31" s="1">
        <v>3</v>
      </c>
      <c r="AA31" s="1">
        <v>2</v>
      </c>
      <c r="AC31" s="1">
        <v>2</v>
      </c>
      <c r="AE31" s="1">
        <v>7</v>
      </c>
      <c r="AF31" s="3">
        <v>1500000</v>
      </c>
      <c r="AG31" s="1">
        <v>13</v>
      </c>
      <c r="AT31" s="1" t="s">
        <v>271</v>
      </c>
      <c r="BP31" s="1">
        <v>4</v>
      </c>
      <c r="BQ31" s="1" t="s">
        <v>2460</v>
      </c>
      <c r="BT31" s="1" t="s">
        <v>107</v>
      </c>
      <c r="BU31" s="1">
        <v>4</v>
      </c>
      <c r="BV31" s="1">
        <v>2</v>
      </c>
      <c r="BW31" s="1">
        <v>0</v>
      </c>
      <c r="BX31" s="1">
        <v>0</v>
      </c>
      <c r="BY31" s="1">
        <v>0</v>
      </c>
      <c r="BZ31" s="1">
        <v>0</v>
      </c>
      <c r="CA31" s="1">
        <v>0</v>
      </c>
      <c r="CB31" s="1">
        <v>0</v>
      </c>
      <c r="CC31" s="1">
        <v>0</v>
      </c>
      <c r="CD31" s="1">
        <v>1</v>
      </c>
      <c r="CE31" s="1">
        <v>0</v>
      </c>
      <c r="CF31" s="1">
        <v>0</v>
      </c>
      <c r="CG31" s="1">
        <v>0</v>
      </c>
      <c r="CH31" s="1">
        <v>0</v>
      </c>
      <c r="CI31" s="1">
        <v>0</v>
      </c>
      <c r="CJ31" s="1">
        <v>3</v>
      </c>
      <c r="CK31" s="1">
        <v>1</v>
      </c>
      <c r="CM31" s="1">
        <v>4</v>
      </c>
      <c r="CN31" s="1">
        <v>3</v>
      </c>
      <c r="CO31" s="1">
        <v>2</v>
      </c>
      <c r="CP31" s="1">
        <v>4</v>
      </c>
      <c r="CU31" s="1">
        <v>4</v>
      </c>
    </row>
    <row r="32" spans="1:99" x14ac:dyDescent="0.35">
      <c r="A32" s="1" t="s">
        <v>2461</v>
      </c>
      <c r="B32" s="1">
        <v>181611036</v>
      </c>
      <c r="C32" s="1">
        <v>1</v>
      </c>
      <c r="D32" s="1">
        <v>1</v>
      </c>
      <c r="E32" s="1">
        <v>0</v>
      </c>
      <c r="F32" s="1">
        <v>0</v>
      </c>
      <c r="G32" s="1">
        <v>0</v>
      </c>
      <c r="H32" s="1">
        <v>0</v>
      </c>
      <c r="I32" s="1">
        <v>0</v>
      </c>
      <c r="J32" s="1">
        <v>1</v>
      </c>
      <c r="K32" s="1">
        <v>0</v>
      </c>
      <c r="L32" s="1">
        <v>0</v>
      </c>
      <c r="M32" s="1">
        <v>0</v>
      </c>
      <c r="N32" s="1">
        <v>0</v>
      </c>
      <c r="O32" s="1">
        <v>0</v>
      </c>
      <c r="P32" s="1" t="s">
        <v>2462</v>
      </c>
      <c r="Q32" s="1" t="s">
        <v>2463</v>
      </c>
      <c r="R32" s="1" t="s">
        <v>712</v>
      </c>
      <c r="S32" s="1">
        <v>1</v>
      </c>
      <c r="T32" s="1">
        <v>1</v>
      </c>
      <c r="U32" s="1">
        <v>3</v>
      </c>
      <c r="V32" s="1">
        <v>2</v>
      </c>
      <c r="W32" s="1">
        <v>2</v>
      </c>
      <c r="X32" s="1">
        <v>4</v>
      </c>
      <c r="Y32" s="1">
        <v>4</v>
      </c>
      <c r="Z32" s="1">
        <v>4</v>
      </c>
      <c r="AA32" s="1">
        <v>4</v>
      </c>
      <c r="AC32" s="1">
        <v>2</v>
      </c>
      <c r="AE32" s="1">
        <v>3</v>
      </c>
      <c r="AF32" s="3">
        <v>2300000</v>
      </c>
      <c r="AG32" s="1">
        <v>13</v>
      </c>
      <c r="AT32" s="1" t="s">
        <v>86</v>
      </c>
      <c r="BP32" s="1">
        <v>4</v>
      </c>
      <c r="BQ32" s="1" t="s">
        <v>2464</v>
      </c>
      <c r="BR32" s="1" t="s">
        <v>2465</v>
      </c>
      <c r="BS32" s="1" t="s">
        <v>2466</v>
      </c>
      <c r="BT32" s="1" t="s">
        <v>107</v>
      </c>
      <c r="BU32" s="1">
        <v>4</v>
      </c>
      <c r="BV32" s="1">
        <v>2</v>
      </c>
      <c r="BW32" s="1">
        <v>0</v>
      </c>
      <c r="BX32" s="1">
        <v>1</v>
      </c>
      <c r="BY32" s="1">
        <v>0</v>
      </c>
      <c r="BZ32" s="1">
        <v>1</v>
      </c>
      <c r="CA32" s="1">
        <v>0</v>
      </c>
      <c r="CB32" s="1">
        <v>0</v>
      </c>
      <c r="CC32" s="1">
        <v>0</v>
      </c>
      <c r="CD32" s="1">
        <v>1</v>
      </c>
      <c r="CE32" s="1">
        <v>0</v>
      </c>
      <c r="CF32" s="1">
        <v>1</v>
      </c>
      <c r="CG32" s="1">
        <v>0</v>
      </c>
      <c r="CH32" s="1">
        <v>0</v>
      </c>
      <c r="CI32" s="1">
        <v>0</v>
      </c>
      <c r="CJ32" s="1">
        <v>4</v>
      </c>
      <c r="CK32" s="1">
        <v>2</v>
      </c>
      <c r="CL32" s="1">
        <v>4</v>
      </c>
      <c r="CM32" s="1">
        <v>4</v>
      </c>
      <c r="CN32" s="1">
        <v>4</v>
      </c>
      <c r="CO32" s="1">
        <v>4</v>
      </c>
      <c r="CP32" s="1">
        <v>4</v>
      </c>
      <c r="CU32" s="1">
        <v>4</v>
      </c>
    </row>
    <row r="33" spans="1:99" x14ac:dyDescent="0.35">
      <c r="A33" s="1" t="s">
        <v>2467</v>
      </c>
      <c r="B33" s="1">
        <v>181611037</v>
      </c>
      <c r="C33" s="1">
        <v>0</v>
      </c>
      <c r="D33" s="1">
        <v>1</v>
      </c>
      <c r="E33" s="1">
        <v>1</v>
      </c>
      <c r="F33" s="1">
        <v>0</v>
      </c>
      <c r="G33" s="1">
        <v>0</v>
      </c>
      <c r="H33" s="1">
        <v>0</v>
      </c>
      <c r="I33" s="1">
        <v>0</v>
      </c>
      <c r="J33" s="1">
        <v>1</v>
      </c>
      <c r="K33" s="1">
        <v>1</v>
      </c>
      <c r="L33" s="1">
        <v>0</v>
      </c>
      <c r="M33" s="1">
        <v>0</v>
      </c>
      <c r="N33" s="1">
        <v>0</v>
      </c>
      <c r="O33" s="1">
        <v>0</v>
      </c>
      <c r="P33" s="1">
        <v>3</v>
      </c>
      <c r="Q33" s="1">
        <v>3</v>
      </c>
      <c r="R33" s="1">
        <v>3</v>
      </c>
      <c r="S33" s="1">
        <v>1</v>
      </c>
      <c r="T33" s="1">
        <v>1</v>
      </c>
      <c r="U33" s="1">
        <v>4</v>
      </c>
      <c r="V33" s="1">
        <v>3</v>
      </c>
      <c r="W33" s="1">
        <v>3</v>
      </c>
      <c r="X33" s="1">
        <v>4</v>
      </c>
      <c r="Y33" s="1">
        <v>4</v>
      </c>
      <c r="Z33" s="1">
        <v>4</v>
      </c>
      <c r="AA33" s="1">
        <v>4</v>
      </c>
      <c r="AC33" s="1">
        <v>1</v>
      </c>
      <c r="AD33" s="1">
        <v>1</v>
      </c>
      <c r="AE33" s="1">
        <v>1</v>
      </c>
      <c r="AF33" s="3">
        <v>5000000</v>
      </c>
      <c r="AG33" s="1">
        <v>13</v>
      </c>
      <c r="AT33" s="1" t="s">
        <v>402</v>
      </c>
      <c r="BP33" s="1">
        <v>4</v>
      </c>
      <c r="BQ33" s="1" t="s">
        <v>2468</v>
      </c>
      <c r="BR33" s="1" t="s">
        <v>2469</v>
      </c>
      <c r="BS33" s="1" t="s">
        <v>2470</v>
      </c>
      <c r="BT33" s="1" t="s">
        <v>79</v>
      </c>
      <c r="BU33" s="1">
        <v>3</v>
      </c>
      <c r="BV33" s="1">
        <v>2</v>
      </c>
      <c r="BW33" s="1">
        <v>0</v>
      </c>
      <c r="BX33" s="1">
        <v>0</v>
      </c>
      <c r="BY33" s="1">
        <v>0</v>
      </c>
      <c r="BZ33" s="1">
        <v>0</v>
      </c>
      <c r="CA33" s="1">
        <v>0</v>
      </c>
      <c r="CB33" s="1">
        <v>0</v>
      </c>
      <c r="CC33" s="1">
        <v>0</v>
      </c>
      <c r="CD33" s="1">
        <v>0</v>
      </c>
      <c r="CE33" s="1">
        <v>0</v>
      </c>
      <c r="CF33" s="1">
        <v>0</v>
      </c>
      <c r="CG33" s="1">
        <v>0</v>
      </c>
      <c r="CH33" s="1">
        <v>1</v>
      </c>
      <c r="CI33" s="1">
        <v>0</v>
      </c>
      <c r="CJ33" s="1">
        <v>4</v>
      </c>
      <c r="CK33" s="1">
        <v>3</v>
      </c>
      <c r="CL33" s="1">
        <v>3</v>
      </c>
      <c r="CM33" s="1">
        <v>4</v>
      </c>
      <c r="CN33" s="1">
        <v>4</v>
      </c>
      <c r="CO33" s="1">
        <v>4</v>
      </c>
      <c r="CP33" s="1">
        <v>4</v>
      </c>
      <c r="CU33" s="1">
        <v>4</v>
      </c>
    </row>
    <row r="34" spans="1:99" x14ac:dyDescent="0.35">
      <c r="A34" s="1" t="s">
        <v>2471</v>
      </c>
      <c r="B34" s="1">
        <v>181611038</v>
      </c>
      <c r="C34" s="1">
        <v>0</v>
      </c>
      <c r="D34" s="1">
        <v>1</v>
      </c>
      <c r="E34" s="1">
        <v>0</v>
      </c>
      <c r="F34" s="1">
        <v>0</v>
      </c>
      <c r="G34" s="1">
        <v>0</v>
      </c>
      <c r="H34" s="1">
        <v>0</v>
      </c>
      <c r="I34" s="1">
        <v>0</v>
      </c>
      <c r="J34" s="1">
        <v>0</v>
      </c>
      <c r="K34" s="1">
        <v>0</v>
      </c>
      <c r="L34" s="1">
        <v>0</v>
      </c>
      <c r="M34" s="1">
        <v>0</v>
      </c>
      <c r="N34" s="1">
        <v>0</v>
      </c>
      <c r="O34" s="1">
        <v>0</v>
      </c>
      <c r="P34" s="1">
        <v>6</v>
      </c>
      <c r="Q34" s="1">
        <v>3</v>
      </c>
      <c r="R34" s="1">
        <v>2</v>
      </c>
      <c r="S34" s="1">
        <v>1</v>
      </c>
      <c r="T34" s="1">
        <v>1</v>
      </c>
      <c r="U34" s="1">
        <v>4</v>
      </c>
      <c r="V34" s="1">
        <v>2</v>
      </c>
      <c r="W34" s="1">
        <v>2</v>
      </c>
      <c r="X34" s="1">
        <v>3</v>
      </c>
      <c r="Y34" s="1">
        <v>4</v>
      </c>
      <c r="Z34" s="1">
        <v>3</v>
      </c>
      <c r="AA34" s="1">
        <v>3</v>
      </c>
      <c r="AC34" s="1">
        <v>1</v>
      </c>
      <c r="AD34" s="1">
        <v>1</v>
      </c>
      <c r="AF34" s="3">
        <v>7500000</v>
      </c>
      <c r="AG34" s="1">
        <v>11</v>
      </c>
      <c r="AR34" s="1" t="s">
        <v>118</v>
      </c>
      <c r="BP34" s="1">
        <v>3</v>
      </c>
      <c r="BQ34" s="1" t="s">
        <v>2472</v>
      </c>
      <c r="BR34" s="1" t="s">
        <v>2473</v>
      </c>
      <c r="BS34" s="1" t="s">
        <v>2474</v>
      </c>
      <c r="BT34" s="1" t="s">
        <v>73</v>
      </c>
      <c r="BU34" s="1">
        <v>1</v>
      </c>
      <c r="BV34" s="1">
        <v>1</v>
      </c>
      <c r="BW34" s="1">
        <v>1</v>
      </c>
      <c r="BX34" s="1">
        <v>0</v>
      </c>
      <c r="BY34" s="1">
        <v>0</v>
      </c>
      <c r="BZ34" s="1">
        <v>0</v>
      </c>
      <c r="CA34" s="1">
        <v>0</v>
      </c>
      <c r="CB34" s="1">
        <v>0</v>
      </c>
      <c r="CC34" s="1">
        <v>0</v>
      </c>
      <c r="CD34" s="1">
        <v>0</v>
      </c>
      <c r="CE34" s="1">
        <v>0</v>
      </c>
      <c r="CF34" s="1">
        <v>0</v>
      </c>
      <c r="CG34" s="1">
        <v>0</v>
      </c>
      <c r="CH34" s="1">
        <v>0</v>
      </c>
      <c r="CI34" s="1">
        <v>0</v>
      </c>
      <c r="CJ34" s="1">
        <v>4</v>
      </c>
      <c r="CK34" s="1">
        <v>3</v>
      </c>
      <c r="CL34" s="1">
        <v>3</v>
      </c>
      <c r="CM34" s="1">
        <v>4</v>
      </c>
      <c r="CN34" s="1">
        <v>3</v>
      </c>
      <c r="CO34" s="1">
        <v>4</v>
      </c>
      <c r="CP34" s="1">
        <v>3</v>
      </c>
      <c r="CU34" s="1">
        <v>1</v>
      </c>
    </row>
    <row r="35" spans="1:99" x14ac:dyDescent="0.35">
      <c r="A35" s="1" t="s">
        <v>2475</v>
      </c>
      <c r="B35" s="1">
        <v>181611039</v>
      </c>
      <c r="C35" s="1">
        <v>0</v>
      </c>
      <c r="D35" s="1">
        <v>1</v>
      </c>
      <c r="E35" s="1">
        <v>0</v>
      </c>
      <c r="F35" s="1">
        <v>0</v>
      </c>
      <c r="G35" s="1">
        <v>0</v>
      </c>
      <c r="H35" s="1">
        <v>0</v>
      </c>
      <c r="I35" s="1">
        <v>0</v>
      </c>
      <c r="J35" s="1">
        <v>0</v>
      </c>
      <c r="K35" s="1">
        <v>0</v>
      </c>
      <c r="L35" s="1">
        <v>0</v>
      </c>
      <c r="M35" s="1">
        <v>0</v>
      </c>
      <c r="N35" s="1">
        <v>0</v>
      </c>
      <c r="O35" s="1">
        <v>0</v>
      </c>
      <c r="P35" s="1">
        <v>18</v>
      </c>
      <c r="Q35" s="1">
        <v>20</v>
      </c>
      <c r="R35" s="1">
        <v>18</v>
      </c>
      <c r="S35" s="1">
        <v>1</v>
      </c>
      <c r="T35" s="1">
        <v>1</v>
      </c>
      <c r="U35" s="1">
        <v>4</v>
      </c>
      <c r="V35" s="1">
        <v>4</v>
      </c>
      <c r="W35" s="1">
        <v>4</v>
      </c>
      <c r="X35" s="1">
        <v>4</v>
      </c>
      <c r="Y35" s="1">
        <v>4</v>
      </c>
      <c r="Z35" s="1">
        <v>4</v>
      </c>
      <c r="AA35" s="1">
        <v>4</v>
      </c>
      <c r="AC35" s="1">
        <v>1</v>
      </c>
      <c r="AD35" s="1">
        <v>1</v>
      </c>
      <c r="AF35" s="3">
        <v>5400000</v>
      </c>
      <c r="AG35" s="1">
        <v>11</v>
      </c>
      <c r="AR35" s="1" t="s">
        <v>130</v>
      </c>
      <c r="BP35" s="1">
        <v>3</v>
      </c>
      <c r="BQ35" s="1" t="s">
        <v>2476</v>
      </c>
      <c r="BR35" s="1" t="s">
        <v>2477</v>
      </c>
      <c r="BT35" s="1" t="s">
        <v>79</v>
      </c>
      <c r="BU35" s="1">
        <v>3</v>
      </c>
      <c r="BV35" s="1">
        <v>2</v>
      </c>
      <c r="BW35" s="1">
        <v>0</v>
      </c>
      <c r="BX35" s="1">
        <v>0</v>
      </c>
      <c r="BY35" s="1">
        <v>1</v>
      </c>
      <c r="BZ35" s="1">
        <v>0</v>
      </c>
      <c r="CA35" s="1">
        <v>0</v>
      </c>
      <c r="CB35" s="1">
        <v>0</v>
      </c>
      <c r="CC35" s="1">
        <v>0</v>
      </c>
      <c r="CD35" s="1">
        <v>0</v>
      </c>
      <c r="CE35" s="1">
        <v>0</v>
      </c>
      <c r="CF35" s="1">
        <v>0</v>
      </c>
      <c r="CG35" s="1">
        <v>0</v>
      </c>
      <c r="CH35" s="1">
        <v>0</v>
      </c>
      <c r="CI35" s="1">
        <v>0</v>
      </c>
      <c r="CJ35" s="1">
        <v>4</v>
      </c>
      <c r="CK35" s="1">
        <v>4</v>
      </c>
      <c r="CL35" s="1">
        <v>4</v>
      </c>
      <c r="CM35" s="1">
        <v>4</v>
      </c>
      <c r="CN35" s="1">
        <v>4</v>
      </c>
      <c r="CO35" s="1">
        <v>4</v>
      </c>
      <c r="CP35" s="1">
        <v>4</v>
      </c>
      <c r="CU35" s="1">
        <v>1</v>
      </c>
    </row>
    <row r="36" spans="1:99" x14ac:dyDescent="0.35">
      <c r="A36" s="1" t="s">
        <v>2478</v>
      </c>
      <c r="B36" s="1">
        <v>181611041</v>
      </c>
      <c r="C36" s="1">
        <v>1</v>
      </c>
      <c r="D36" s="1">
        <v>0</v>
      </c>
      <c r="E36" s="1">
        <v>0</v>
      </c>
      <c r="F36" s="1">
        <v>0</v>
      </c>
      <c r="G36" s="1">
        <v>0</v>
      </c>
      <c r="H36" s="1">
        <v>0</v>
      </c>
      <c r="I36" s="1">
        <v>0</v>
      </c>
      <c r="J36" s="1">
        <v>0</v>
      </c>
      <c r="K36" s="1">
        <v>1</v>
      </c>
      <c r="L36" s="1">
        <v>0</v>
      </c>
      <c r="M36" s="1">
        <v>0</v>
      </c>
      <c r="N36" s="1">
        <v>0</v>
      </c>
      <c r="O36" s="1">
        <v>0</v>
      </c>
      <c r="P36" s="1">
        <v>3</v>
      </c>
      <c r="Q36" s="1">
        <v>2</v>
      </c>
      <c r="R36" s="1">
        <v>2</v>
      </c>
      <c r="S36" s="1">
        <v>1</v>
      </c>
      <c r="T36" s="1">
        <v>1</v>
      </c>
      <c r="U36" s="1">
        <v>4</v>
      </c>
      <c r="V36" s="1">
        <v>3</v>
      </c>
      <c r="W36" s="1">
        <v>3</v>
      </c>
      <c r="X36" s="1">
        <v>4</v>
      </c>
      <c r="Y36" s="1">
        <v>4</v>
      </c>
      <c r="Z36" s="1">
        <v>4</v>
      </c>
      <c r="AA36" s="1">
        <v>4</v>
      </c>
      <c r="AC36" s="1">
        <v>2</v>
      </c>
      <c r="AE36" s="1">
        <v>1</v>
      </c>
      <c r="AF36" s="3">
        <v>6000000</v>
      </c>
      <c r="AG36" s="1">
        <v>11</v>
      </c>
      <c r="AR36" s="1" t="s">
        <v>130</v>
      </c>
      <c r="BP36" s="1">
        <v>3</v>
      </c>
      <c r="BQ36" s="1" t="s">
        <v>2479</v>
      </c>
      <c r="BR36" s="1" t="s">
        <v>2480</v>
      </c>
      <c r="BS36" s="1" t="s">
        <v>2481</v>
      </c>
      <c r="BT36" s="1" t="s">
        <v>79</v>
      </c>
      <c r="BU36" s="1">
        <v>1</v>
      </c>
      <c r="BV36" s="1">
        <v>2</v>
      </c>
      <c r="BW36" s="1">
        <v>1</v>
      </c>
      <c r="BX36" s="1">
        <v>0</v>
      </c>
      <c r="BY36" s="1">
        <v>0</v>
      </c>
      <c r="BZ36" s="1">
        <v>0</v>
      </c>
      <c r="CA36" s="1">
        <v>0</v>
      </c>
      <c r="CB36" s="1">
        <v>0</v>
      </c>
      <c r="CC36" s="1">
        <v>0</v>
      </c>
      <c r="CD36" s="1">
        <v>0</v>
      </c>
      <c r="CE36" s="1">
        <v>0</v>
      </c>
      <c r="CF36" s="1">
        <v>0</v>
      </c>
      <c r="CG36" s="1">
        <v>0</v>
      </c>
      <c r="CH36" s="1">
        <v>0</v>
      </c>
      <c r="CI36" s="1">
        <v>0</v>
      </c>
      <c r="CJ36" s="1">
        <v>4</v>
      </c>
      <c r="CK36" s="1">
        <v>4</v>
      </c>
      <c r="CL36" s="1">
        <v>4</v>
      </c>
      <c r="CM36" s="1">
        <v>4</v>
      </c>
      <c r="CN36" s="1">
        <v>4</v>
      </c>
      <c r="CO36" s="1">
        <v>4</v>
      </c>
      <c r="CP36" s="1">
        <v>4</v>
      </c>
      <c r="CU36" s="1">
        <v>1</v>
      </c>
    </row>
    <row r="37" spans="1:99" x14ac:dyDescent="0.35">
      <c r="A37" s="1" t="s">
        <v>2482</v>
      </c>
      <c r="B37" s="1">
        <v>181611042</v>
      </c>
      <c r="C37" s="1">
        <v>0</v>
      </c>
      <c r="D37" s="1">
        <v>1</v>
      </c>
      <c r="E37" s="1">
        <v>0</v>
      </c>
      <c r="F37" s="1">
        <v>0</v>
      </c>
      <c r="G37" s="1">
        <v>0</v>
      </c>
      <c r="H37" s="1">
        <v>0</v>
      </c>
      <c r="I37" s="1">
        <v>0</v>
      </c>
      <c r="J37" s="1">
        <v>0</v>
      </c>
      <c r="K37" s="1">
        <v>0</v>
      </c>
      <c r="L37" s="1">
        <v>0</v>
      </c>
      <c r="M37" s="1">
        <v>0</v>
      </c>
      <c r="N37" s="1">
        <v>0</v>
      </c>
      <c r="O37" s="1">
        <v>0</v>
      </c>
      <c r="P37" s="1">
        <v>20</v>
      </c>
      <c r="Q37" s="1">
        <v>3</v>
      </c>
      <c r="R37" s="1">
        <v>2</v>
      </c>
      <c r="S37" s="1">
        <v>5</v>
      </c>
      <c r="T37" s="1">
        <v>1</v>
      </c>
      <c r="U37" s="1">
        <v>3</v>
      </c>
      <c r="V37" s="1">
        <v>4</v>
      </c>
      <c r="W37" s="1">
        <v>3</v>
      </c>
      <c r="X37" s="1">
        <v>4</v>
      </c>
      <c r="Y37" s="1">
        <v>3</v>
      </c>
      <c r="Z37" s="1">
        <v>3</v>
      </c>
      <c r="AA37" s="1">
        <v>3</v>
      </c>
      <c r="CU37" s="1">
        <v>4</v>
      </c>
    </row>
    <row r="38" spans="1:99" x14ac:dyDescent="0.35">
      <c r="A38" s="1" t="s">
        <v>2483</v>
      </c>
      <c r="B38" s="1">
        <v>181611043</v>
      </c>
      <c r="C38" s="1">
        <v>0</v>
      </c>
      <c r="D38" s="1">
        <v>1</v>
      </c>
      <c r="E38" s="1">
        <v>0</v>
      </c>
      <c r="F38" s="1">
        <v>0</v>
      </c>
      <c r="G38" s="1">
        <v>0</v>
      </c>
      <c r="H38" s="1">
        <v>0</v>
      </c>
      <c r="I38" s="1">
        <v>0</v>
      </c>
      <c r="J38" s="1">
        <v>0</v>
      </c>
      <c r="K38" s="1">
        <v>0</v>
      </c>
      <c r="L38" s="1">
        <v>0</v>
      </c>
      <c r="M38" s="1">
        <v>0</v>
      </c>
      <c r="N38" s="1">
        <v>0</v>
      </c>
      <c r="O38" s="1">
        <v>0</v>
      </c>
      <c r="P38" s="1">
        <v>30</v>
      </c>
      <c r="Q38" s="1">
        <v>3</v>
      </c>
      <c r="R38" s="1">
        <v>2</v>
      </c>
      <c r="S38" s="1">
        <v>1</v>
      </c>
      <c r="T38" s="1">
        <v>1</v>
      </c>
      <c r="U38" s="1">
        <v>3</v>
      </c>
      <c r="V38" s="1">
        <v>3</v>
      </c>
      <c r="W38" s="1">
        <v>2</v>
      </c>
      <c r="X38" s="1">
        <v>3</v>
      </c>
      <c r="Y38" s="1">
        <v>3</v>
      </c>
      <c r="Z38" s="1">
        <v>3</v>
      </c>
      <c r="AA38" s="1">
        <v>3</v>
      </c>
      <c r="AC38" s="1">
        <v>2</v>
      </c>
      <c r="AE38" s="1">
        <v>3</v>
      </c>
      <c r="AF38" s="3">
        <v>3700000</v>
      </c>
      <c r="AG38" s="1">
        <v>13</v>
      </c>
      <c r="AT38" s="1" t="s">
        <v>93</v>
      </c>
      <c r="BP38" s="1">
        <v>3</v>
      </c>
      <c r="BQ38" s="1" t="s">
        <v>1306</v>
      </c>
      <c r="BR38" s="1" t="s">
        <v>2484</v>
      </c>
      <c r="BS38" s="1" t="s">
        <v>4330</v>
      </c>
      <c r="BT38" s="1" t="s">
        <v>79</v>
      </c>
      <c r="BU38" s="1">
        <v>1</v>
      </c>
      <c r="BV38" s="1">
        <v>2</v>
      </c>
      <c r="BW38" s="1">
        <v>1</v>
      </c>
      <c r="BX38" s="1">
        <v>0</v>
      </c>
      <c r="BY38" s="1">
        <v>0</v>
      </c>
      <c r="BZ38" s="1">
        <v>0</v>
      </c>
      <c r="CA38" s="1">
        <v>0</v>
      </c>
      <c r="CB38" s="1">
        <v>0</v>
      </c>
      <c r="CC38" s="1">
        <v>0</v>
      </c>
      <c r="CD38" s="1">
        <v>0</v>
      </c>
      <c r="CE38" s="1">
        <v>0</v>
      </c>
      <c r="CF38" s="1">
        <v>0</v>
      </c>
      <c r="CG38" s="1">
        <v>0</v>
      </c>
      <c r="CH38" s="1">
        <v>0</v>
      </c>
      <c r="CI38" s="1">
        <v>0</v>
      </c>
      <c r="CJ38" s="1">
        <v>4</v>
      </c>
      <c r="CK38" s="1">
        <v>4</v>
      </c>
      <c r="CL38" s="1">
        <v>3</v>
      </c>
      <c r="CM38" s="1">
        <v>4</v>
      </c>
      <c r="CN38" s="1">
        <v>4</v>
      </c>
      <c r="CO38" s="1">
        <v>4</v>
      </c>
      <c r="CP38" s="1">
        <v>4</v>
      </c>
      <c r="CU38" s="1">
        <v>1</v>
      </c>
    </row>
    <row r="39" spans="1:99" x14ac:dyDescent="0.35">
      <c r="A39" s="1" t="s">
        <v>2485</v>
      </c>
      <c r="B39" s="1">
        <v>181611044</v>
      </c>
      <c r="C39" s="1">
        <v>0</v>
      </c>
      <c r="D39" s="1">
        <v>0</v>
      </c>
      <c r="E39" s="1">
        <v>0</v>
      </c>
      <c r="F39" s="1">
        <v>0</v>
      </c>
      <c r="G39" s="1">
        <v>0</v>
      </c>
      <c r="H39" s="1">
        <v>0</v>
      </c>
      <c r="I39" s="1">
        <v>0</v>
      </c>
      <c r="J39" s="1">
        <v>0</v>
      </c>
      <c r="K39" s="1">
        <v>1</v>
      </c>
      <c r="L39" s="1">
        <v>0</v>
      </c>
      <c r="M39" s="1">
        <v>0</v>
      </c>
      <c r="N39" s="1">
        <v>0</v>
      </c>
      <c r="O39" s="1">
        <v>0</v>
      </c>
      <c r="P39" s="1">
        <v>10</v>
      </c>
      <c r="Q39" s="1">
        <v>5</v>
      </c>
      <c r="R39" s="1">
        <v>4</v>
      </c>
      <c r="S39" s="1">
        <v>1</v>
      </c>
      <c r="T39" s="1">
        <v>1</v>
      </c>
      <c r="U39" s="1">
        <v>4</v>
      </c>
      <c r="V39" s="1">
        <v>3</v>
      </c>
      <c r="W39" s="1">
        <v>2</v>
      </c>
      <c r="X39" s="1">
        <v>2</v>
      </c>
      <c r="Y39" s="1">
        <v>3</v>
      </c>
      <c r="Z39" s="1">
        <v>4</v>
      </c>
      <c r="AA39" s="1">
        <v>4</v>
      </c>
      <c r="AC39" s="1">
        <v>2</v>
      </c>
      <c r="AE39" s="1">
        <v>3</v>
      </c>
      <c r="AF39" s="3">
        <v>5000000</v>
      </c>
      <c r="AG39" s="1">
        <v>12</v>
      </c>
      <c r="AS39" s="1" t="s">
        <v>1021</v>
      </c>
      <c r="BP39" s="1">
        <v>4</v>
      </c>
      <c r="BQ39" s="1" t="s">
        <v>2486</v>
      </c>
      <c r="BR39" s="1" t="s">
        <v>2487</v>
      </c>
      <c r="BS39" s="1" t="s">
        <v>2488</v>
      </c>
      <c r="BT39" s="1" t="s">
        <v>79</v>
      </c>
      <c r="BU39" s="1">
        <v>1</v>
      </c>
      <c r="BV39" s="1">
        <v>1</v>
      </c>
      <c r="BW39" s="1">
        <v>0</v>
      </c>
      <c r="BX39" s="1">
        <v>0</v>
      </c>
      <c r="BY39" s="1">
        <v>0</v>
      </c>
      <c r="BZ39" s="1">
        <v>0</v>
      </c>
      <c r="CA39" s="1">
        <v>0</v>
      </c>
      <c r="CB39" s="1">
        <v>0</v>
      </c>
      <c r="CC39" s="1">
        <v>0</v>
      </c>
      <c r="CD39" s="1">
        <v>0</v>
      </c>
      <c r="CE39" s="1">
        <v>0</v>
      </c>
      <c r="CF39" s="1">
        <v>0</v>
      </c>
      <c r="CG39" s="1">
        <v>0</v>
      </c>
      <c r="CH39" s="1">
        <v>0</v>
      </c>
      <c r="CJ39" s="1">
        <v>4</v>
      </c>
      <c r="CK39" s="1">
        <v>4</v>
      </c>
      <c r="CL39" s="1">
        <v>4</v>
      </c>
      <c r="CM39" s="1">
        <v>4</v>
      </c>
      <c r="CN39" s="1">
        <v>4</v>
      </c>
      <c r="CO39" s="1">
        <v>4</v>
      </c>
      <c r="CP39" s="1">
        <v>4</v>
      </c>
      <c r="CU39" s="1">
        <v>1</v>
      </c>
    </row>
    <row r="40" spans="1:99" x14ac:dyDescent="0.35">
      <c r="A40" s="1" t="s">
        <v>2489</v>
      </c>
      <c r="B40" s="1">
        <v>181611045</v>
      </c>
      <c r="C40" s="1">
        <v>0</v>
      </c>
      <c r="D40" s="1">
        <v>1</v>
      </c>
      <c r="E40" s="1">
        <v>0</v>
      </c>
      <c r="F40" s="1">
        <v>0</v>
      </c>
      <c r="G40" s="1">
        <v>0</v>
      </c>
      <c r="H40" s="1">
        <v>1</v>
      </c>
      <c r="I40" s="1">
        <v>0</v>
      </c>
      <c r="J40" s="1">
        <v>1</v>
      </c>
      <c r="K40" s="1">
        <v>1</v>
      </c>
      <c r="L40" s="1">
        <v>0</v>
      </c>
      <c r="M40" s="1">
        <v>0</v>
      </c>
      <c r="N40" s="1">
        <v>0</v>
      </c>
      <c r="O40" s="1">
        <v>0</v>
      </c>
      <c r="P40" s="1">
        <v>27</v>
      </c>
      <c r="Q40" s="1">
        <v>15</v>
      </c>
      <c r="R40" s="1">
        <v>11</v>
      </c>
      <c r="S40" s="1">
        <v>1</v>
      </c>
      <c r="T40" s="1">
        <v>1</v>
      </c>
      <c r="U40" s="1">
        <v>4</v>
      </c>
      <c r="V40" s="1">
        <v>3</v>
      </c>
      <c r="W40" s="1">
        <v>3</v>
      </c>
      <c r="X40" s="1">
        <v>4</v>
      </c>
      <c r="Y40" s="1">
        <v>2</v>
      </c>
      <c r="Z40" s="1">
        <v>3</v>
      </c>
      <c r="AA40" s="1">
        <v>3</v>
      </c>
      <c r="AC40" s="1">
        <v>1</v>
      </c>
      <c r="AD40" s="1">
        <v>4</v>
      </c>
      <c r="AE40" s="1">
        <v>4</v>
      </c>
      <c r="AF40" s="3">
        <v>5260000</v>
      </c>
      <c r="AG40" s="1">
        <v>11</v>
      </c>
      <c r="AR40" s="1" t="s">
        <v>130</v>
      </c>
      <c r="BP40" s="1">
        <v>3</v>
      </c>
      <c r="BQ40" s="1" t="s">
        <v>2490</v>
      </c>
      <c r="BR40" s="1" t="s">
        <v>2491</v>
      </c>
      <c r="BS40" s="1" t="s">
        <v>2492</v>
      </c>
      <c r="BT40" s="1" t="s">
        <v>79</v>
      </c>
      <c r="BU40" s="1">
        <v>4</v>
      </c>
      <c r="BV40" s="1">
        <v>2</v>
      </c>
      <c r="BW40" s="1">
        <v>0</v>
      </c>
      <c r="BX40" s="1">
        <v>1</v>
      </c>
      <c r="BY40" s="1">
        <v>0</v>
      </c>
      <c r="BZ40" s="1">
        <v>1</v>
      </c>
      <c r="CA40" s="1">
        <v>0</v>
      </c>
      <c r="CB40" s="1">
        <v>0</v>
      </c>
      <c r="CC40" s="1">
        <v>0</v>
      </c>
      <c r="CD40" s="1">
        <v>1</v>
      </c>
      <c r="CE40" s="1">
        <v>0</v>
      </c>
      <c r="CF40" s="1">
        <v>0</v>
      </c>
      <c r="CG40" s="1">
        <v>0</v>
      </c>
      <c r="CH40" s="1">
        <v>0</v>
      </c>
      <c r="CI40" s="1">
        <v>0</v>
      </c>
      <c r="CJ40" s="1">
        <v>4</v>
      </c>
      <c r="CK40" s="1">
        <v>1</v>
      </c>
      <c r="CL40" s="1">
        <v>3</v>
      </c>
      <c r="CM40" s="1">
        <v>3</v>
      </c>
      <c r="CN40" s="1">
        <v>4</v>
      </c>
      <c r="CO40" s="1">
        <v>4</v>
      </c>
      <c r="CP40" s="1">
        <v>4</v>
      </c>
      <c r="CU40" s="1">
        <v>4</v>
      </c>
    </row>
    <row r="41" spans="1:99" x14ac:dyDescent="0.35">
      <c r="A41" s="1" t="s">
        <v>2493</v>
      </c>
      <c r="B41" s="1">
        <v>181611047</v>
      </c>
      <c r="C41" s="1">
        <v>0</v>
      </c>
      <c r="D41" s="1">
        <v>1</v>
      </c>
      <c r="E41" s="1">
        <v>1</v>
      </c>
      <c r="F41" s="1">
        <v>0</v>
      </c>
      <c r="G41" s="1">
        <v>1</v>
      </c>
      <c r="H41" s="1">
        <v>0</v>
      </c>
      <c r="I41" s="1">
        <v>0</v>
      </c>
      <c r="J41" s="1">
        <v>1</v>
      </c>
      <c r="K41" s="1">
        <v>1</v>
      </c>
      <c r="L41" s="1">
        <v>0</v>
      </c>
      <c r="M41" s="1">
        <v>0</v>
      </c>
      <c r="N41" s="1">
        <v>0</v>
      </c>
      <c r="O41" s="1">
        <v>0</v>
      </c>
      <c r="P41" s="1">
        <v>8</v>
      </c>
      <c r="Q41" s="1">
        <v>5</v>
      </c>
      <c r="R41" s="1">
        <v>5</v>
      </c>
      <c r="S41" s="1">
        <v>1</v>
      </c>
      <c r="T41" s="1">
        <v>1</v>
      </c>
      <c r="U41" s="1">
        <v>4</v>
      </c>
      <c r="V41" s="1">
        <v>4</v>
      </c>
      <c r="W41" s="1">
        <v>3</v>
      </c>
      <c r="X41" s="1">
        <v>4</v>
      </c>
      <c r="Y41" s="1">
        <v>4</v>
      </c>
      <c r="Z41" s="1">
        <v>4</v>
      </c>
      <c r="AA41" s="1">
        <v>4</v>
      </c>
      <c r="AC41" s="1">
        <v>2</v>
      </c>
      <c r="AE41" s="1">
        <v>1</v>
      </c>
      <c r="AF41" s="3">
        <v>3200000</v>
      </c>
      <c r="AG41" s="1">
        <v>13</v>
      </c>
      <c r="AT41" s="1" t="s">
        <v>427</v>
      </c>
      <c r="BP41" s="1">
        <v>3</v>
      </c>
      <c r="BQ41" s="1" t="s">
        <v>2494</v>
      </c>
      <c r="BR41" s="1" t="s">
        <v>2495</v>
      </c>
      <c r="BS41" s="1" t="s">
        <v>2496</v>
      </c>
      <c r="BT41" s="1" t="s">
        <v>79</v>
      </c>
      <c r="BU41" s="1">
        <v>1</v>
      </c>
      <c r="BV41" s="1">
        <v>2</v>
      </c>
      <c r="BW41" s="1">
        <v>1</v>
      </c>
      <c r="BX41" s="1">
        <v>0</v>
      </c>
      <c r="BY41" s="1">
        <v>0</v>
      </c>
      <c r="BZ41" s="1">
        <v>0</v>
      </c>
      <c r="CA41" s="1">
        <v>0</v>
      </c>
      <c r="CB41" s="1">
        <v>0</v>
      </c>
      <c r="CC41" s="1">
        <v>0</v>
      </c>
      <c r="CD41" s="1">
        <v>0</v>
      </c>
      <c r="CE41" s="1">
        <v>0</v>
      </c>
      <c r="CF41" s="1">
        <v>0</v>
      </c>
      <c r="CG41" s="1">
        <v>0</v>
      </c>
      <c r="CH41" s="1">
        <v>0</v>
      </c>
      <c r="CI41" s="1">
        <v>0</v>
      </c>
      <c r="CJ41" s="1">
        <v>4</v>
      </c>
      <c r="CK41" s="1">
        <v>4</v>
      </c>
      <c r="CL41" s="1">
        <v>4</v>
      </c>
      <c r="CM41" s="1">
        <v>4</v>
      </c>
      <c r="CN41" s="1">
        <v>4</v>
      </c>
      <c r="CO41" s="1">
        <v>4</v>
      </c>
      <c r="CP41" s="1">
        <v>4</v>
      </c>
      <c r="CU41" s="1">
        <v>2</v>
      </c>
    </row>
    <row r="42" spans="1:99" x14ac:dyDescent="0.35">
      <c r="A42" s="1" t="s">
        <v>2497</v>
      </c>
      <c r="B42" s="1">
        <v>181611048</v>
      </c>
      <c r="C42" s="1">
        <v>0</v>
      </c>
      <c r="D42" s="1">
        <v>1</v>
      </c>
      <c r="E42" s="1">
        <v>0</v>
      </c>
      <c r="F42" s="1">
        <v>0</v>
      </c>
      <c r="G42" s="1">
        <v>0</v>
      </c>
      <c r="H42" s="1">
        <v>1</v>
      </c>
      <c r="I42" s="1">
        <v>0</v>
      </c>
      <c r="J42" s="1">
        <v>0</v>
      </c>
      <c r="K42" s="1">
        <v>1</v>
      </c>
      <c r="L42" s="1">
        <v>0</v>
      </c>
      <c r="M42" s="1">
        <v>1</v>
      </c>
      <c r="N42" s="1">
        <v>0</v>
      </c>
      <c r="O42" s="1">
        <v>0</v>
      </c>
      <c r="P42" s="1">
        <v>40</v>
      </c>
      <c r="Q42" s="1">
        <v>10</v>
      </c>
      <c r="R42" s="1">
        <v>3</v>
      </c>
      <c r="S42" s="1">
        <v>1</v>
      </c>
      <c r="T42" s="1">
        <v>1</v>
      </c>
      <c r="U42" s="1">
        <v>4</v>
      </c>
      <c r="V42" s="1">
        <v>3</v>
      </c>
      <c r="W42" s="1">
        <v>2</v>
      </c>
      <c r="X42" s="1">
        <v>4</v>
      </c>
      <c r="Y42" s="1">
        <v>3</v>
      </c>
      <c r="Z42" s="1">
        <v>4</v>
      </c>
      <c r="AA42" s="1">
        <v>4</v>
      </c>
      <c r="AC42" s="1">
        <v>2</v>
      </c>
      <c r="AE42" s="1">
        <v>9</v>
      </c>
      <c r="AF42" s="3">
        <v>4500000</v>
      </c>
      <c r="AG42" s="1">
        <v>11</v>
      </c>
      <c r="AR42" s="1" t="s">
        <v>222</v>
      </c>
      <c r="BP42" s="1">
        <v>3</v>
      </c>
      <c r="BQ42" s="1" t="s">
        <v>2498</v>
      </c>
      <c r="BR42" s="1" t="s">
        <v>2499</v>
      </c>
      <c r="BS42" s="1" t="s">
        <v>2500</v>
      </c>
      <c r="BT42" s="1" t="s">
        <v>79</v>
      </c>
      <c r="BU42" s="1">
        <v>1</v>
      </c>
      <c r="BV42" s="1">
        <v>2</v>
      </c>
      <c r="BW42" s="1">
        <v>1</v>
      </c>
      <c r="BX42" s="1">
        <v>0</v>
      </c>
      <c r="BY42" s="1">
        <v>0</v>
      </c>
      <c r="BZ42" s="1">
        <v>0</v>
      </c>
      <c r="CA42" s="1">
        <v>0</v>
      </c>
      <c r="CB42" s="1">
        <v>0</v>
      </c>
      <c r="CC42" s="1">
        <v>0</v>
      </c>
      <c r="CD42" s="1">
        <v>0</v>
      </c>
      <c r="CE42" s="1">
        <v>0</v>
      </c>
      <c r="CF42" s="1">
        <v>0</v>
      </c>
      <c r="CG42" s="1">
        <v>0</v>
      </c>
      <c r="CH42" s="1">
        <v>0</v>
      </c>
      <c r="CI42" s="1">
        <v>0</v>
      </c>
      <c r="CJ42" s="1">
        <v>4</v>
      </c>
      <c r="CK42" s="1">
        <v>4</v>
      </c>
      <c r="CL42" s="1">
        <v>3</v>
      </c>
      <c r="CM42" s="1">
        <v>4</v>
      </c>
      <c r="CN42" s="1">
        <v>4</v>
      </c>
      <c r="CO42" s="1">
        <v>4</v>
      </c>
      <c r="CP42" s="1">
        <v>4</v>
      </c>
      <c r="CU42" s="1">
        <v>1</v>
      </c>
    </row>
    <row r="43" spans="1:99" x14ac:dyDescent="0.35">
      <c r="A43" s="1" t="s">
        <v>2501</v>
      </c>
      <c r="B43" s="1">
        <v>181611049</v>
      </c>
      <c r="C43" s="1">
        <v>0</v>
      </c>
      <c r="D43" s="1">
        <v>0</v>
      </c>
      <c r="E43" s="1">
        <v>0</v>
      </c>
      <c r="F43" s="1">
        <v>0</v>
      </c>
      <c r="G43" s="1">
        <v>0</v>
      </c>
      <c r="H43" s="1">
        <v>0</v>
      </c>
      <c r="I43" s="1">
        <v>0</v>
      </c>
      <c r="J43" s="1">
        <v>0</v>
      </c>
      <c r="K43" s="1">
        <v>1</v>
      </c>
      <c r="L43" s="1">
        <v>0</v>
      </c>
      <c r="M43" s="1">
        <v>0</v>
      </c>
      <c r="N43" s="1">
        <v>0</v>
      </c>
      <c r="O43" s="1">
        <v>0</v>
      </c>
      <c r="P43" s="1">
        <v>1</v>
      </c>
      <c r="Q43" s="1">
        <v>1</v>
      </c>
      <c r="R43" s="1">
        <v>1</v>
      </c>
      <c r="S43" s="1">
        <v>4</v>
      </c>
      <c r="T43" s="1">
        <v>1</v>
      </c>
      <c r="U43" s="1">
        <v>3</v>
      </c>
      <c r="V43" s="1">
        <v>3</v>
      </c>
      <c r="W43" s="1">
        <v>3</v>
      </c>
      <c r="X43" s="1">
        <v>3</v>
      </c>
      <c r="Y43" s="1">
        <v>3</v>
      </c>
      <c r="Z43" s="1">
        <v>3</v>
      </c>
      <c r="AA43" s="1">
        <v>3</v>
      </c>
      <c r="CQ43" s="1">
        <v>2</v>
      </c>
      <c r="CR43" s="1" t="s">
        <v>2502</v>
      </c>
      <c r="CS43" s="1" t="s">
        <v>2503</v>
      </c>
      <c r="CT43" s="5">
        <v>44445</v>
      </c>
      <c r="CU43" s="1">
        <v>1</v>
      </c>
    </row>
    <row r="44" spans="1:99" x14ac:dyDescent="0.35">
      <c r="A44" s="1" t="s">
        <v>2504</v>
      </c>
      <c r="B44" s="1">
        <v>181611051</v>
      </c>
      <c r="C44" s="1">
        <v>0</v>
      </c>
      <c r="D44" s="1">
        <v>1</v>
      </c>
      <c r="E44" s="1">
        <v>0</v>
      </c>
      <c r="F44" s="1">
        <v>0</v>
      </c>
      <c r="G44" s="1">
        <v>0</v>
      </c>
      <c r="H44" s="1">
        <v>0</v>
      </c>
      <c r="I44" s="1">
        <v>0</v>
      </c>
      <c r="J44" s="1">
        <v>0</v>
      </c>
      <c r="K44" s="1">
        <v>1</v>
      </c>
      <c r="L44" s="1">
        <v>0</v>
      </c>
      <c r="M44" s="1">
        <v>0</v>
      </c>
      <c r="N44" s="1">
        <v>0</v>
      </c>
      <c r="O44" s="1">
        <v>0</v>
      </c>
      <c r="P44" s="1">
        <v>30</v>
      </c>
      <c r="Q44" s="1">
        <v>10</v>
      </c>
      <c r="R44" s="1">
        <v>10</v>
      </c>
      <c r="S44" s="1">
        <v>1</v>
      </c>
      <c r="T44" s="1">
        <v>1</v>
      </c>
      <c r="U44" s="1">
        <v>3</v>
      </c>
      <c r="V44" s="1">
        <v>3</v>
      </c>
      <c r="W44" s="1">
        <v>3</v>
      </c>
      <c r="X44" s="1">
        <v>3</v>
      </c>
      <c r="Y44" s="1">
        <v>3</v>
      </c>
      <c r="Z44" s="1">
        <v>3</v>
      </c>
      <c r="AA44" s="1">
        <v>3</v>
      </c>
      <c r="AC44" s="1">
        <v>2</v>
      </c>
      <c r="AE44" s="1">
        <v>6</v>
      </c>
      <c r="AF44" s="3">
        <v>3500000</v>
      </c>
      <c r="AG44" s="1">
        <v>13</v>
      </c>
      <c r="AT44" s="1" t="s">
        <v>209</v>
      </c>
      <c r="BP44" s="1">
        <v>3</v>
      </c>
      <c r="BQ44" s="1" t="s">
        <v>2400</v>
      </c>
      <c r="BR44" s="1" t="s">
        <v>2505</v>
      </c>
      <c r="BS44" s="1" t="s">
        <v>4329</v>
      </c>
      <c r="BT44" s="1" t="s">
        <v>79</v>
      </c>
      <c r="BU44" s="1">
        <v>2</v>
      </c>
      <c r="BV44" s="1">
        <v>1</v>
      </c>
      <c r="BW44" s="1">
        <v>1</v>
      </c>
      <c r="BX44" s="1">
        <v>0</v>
      </c>
      <c r="BY44" s="1">
        <v>0</v>
      </c>
      <c r="BZ44" s="1">
        <v>0</v>
      </c>
      <c r="CA44" s="1">
        <v>0</v>
      </c>
      <c r="CB44" s="1">
        <v>0</v>
      </c>
      <c r="CC44" s="1">
        <v>0</v>
      </c>
      <c r="CD44" s="1">
        <v>0</v>
      </c>
      <c r="CE44" s="1">
        <v>0</v>
      </c>
      <c r="CF44" s="1">
        <v>0</v>
      </c>
      <c r="CG44" s="1">
        <v>0</v>
      </c>
      <c r="CH44" s="1">
        <v>0</v>
      </c>
      <c r="CI44" s="1">
        <v>0</v>
      </c>
      <c r="CJ44" s="1">
        <v>3</v>
      </c>
      <c r="CK44" s="1">
        <v>3</v>
      </c>
      <c r="CL44" s="1">
        <v>2</v>
      </c>
      <c r="CM44" s="1">
        <v>3</v>
      </c>
      <c r="CN44" s="1">
        <v>3</v>
      </c>
      <c r="CO44" s="1">
        <v>3</v>
      </c>
      <c r="CP44" s="1">
        <v>3</v>
      </c>
      <c r="CU44" s="1">
        <v>1</v>
      </c>
    </row>
    <row r="45" spans="1:99" x14ac:dyDescent="0.35">
      <c r="A45" s="1" t="s">
        <v>2506</v>
      </c>
      <c r="B45" s="1">
        <v>181611052</v>
      </c>
      <c r="C45" s="1">
        <v>0</v>
      </c>
      <c r="D45" s="1">
        <v>1</v>
      </c>
      <c r="E45" s="1">
        <v>0</v>
      </c>
      <c r="F45" s="1">
        <v>0</v>
      </c>
      <c r="G45" s="1">
        <v>0</v>
      </c>
      <c r="H45" s="1">
        <v>1</v>
      </c>
      <c r="I45" s="1">
        <v>1</v>
      </c>
      <c r="J45" s="1">
        <v>1</v>
      </c>
      <c r="K45" s="1">
        <v>1</v>
      </c>
      <c r="L45" s="1">
        <v>0</v>
      </c>
      <c r="M45" s="1">
        <v>0</v>
      </c>
      <c r="N45" s="1">
        <v>0</v>
      </c>
      <c r="O45" s="1">
        <v>0</v>
      </c>
      <c r="P45" s="1">
        <v>18</v>
      </c>
      <c r="Q45" s="1">
        <v>8</v>
      </c>
      <c r="R45" s="1">
        <v>8</v>
      </c>
      <c r="S45" s="1">
        <v>1</v>
      </c>
      <c r="T45" s="1">
        <v>1</v>
      </c>
      <c r="U45" s="1">
        <v>4</v>
      </c>
      <c r="V45" s="1">
        <v>4</v>
      </c>
      <c r="W45" s="1">
        <v>4</v>
      </c>
      <c r="X45" s="1">
        <v>4</v>
      </c>
      <c r="Y45" s="1">
        <v>4</v>
      </c>
      <c r="Z45" s="1">
        <v>4</v>
      </c>
      <c r="AA45" s="1">
        <v>4</v>
      </c>
      <c r="AC45" s="1">
        <v>1</v>
      </c>
      <c r="AD45" s="1">
        <v>0</v>
      </c>
      <c r="AF45" s="3">
        <v>5600000</v>
      </c>
      <c r="AG45" s="1">
        <v>11</v>
      </c>
      <c r="AR45" s="1" t="s">
        <v>130</v>
      </c>
      <c r="BP45" s="1">
        <v>3</v>
      </c>
      <c r="BQ45" s="1" t="s">
        <v>2357</v>
      </c>
      <c r="BR45" s="1" t="s">
        <v>2507</v>
      </c>
      <c r="BS45" s="1" t="s">
        <v>2359</v>
      </c>
      <c r="BT45" s="1" t="s">
        <v>79</v>
      </c>
      <c r="BU45" s="1">
        <v>1</v>
      </c>
      <c r="BV45" s="1">
        <v>1</v>
      </c>
      <c r="BW45" s="1">
        <v>1</v>
      </c>
      <c r="BX45" s="1">
        <v>0</v>
      </c>
      <c r="BY45" s="1">
        <v>0</v>
      </c>
      <c r="BZ45" s="1">
        <v>0</v>
      </c>
      <c r="CA45" s="1">
        <v>0</v>
      </c>
      <c r="CB45" s="1">
        <v>0</v>
      </c>
      <c r="CC45" s="1">
        <v>0</v>
      </c>
      <c r="CD45" s="1">
        <v>0</v>
      </c>
      <c r="CE45" s="1">
        <v>0</v>
      </c>
      <c r="CF45" s="1">
        <v>0</v>
      </c>
      <c r="CG45" s="1">
        <v>0</v>
      </c>
      <c r="CH45" s="1">
        <v>0</v>
      </c>
      <c r="CI45" s="1">
        <v>0</v>
      </c>
      <c r="CJ45" s="1">
        <v>4</v>
      </c>
      <c r="CK45" s="1">
        <v>4</v>
      </c>
      <c r="CL45" s="1">
        <v>4</v>
      </c>
      <c r="CM45" s="1">
        <v>4</v>
      </c>
      <c r="CN45" s="1">
        <v>4</v>
      </c>
      <c r="CO45" s="1">
        <v>4</v>
      </c>
      <c r="CP45" s="1">
        <v>4</v>
      </c>
      <c r="CU45" s="1">
        <v>1</v>
      </c>
    </row>
    <row r="46" spans="1:99" x14ac:dyDescent="0.35">
      <c r="A46" s="1" t="s">
        <v>2508</v>
      </c>
      <c r="B46" s="1">
        <v>181611054</v>
      </c>
      <c r="C46" s="1">
        <v>0</v>
      </c>
      <c r="D46" s="1">
        <v>1</v>
      </c>
      <c r="E46" s="1">
        <v>0</v>
      </c>
      <c r="F46" s="1">
        <v>0</v>
      </c>
      <c r="G46" s="1">
        <v>0</v>
      </c>
      <c r="H46" s="1">
        <v>0</v>
      </c>
      <c r="I46" s="1">
        <v>0</v>
      </c>
      <c r="J46" s="1">
        <v>0</v>
      </c>
      <c r="K46" s="1">
        <v>1</v>
      </c>
      <c r="L46" s="1">
        <v>0</v>
      </c>
      <c r="M46" s="1">
        <v>0</v>
      </c>
      <c r="N46" s="1">
        <v>0</v>
      </c>
      <c r="O46" s="1">
        <v>0</v>
      </c>
      <c r="P46" s="1">
        <v>4</v>
      </c>
      <c r="Q46" s="1">
        <v>2</v>
      </c>
      <c r="R46" s="1">
        <v>2</v>
      </c>
      <c r="S46" s="1">
        <v>1</v>
      </c>
      <c r="T46" s="1">
        <v>1</v>
      </c>
      <c r="U46" s="1">
        <v>4</v>
      </c>
      <c r="V46" s="1">
        <v>3</v>
      </c>
      <c r="W46" s="1">
        <v>2</v>
      </c>
      <c r="X46" s="1">
        <v>3</v>
      </c>
      <c r="Y46" s="1">
        <v>3</v>
      </c>
      <c r="Z46" s="1">
        <v>4</v>
      </c>
      <c r="AA46" s="1">
        <v>4</v>
      </c>
      <c r="AC46" s="1">
        <v>2</v>
      </c>
      <c r="AE46" s="1">
        <v>8</v>
      </c>
      <c r="AF46" s="3">
        <v>4300000</v>
      </c>
      <c r="AG46" s="1">
        <v>12</v>
      </c>
      <c r="AS46" s="1" t="s">
        <v>472</v>
      </c>
      <c r="BP46" s="1">
        <v>4</v>
      </c>
      <c r="BQ46" s="1" t="s">
        <v>2509</v>
      </c>
      <c r="BR46" s="1" t="s">
        <v>2510</v>
      </c>
      <c r="BS46" s="1" t="s">
        <v>2511</v>
      </c>
      <c r="BT46" s="1" t="s">
        <v>107</v>
      </c>
      <c r="BU46" s="1">
        <v>1</v>
      </c>
      <c r="BV46" s="1">
        <v>2</v>
      </c>
      <c r="BW46" s="1">
        <v>1</v>
      </c>
      <c r="BX46" s="1">
        <v>0</v>
      </c>
      <c r="BY46" s="1">
        <v>0</v>
      </c>
      <c r="BZ46" s="1">
        <v>0</v>
      </c>
      <c r="CA46" s="1">
        <v>0</v>
      </c>
      <c r="CB46" s="1">
        <v>0</v>
      </c>
      <c r="CC46" s="1">
        <v>0</v>
      </c>
      <c r="CD46" s="1">
        <v>0</v>
      </c>
      <c r="CE46" s="1">
        <v>0</v>
      </c>
      <c r="CF46" s="1">
        <v>0</v>
      </c>
      <c r="CG46" s="1">
        <v>0</v>
      </c>
      <c r="CH46" s="1">
        <v>0</v>
      </c>
      <c r="CI46" s="1">
        <v>0</v>
      </c>
      <c r="CJ46" s="1">
        <v>4</v>
      </c>
      <c r="CK46" s="1">
        <v>4</v>
      </c>
      <c r="CL46" s="1">
        <v>3</v>
      </c>
      <c r="CM46" s="1">
        <v>3</v>
      </c>
      <c r="CN46" s="1">
        <v>4</v>
      </c>
      <c r="CO46" s="1">
        <v>4</v>
      </c>
      <c r="CP46" s="1">
        <v>4</v>
      </c>
      <c r="CU46" s="1">
        <v>1</v>
      </c>
    </row>
    <row r="47" spans="1:99" x14ac:dyDescent="0.35">
      <c r="A47" s="1" t="s">
        <v>2512</v>
      </c>
      <c r="B47" s="1">
        <v>181611055</v>
      </c>
      <c r="C47" s="1">
        <v>0</v>
      </c>
      <c r="D47" s="1">
        <v>0</v>
      </c>
      <c r="E47" s="1">
        <v>0</v>
      </c>
      <c r="F47" s="1">
        <v>0</v>
      </c>
      <c r="G47" s="1">
        <v>0</v>
      </c>
      <c r="H47" s="1">
        <v>0</v>
      </c>
      <c r="I47" s="1">
        <v>0</v>
      </c>
      <c r="J47" s="1">
        <v>0</v>
      </c>
      <c r="K47" s="1">
        <v>1</v>
      </c>
      <c r="L47" s="1">
        <v>0</v>
      </c>
      <c r="M47" s="1">
        <v>0</v>
      </c>
      <c r="N47" s="1">
        <v>0</v>
      </c>
      <c r="O47" s="1">
        <v>0</v>
      </c>
      <c r="P47" s="1" t="s">
        <v>78</v>
      </c>
      <c r="Q47" s="1" t="s">
        <v>78</v>
      </c>
      <c r="R47" s="1" t="s">
        <v>78</v>
      </c>
      <c r="S47" s="1">
        <v>1</v>
      </c>
      <c r="T47" s="1">
        <v>6</v>
      </c>
      <c r="U47" s="1">
        <v>4</v>
      </c>
      <c r="V47" s="1">
        <v>3</v>
      </c>
      <c r="W47" s="1">
        <v>2</v>
      </c>
      <c r="X47" s="1">
        <v>3</v>
      </c>
      <c r="Y47" s="1">
        <v>4</v>
      </c>
      <c r="Z47" s="1">
        <v>4</v>
      </c>
      <c r="AA47" s="1">
        <v>3</v>
      </c>
      <c r="AC47" s="1">
        <v>1</v>
      </c>
      <c r="AD47" s="1">
        <v>0</v>
      </c>
      <c r="AF47" s="3">
        <v>4000000</v>
      </c>
      <c r="AG47" s="1">
        <v>12</v>
      </c>
      <c r="AS47" s="1" t="s">
        <v>472</v>
      </c>
      <c r="BP47" s="1">
        <v>3</v>
      </c>
      <c r="BQ47" s="1" t="s">
        <v>2509</v>
      </c>
      <c r="BR47" s="1" t="s">
        <v>2513</v>
      </c>
      <c r="BS47" s="1" t="s">
        <v>2511</v>
      </c>
      <c r="BT47" s="1" t="s">
        <v>79</v>
      </c>
      <c r="BU47" s="1">
        <v>1</v>
      </c>
      <c r="BV47" s="1">
        <v>2</v>
      </c>
      <c r="BW47" s="1">
        <v>1</v>
      </c>
      <c r="BX47" s="1">
        <v>0</v>
      </c>
      <c r="BY47" s="1">
        <v>0</v>
      </c>
      <c r="BZ47" s="1">
        <v>0</v>
      </c>
      <c r="CA47" s="1">
        <v>0</v>
      </c>
      <c r="CB47" s="1">
        <v>0</v>
      </c>
      <c r="CC47" s="1">
        <v>0</v>
      </c>
      <c r="CD47" s="1">
        <v>0</v>
      </c>
      <c r="CE47" s="1">
        <v>0</v>
      </c>
      <c r="CF47" s="1">
        <v>0</v>
      </c>
      <c r="CG47" s="1">
        <v>0</v>
      </c>
      <c r="CH47" s="1">
        <v>0</v>
      </c>
      <c r="CI47" s="1">
        <v>0</v>
      </c>
      <c r="CJ47" s="1">
        <v>4</v>
      </c>
      <c r="CK47" s="1">
        <v>4</v>
      </c>
      <c r="CL47" s="1">
        <v>3</v>
      </c>
      <c r="CM47" s="1">
        <v>3</v>
      </c>
      <c r="CN47" s="1">
        <v>4</v>
      </c>
      <c r="CO47" s="1">
        <v>4</v>
      </c>
      <c r="CP47" s="1">
        <v>4</v>
      </c>
      <c r="CU47" s="1">
        <v>1</v>
      </c>
    </row>
    <row r="48" spans="1:99" x14ac:dyDescent="0.35">
      <c r="A48" s="1" t="s">
        <v>2514</v>
      </c>
      <c r="B48" s="1">
        <v>181611056</v>
      </c>
      <c r="C48" s="1">
        <v>0</v>
      </c>
      <c r="D48" s="1">
        <v>1</v>
      </c>
      <c r="E48" s="1">
        <v>0</v>
      </c>
      <c r="F48" s="1">
        <v>0</v>
      </c>
      <c r="G48" s="1">
        <v>0</v>
      </c>
      <c r="H48" s="1">
        <v>0</v>
      </c>
      <c r="I48" s="1">
        <v>0</v>
      </c>
      <c r="J48" s="1">
        <v>0</v>
      </c>
      <c r="K48" s="1">
        <v>1</v>
      </c>
      <c r="L48" s="1">
        <v>0</v>
      </c>
      <c r="M48" s="1">
        <v>0</v>
      </c>
      <c r="N48" s="1">
        <v>0</v>
      </c>
      <c r="O48" s="1">
        <v>0</v>
      </c>
      <c r="P48" s="1">
        <v>15</v>
      </c>
      <c r="Q48" s="1">
        <v>3</v>
      </c>
      <c r="R48" s="1">
        <v>2</v>
      </c>
      <c r="S48" s="1">
        <v>5</v>
      </c>
      <c r="T48" s="1">
        <v>1</v>
      </c>
      <c r="U48" s="1">
        <v>4</v>
      </c>
      <c r="V48" s="1">
        <v>4</v>
      </c>
      <c r="W48" s="1">
        <v>3</v>
      </c>
      <c r="X48" s="1">
        <v>3</v>
      </c>
      <c r="Y48" s="1">
        <v>3</v>
      </c>
      <c r="Z48" s="1">
        <v>4</v>
      </c>
      <c r="AA48" s="1">
        <v>4</v>
      </c>
      <c r="CU48" s="1">
        <v>4</v>
      </c>
    </row>
    <row r="49" spans="1:99" x14ac:dyDescent="0.35">
      <c r="A49" s="1" t="s">
        <v>2515</v>
      </c>
      <c r="B49" s="1">
        <v>181611057</v>
      </c>
      <c r="C49" s="1">
        <v>0</v>
      </c>
      <c r="D49" s="1">
        <v>1</v>
      </c>
      <c r="E49" s="1">
        <v>0</v>
      </c>
      <c r="F49" s="1">
        <v>0</v>
      </c>
      <c r="G49" s="1">
        <v>0</v>
      </c>
      <c r="H49" s="1">
        <v>0</v>
      </c>
      <c r="I49" s="1">
        <v>0</v>
      </c>
      <c r="J49" s="1">
        <v>0</v>
      </c>
      <c r="K49" s="1">
        <v>0</v>
      </c>
      <c r="L49" s="1">
        <v>0</v>
      </c>
      <c r="M49" s="1">
        <v>0</v>
      </c>
      <c r="N49" s="1">
        <v>0</v>
      </c>
      <c r="O49" s="1">
        <v>0</v>
      </c>
      <c r="P49" s="1">
        <v>7</v>
      </c>
      <c r="Q49" s="1">
        <v>2</v>
      </c>
      <c r="R49" s="1">
        <v>2</v>
      </c>
      <c r="S49" s="1">
        <v>3</v>
      </c>
      <c r="T49" s="1">
        <v>1</v>
      </c>
      <c r="U49" s="1">
        <v>3</v>
      </c>
      <c r="V49" s="1">
        <v>1</v>
      </c>
      <c r="W49" s="1">
        <v>2</v>
      </c>
      <c r="X49" s="1">
        <v>1</v>
      </c>
      <c r="Y49" s="1">
        <v>1</v>
      </c>
      <c r="Z49" s="1">
        <v>1</v>
      </c>
      <c r="AA49" s="1">
        <v>1</v>
      </c>
      <c r="AB49" s="1">
        <v>3</v>
      </c>
      <c r="AC49" s="1">
        <v>2</v>
      </c>
      <c r="AE49" s="1">
        <v>10</v>
      </c>
      <c r="AF49" s="3">
        <v>3700000</v>
      </c>
      <c r="AG49" s="1">
        <v>13</v>
      </c>
      <c r="AT49" s="1" t="s">
        <v>86</v>
      </c>
      <c r="BP49" s="1">
        <v>3</v>
      </c>
      <c r="BQ49" s="1" t="s">
        <v>2516</v>
      </c>
      <c r="BR49" s="1" t="s">
        <v>2517</v>
      </c>
      <c r="BS49" s="1" t="s">
        <v>2518</v>
      </c>
      <c r="BT49" s="1" t="s">
        <v>79</v>
      </c>
      <c r="BU49" s="1">
        <v>5</v>
      </c>
      <c r="BV49" s="1">
        <v>3</v>
      </c>
      <c r="BW49" s="1">
        <v>0</v>
      </c>
      <c r="BX49" s="1">
        <v>0</v>
      </c>
      <c r="BY49" s="1">
        <v>0</v>
      </c>
      <c r="BZ49" s="1">
        <v>1</v>
      </c>
      <c r="CA49" s="1">
        <v>1</v>
      </c>
      <c r="CB49" s="1">
        <v>0</v>
      </c>
      <c r="CC49" s="1">
        <v>0</v>
      </c>
      <c r="CD49" s="1">
        <v>0</v>
      </c>
      <c r="CE49" s="1">
        <v>0</v>
      </c>
      <c r="CF49" s="1">
        <v>1</v>
      </c>
      <c r="CG49" s="1">
        <v>0</v>
      </c>
      <c r="CH49" s="1">
        <v>0</v>
      </c>
      <c r="CI49" s="1">
        <v>0</v>
      </c>
      <c r="CJ49" s="1">
        <v>4</v>
      </c>
      <c r="CK49" s="1">
        <v>3</v>
      </c>
      <c r="CL49" s="1">
        <v>2</v>
      </c>
      <c r="CM49" s="1">
        <v>3</v>
      </c>
      <c r="CN49" s="1">
        <v>4</v>
      </c>
      <c r="CO49" s="1">
        <v>4</v>
      </c>
      <c r="CP49" s="1">
        <v>4</v>
      </c>
      <c r="CU49" s="1">
        <v>2</v>
      </c>
    </row>
    <row r="50" spans="1:99" x14ac:dyDescent="0.35">
      <c r="A50" s="1" t="s">
        <v>2519</v>
      </c>
      <c r="B50" s="1">
        <v>181611058</v>
      </c>
      <c r="C50" s="1">
        <v>0</v>
      </c>
      <c r="D50" s="1">
        <v>0</v>
      </c>
      <c r="E50" s="1">
        <v>0</v>
      </c>
      <c r="F50" s="1">
        <v>0</v>
      </c>
      <c r="G50" s="1">
        <v>0</v>
      </c>
      <c r="H50" s="1">
        <v>0</v>
      </c>
      <c r="I50" s="1">
        <v>0</v>
      </c>
      <c r="J50" s="1">
        <v>0</v>
      </c>
      <c r="K50" s="1">
        <v>1</v>
      </c>
      <c r="L50" s="1">
        <v>0</v>
      </c>
      <c r="M50" s="1">
        <v>0</v>
      </c>
      <c r="N50" s="1">
        <v>0</v>
      </c>
      <c r="O50" s="1">
        <v>0</v>
      </c>
      <c r="P50" s="1">
        <v>53</v>
      </c>
      <c r="Q50" s="1">
        <v>7</v>
      </c>
      <c r="R50" s="1">
        <v>5</v>
      </c>
      <c r="S50" s="1">
        <v>1</v>
      </c>
      <c r="T50" s="1">
        <v>1</v>
      </c>
      <c r="U50" s="1">
        <v>3</v>
      </c>
      <c r="V50" s="1">
        <v>4</v>
      </c>
      <c r="W50" s="1">
        <v>2</v>
      </c>
      <c r="X50" s="1">
        <v>3</v>
      </c>
      <c r="Y50" s="1">
        <v>3</v>
      </c>
      <c r="Z50" s="1">
        <v>4</v>
      </c>
      <c r="AA50" s="1">
        <v>3</v>
      </c>
      <c r="AC50" s="1">
        <v>2</v>
      </c>
      <c r="AE50" s="1">
        <v>8</v>
      </c>
      <c r="AF50" s="3">
        <v>3200000</v>
      </c>
      <c r="AG50" s="1">
        <v>13</v>
      </c>
      <c r="AT50" s="1" t="s">
        <v>209</v>
      </c>
      <c r="BP50" s="1">
        <v>3</v>
      </c>
      <c r="BQ50" s="1" t="s">
        <v>2400</v>
      </c>
      <c r="BR50" s="1" t="s">
        <v>2520</v>
      </c>
      <c r="BS50" s="1" t="s">
        <v>2521</v>
      </c>
      <c r="BT50" s="1" t="s">
        <v>79</v>
      </c>
      <c r="BU50" s="1">
        <v>1</v>
      </c>
      <c r="BV50" s="1">
        <v>4</v>
      </c>
      <c r="BW50" s="1">
        <v>0</v>
      </c>
      <c r="BX50" s="1">
        <v>0</v>
      </c>
      <c r="BY50" s="1">
        <v>0</v>
      </c>
      <c r="BZ50" s="1">
        <v>0</v>
      </c>
      <c r="CA50" s="1">
        <v>0</v>
      </c>
      <c r="CB50" s="1">
        <v>0</v>
      </c>
      <c r="CC50" s="1">
        <v>0</v>
      </c>
      <c r="CD50" s="1">
        <v>0</v>
      </c>
      <c r="CE50" s="1">
        <v>0</v>
      </c>
      <c r="CF50" s="1">
        <v>1</v>
      </c>
      <c r="CG50" s="1">
        <v>0</v>
      </c>
      <c r="CH50" s="1">
        <v>0</v>
      </c>
      <c r="CI50" s="1">
        <v>0</v>
      </c>
      <c r="CJ50" s="1">
        <v>3</v>
      </c>
      <c r="CK50" s="1">
        <v>3</v>
      </c>
      <c r="CL50" s="1">
        <v>1</v>
      </c>
      <c r="CM50" s="1">
        <v>1</v>
      </c>
      <c r="CN50" s="1">
        <v>3</v>
      </c>
      <c r="CO50" s="1">
        <v>2</v>
      </c>
      <c r="CP50" s="1">
        <v>4</v>
      </c>
      <c r="CU50" s="1">
        <v>1</v>
      </c>
    </row>
    <row r="51" spans="1:99" x14ac:dyDescent="0.35">
      <c r="A51" s="1" t="s">
        <v>2522</v>
      </c>
      <c r="B51" s="1">
        <v>181611059</v>
      </c>
      <c r="C51" s="1">
        <v>0</v>
      </c>
      <c r="D51" s="1">
        <v>1</v>
      </c>
      <c r="E51" s="1">
        <v>0</v>
      </c>
      <c r="F51" s="1">
        <v>0</v>
      </c>
      <c r="G51" s="1">
        <v>0</v>
      </c>
      <c r="H51" s="1">
        <v>0</v>
      </c>
      <c r="I51" s="1">
        <v>0</v>
      </c>
      <c r="J51" s="1">
        <v>1</v>
      </c>
      <c r="K51" s="1">
        <v>1</v>
      </c>
      <c r="L51" s="1">
        <v>0</v>
      </c>
      <c r="M51" s="1">
        <v>0</v>
      </c>
      <c r="N51" s="1">
        <v>0</v>
      </c>
      <c r="O51" s="1">
        <v>0</v>
      </c>
      <c r="P51" s="1">
        <v>20</v>
      </c>
      <c r="Q51" s="1">
        <v>5</v>
      </c>
      <c r="R51" s="1">
        <v>4</v>
      </c>
      <c r="S51" s="1">
        <v>5</v>
      </c>
      <c r="T51" s="1">
        <v>3</v>
      </c>
      <c r="U51" s="1">
        <v>4</v>
      </c>
      <c r="V51" s="1">
        <v>3</v>
      </c>
      <c r="W51" s="1">
        <v>2</v>
      </c>
      <c r="X51" s="1">
        <v>4</v>
      </c>
      <c r="Y51" s="1">
        <v>3</v>
      </c>
      <c r="Z51" s="1">
        <v>3</v>
      </c>
      <c r="AA51" s="1">
        <v>3</v>
      </c>
      <c r="CU51" s="1">
        <v>3</v>
      </c>
    </row>
    <row r="52" spans="1:99" x14ac:dyDescent="0.35">
      <c r="A52" s="1" t="s">
        <v>2523</v>
      </c>
      <c r="B52" s="1">
        <v>181611060</v>
      </c>
      <c r="C52" s="1">
        <v>1</v>
      </c>
      <c r="D52" s="1">
        <v>1</v>
      </c>
      <c r="E52" s="1">
        <v>0</v>
      </c>
      <c r="F52" s="1">
        <v>0</v>
      </c>
      <c r="G52" s="1">
        <v>0</v>
      </c>
      <c r="H52" s="1">
        <v>0</v>
      </c>
      <c r="I52" s="1">
        <v>1</v>
      </c>
      <c r="J52" s="1">
        <v>0</v>
      </c>
      <c r="K52" s="1">
        <v>1</v>
      </c>
      <c r="L52" s="1">
        <v>0</v>
      </c>
      <c r="M52" s="1">
        <v>0</v>
      </c>
      <c r="N52" s="1">
        <v>0</v>
      </c>
      <c r="O52" s="1">
        <v>0</v>
      </c>
      <c r="P52" s="1">
        <f>-+ 23</f>
        <v>-23</v>
      </c>
      <c r="Q52" s="1">
        <f>-+ 5</f>
        <v>-5</v>
      </c>
      <c r="R52" s="1">
        <v>3</v>
      </c>
      <c r="S52" s="1">
        <v>1</v>
      </c>
      <c r="T52" s="1">
        <v>1</v>
      </c>
      <c r="U52" s="1">
        <v>4</v>
      </c>
      <c r="V52" s="1">
        <v>3</v>
      </c>
      <c r="W52" s="1">
        <v>4</v>
      </c>
      <c r="X52" s="1">
        <v>4</v>
      </c>
      <c r="Y52" s="1">
        <v>4</v>
      </c>
      <c r="Z52" s="1">
        <v>4</v>
      </c>
      <c r="AA52" s="1">
        <v>3</v>
      </c>
      <c r="AC52" s="1">
        <v>2</v>
      </c>
      <c r="AE52" s="1">
        <v>3</v>
      </c>
      <c r="AF52" s="3">
        <v>6000000</v>
      </c>
      <c r="AG52" s="1">
        <v>13</v>
      </c>
      <c r="AT52" s="1" t="s">
        <v>83</v>
      </c>
      <c r="BP52" s="1">
        <v>3</v>
      </c>
      <c r="BQ52" s="1" t="s">
        <v>2524</v>
      </c>
      <c r="BR52" s="1" t="s">
        <v>2525</v>
      </c>
      <c r="BS52" s="1" t="s">
        <v>2526</v>
      </c>
      <c r="BT52" s="1" t="s">
        <v>73</v>
      </c>
      <c r="BU52" s="1">
        <v>1</v>
      </c>
      <c r="BV52" s="1">
        <v>2</v>
      </c>
      <c r="BW52" s="1">
        <v>1</v>
      </c>
      <c r="BX52" s="1">
        <v>0</v>
      </c>
      <c r="BY52" s="1">
        <v>0</v>
      </c>
      <c r="BZ52" s="1">
        <v>0</v>
      </c>
      <c r="CA52" s="1">
        <v>0</v>
      </c>
      <c r="CB52" s="1">
        <v>0</v>
      </c>
      <c r="CC52" s="1">
        <v>0</v>
      </c>
      <c r="CD52" s="1">
        <v>0</v>
      </c>
      <c r="CE52" s="1">
        <v>0</v>
      </c>
      <c r="CF52" s="1">
        <v>0</v>
      </c>
      <c r="CG52" s="1">
        <v>0</v>
      </c>
      <c r="CH52" s="1">
        <v>0</v>
      </c>
      <c r="CI52" s="1">
        <v>0</v>
      </c>
      <c r="CJ52" s="1">
        <v>4</v>
      </c>
      <c r="CK52" s="1">
        <v>4</v>
      </c>
      <c r="CL52" s="1">
        <v>4</v>
      </c>
      <c r="CM52" s="1">
        <v>4</v>
      </c>
      <c r="CN52" s="1">
        <v>4</v>
      </c>
      <c r="CO52" s="1">
        <v>4</v>
      </c>
      <c r="CP52" s="1">
        <v>4</v>
      </c>
      <c r="CU52" s="1">
        <v>1</v>
      </c>
    </row>
    <row r="53" spans="1:99" x14ac:dyDescent="0.35">
      <c r="A53" s="1" t="s">
        <v>2527</v>
      </c>
      <c r="B53" s="1">
        <v>181611061</v>
      </c>
      <c r="C53" s="1">
        <v>0</v>
      </c>
      <c r="D53" s="1">
        <v>1</v>
      </c>
      <c r="E53" s="1">
        <v>0</v>
      </c>
      <c r="F53" s="1">
        <v>0</v>
      </c>
      <c r="G53" s="1">
        <v>1</v>
      </c>
      <c r="H53" s="1">
        <v>0</v>
      </c>
      <c r="I53" s="1">
        <v>0</v>
      </c>
      <c r="J53" s="1">
        <v>0</v>
      </c>
      <c r="K53" s="1">
        <v>1</v>
      </c>
      <c r="L53" s="1">
        <v>0</v>
      </c>
      <c r="M53" s="1">
        <v>1</v>
      </c>
      <c r="N53" s="1">
        <v>0</v>
      </c>
      <c r="O53" s="1">
        <v>0</v>
      </c>
      <c r="P53" s="1">
        <v>6</v>
      </c>
      <c r="Q53" s="1">
        <v>3</v>
      </c>
      <c r="R53" s="1">
        <v>2</v>
      </c>
      <c r="S53" s="1">
        <v>1</v>
      </c>
      <c r="T53" s="1">
        <v>1</v>
      </c>
      <c r="U53" s="1">
        <v>4</v>
      </c>
      <c r="V53" s="1">
        <v>2</v>
      </c>
      <c r="W53" s="1">
        <v>3</v>
      </c>
      <c r="X53" s="1">
        <v>3</v>
      </c>
      <c r="Y53" s="1">
        <v>3</v>
      </c>
      <c r="Z53" s="1">
        <v>2</v>
      </c>
      <c r="AA53" s="1">
        <v>3</v>
      </c>
      <c r="AC53" s="1">
        <v>2</v>
      </c>
      <c r="AE53" s="1">
        <v>9</v>
      </c>
      <c r="AF53" s="3">
        <v>6000000</v>
      </c>
      <c r="BP53" s="1">
        <v>2</v>
      </c>
      <c r="BQ53" s="1" t="s">
        <v>2528</v>
      </c>
      <c r="BR53" s="1" t="s">
        <v>2529</v>
      </c>
      <c r="BS53" s="1" t="s">
        <v>4331</v>
      </c>
      <c r="BT53" s="1" t="s">
        <v>79</v>
      </c>
      <c r="BU53" s="1">
        <v>5</v>
      </c>
      <c r="BV53" s="1">
        <v>2</v>
      </c>
      <c r="BW53" s="1">
        <v>0</v>
      </c>
      <c r="BX53" s="1">
        <v>1</v>
      </c>
      <c r="BY53" s="1">
        <v>0</v>
      </c>
      <c r="BZ53" s="1">
        <v>0</v>
      </c>
      <c r="CA53" s="1">
        <v>0</v>
      </c>
      <c r="CB53" s="1">
        <v>1</v>
      </c>
      <c r="CC53" s="1">
        <v>0</v>
      </c>
      <c r="CD53" s="1">
        <v>0</v>
      </c>
      <c r="CE53" s="1">
        <v>0</v>
      </c>
      <c r="CF53" s="1">
        <v>0</v>
      </c>
      <c r="CG53" s="1">
        <v>0</v>
      </c>
      <c r="CH53" s="1">
        <v>0</v>
      </c>
      <c r="CI53" s="1">
        <v>0</v>
      </c>
      <c r="CJ53" s="1">
        <v>4</v>
      </c>
      <c r="CK53" s="1">
        <v>1</v>
      </c>
      <c r="CL53" s="1">
        <v>1</v>
      </c>
      <c r="CM53" s="1">
        <v>1</v>
      </c>
      <c r="CN53" s="1">
        <v>4</v>
      </c>
      <c r="CO53" s="1">
        <v>3</v>
      </c>
      <c r="CP53" s="1">
        <v>4</v>
      </c>
      <c r="CU53" s="1">
        <v>1</v>
      </c>
    </row>
    <row r="54" spans="1:99" x14ac:dyDescent="0.35">
      <c r="A54" s="1" t="s">
        <v>2530</v>
      </c>
      <c r="B54" s="1">
        <v>181611062</v>
      </c>
      <c r="C54" s="1">
        <v>0</v>
      </c>
      <c r="D54" s="1">
        <v>1</v>
      </c>
      <c r="E54" s="1">
        <v>0</v>
      </c>
      <c r="F54" s="1">
        <v>0</v>
      </c>
      <c r="G54" s="1">
        <v>1</v>
      </c>
      <c r="H54" s="1">
        <v>0</v>
      </c>
      <c r="I54" s="1">
        <v>1</v>
      </c>
      <c r="J54" s="1">
        <v>1</v>
      </c>
      <c r="K54" s="1">
        <v>1</v>
      </c>
      <c r="L54" s="1">
        <v>1</v>
      </c>
      <c r="M54" s="1">
        <v>0</v>
      </c>
      <c r="N54" s="1">
        <v>0</v>
      </c>
      <c r="O54" s="1">
        <v>0</v>
      </c>
      <c r="P54" s="1">
        <v>5</v>
      </c>
      <c r="Q54" s="1">
        <v>3</v>
      </c>
      <c r="R54" s="1">
        <v>3</v>
      </c>
      <c r="S54" s="1">
        <v>1</v>
      </c>
      <c r="T54" s="1">
        <v>3</v>
      </c>
      <c r="U54" s="1">
        <v>3</v>
      </c>
      <c r="V54" s="1">
        <v>3</v>
      </c>
      <c r="W54" s="1">
        <v>2</v>
      </c>
      <c r="X54" s="1">
        <v>4</v>
      </c>
      <c r="Y54" s="1">
        <v>4</v>
      </c>
      <c r="Z54" s="1">
        <v>4</v>
      </c>
      <c r="AA54" s="1">
        <v>3</v>
      </c>
      <c r="AC54" s="1">
        <v>2</v>
      </c>
      <c r="AE54" s="1">
        <v>3</v>
      </c>
      <c r="AF54" s="3">
        <v>3300000</v>
      </c>
      <c r="AG54" s="1">
        <v>13</v>
      </c>
      <c r="AT54" s="1" t="s">
        <v>86</v>
      </c>
      <c r="BP54" s="1">
        <v>3</v>
      </c>
      <c r="BQ54" s="1" t="s">
        <v>2531</v>
      </c>
      <c r="BR54" s="1" t="s">
        <v>2532</v>
      </c>
      <c r="BS54" s="1" t="s">
        <v>2533</v>
      </c>
      <c r="BT54" s="1" t="s">
        <v>79</v>
      </c>
      <c r="BU54" s="1">
        <v>1</v>
      </c>
      <c r="BV54" s="1">
        <v>1</v>
      </c>
      <c r="BW54" s="1">
        <v>0</v>
      </c>
      <c r="BX54" s="1">
        <v>1</v>
      </c>
      <c r="BY54" s="1">
        <v>1</v>
      </c>
      <c r="BZ54" s="1">
        <v>0</v>
      </c>
      <c r="CA54" s="1">
        <v>1</v>
      </c>
      <c r="CB54" s="1">
        <v>0</v>
      </c>
      <c r="CC54" s="1">
        <v>0</v>
      </c>
      <c r="CD54" s="1">
        <v>1</v>
      </c>
      <c r="CE54" s="1">
        <v>0</v>
      </c>
      <c r="CF54" s="1">
        <v>1</v>
      </c>
      <c r="CG54" s="1">
        <v>0</v>
      </c>
      <c r="CH54" s="1">
        <v>0</v>
      </c>
      <c r="CI54" s="1">
        <v>0</v>
      </c>
      <c r="CJ54" s="1">
        <v>4</v>
      </c>
      <c r="CK54" s="1">
        <v>4</v>
      </c>
      <c r="CL54" s="1">
        <v>3</v>
      </c>
      <c r="CM54" s="1">
        <v>4</v>
      </c>
      <c r="CN54" s="1">
        <v>4</v>
      </c>
      <c r="CO54" s="1">
        <v>4</v>
      </c>
      <c r="CP54" s="1">
        <v>4</v>
      </c>
      <c r="CU54" s="1">
        <v>1</v>
      </c>
    </row>
    <row r="55" spans="1:99" x14ac:dyDescent="0.35">
      <c r="A55" s="1" t="s">
        <v>2534</v>
      </c>
      <c r="B55" s="1">
        <v>181611063</v>
      </c>
      <c r="C55" s="1">
        <v>0</v>
      </c>
      <c r="D55" s="1">
        <v>0</v>
      </c>
      <c r="E55" s="1">
        <v>0</v>
      </c>
      <c r="F55" s="1">
        <v>0</v>
      </c>
      <c r="G55" s="1">
        <v>0</v>
      </c>
      <c r="H55" s="1">
        <v>0</v>
      </c>
      <c r="I55" s="1">
        <v>0</v>
      </c>
      <c r="J55" s="1">
        <v>0</v>
      </c>
      <c r="K55" s="1">
        <v>1</v>
      </c>
      <c r="L55" s="1">
        <v>0</v>
      </c>
      <c r="M55" s="1">
        <v>0</v>
      </c>
      <c r="N55" s="1">
        <v>0</v>
      </c>
      <c r="O55" s="1">
        <v>0</v>
      </c>
      <c r="P55" s="1">
        <v>10</v>
      </c>
      <c r="Q55" s="1">
        <v>5</v>
      </c>
      <c r="R55" s="1">
        <v>2</v>
      </c>
      <c r="S55" s="1">
        <v>1</v>
      </c>
      <c r="T55" s="1">
        <v>1</v>
      </c>
      <c r="U55" s="1">
        <v>3</v>
      </c>
      <c r="V55" s="1">
        <v>3</v>
      </c>
      <c r="W55" s="1">
        <v>3</v>
      </c>
      <c r="X55" s="1">
        <v>3</v>
      </c>
      <c r="Y55" s="1">
        <v>3</v>
      </c>
      <c r="Z55" s="1">
        <v>3</v>
      </c>
      <c r="AA55" s="1">
        <v>4</v>
      </c>
      <c r="AC55" s="1">
        <v>2</v>
      </c>
      <c r="AE55" s="1">
        <v>8</v>
      </c>
      <c r="AF55" s="3">
        <v>4300000</v>
      </c>
      <c r="AG55" s="1">
        <v>12</v>
      </c>
      <c r="AS55" s="1" t="s">
        <v>472</v>
      </c>
      <c r="BP55" s="1">
        <v>3</v>
      </c>
      <c r="BQ55" s="1" t="s">
        <v>2535</v>
      </c>
      <c r="BR55" s="1" t="s">
        <v>2510</v>
      </c>
      <c r="BS55" s="1" t="s">
        <v>2511</v>
      </c>
      <c r="BT55" s="1" t="s">
        <v>107</v>
      </c>
      <c r="BU55" s="1">
        <v>1</v>
      </c>
      <c r="BV55" s="1">
        <v>2</v>
      </c>
      <c r="BW55" s="1">
        <v>1</v>
      </c>
      <c r="BX55" s="1">
        <v>0</v>
      </c>
      <c r="BY55" s="1">
        <v>0</v>
      </c>
      <c r="BZ55" s="1">
        <v>0</v>
      </c>
      <c r="CA55" s="1">
        <v>0</v>
      </c>
      <c r="CB55" s="1">
        <v>0</v>
      </c>
      <c r="CC55" s="1">
        <v>0</v>
      </c>
      <c r="CD55" s="1">
        <v>0</v>
      </c>
      <c r="CE55" s="1">
        <v>0</v>
      </c>
      <c r="CF55" s="1">
        <v>0</v>
      </c>
      <c r="CG55" s="1">
        <v>0</v>
      </c>
      <c r="CH55" s="1">
        <v>0</v>
      </c>
      <c r="CI55" s="1">
        <v>0</v>
      </c>
      <c r="CJ55" s="1">
        <v>4</v>
      </c>
      <c r="CK55" s="1">
        <v>4</v>
      </c>
      <c r="CL55" s="1">
        <v>4</v>
      </c>
      <c r="CM55" s="1">
        <v>4</v>
      </c>
      <c r="CN55" s="1">
        <v>4</v>
      </c>
      <c r="CO55" s="1">
        <v>4</v>
      </c>
      <c r="CP55" s="1">
        <v>4</v>
      </c>
      <c r="CU55" s="1">
        <v>1</v>
      </c>
    </row>
    <row r="56" spans="1:99" x14ac:dyDescent="0.35">
      <c r="A56" s="1" t="s">
        <v>2536</v>
      </c>
      <c r="B56" s="1">
        <v>181611064</v>
      </c>
      <c r="C56" s="1">
        <v>1</v>
      </c>
      <c r="D56" s="1">
        <v>1</v>
      </c>
      <c r="E56" s="1">
        <v>0</v>
      </c>
      <c r="F56" s="1">
        <v>0</v>
      </c>
      <c r="G56" s="1">
        <v>0</v>
      </c>
      <c r="H56" s="1">
        <v>1</v>
      </c>
      <c r="I56" s="1">
        <v>0</v>
      </c>
      <c r="J56" s="1">
        <v>1</v>
      </c>
      <c r="K56" s="1">
        <v>1</v>
      </c>
      <c r="L56" s="1">
        <v>0</v>
      </c>
      <c r="M56" s="1">
        <v>1</v>
      </c>
      <c r="N56" s="1">
        <v>0</v>
      </c>
      <c r="O56" s="1">
        <v>0</v>
      </c>
      <c r="P56" s="1">
        <v>81</v>
      </c>
      <c r="Q56" s="1">
        <v>5</v>
      </c>
      <c r="R56" s="1">
        <v>5</v>
      </c>
      <c r="S56" s="1">
        <v>5</v>
      </c>
      <c r="T56" s="1">
        <v>3</v>
      </c>
      <c r="U56" s="1">
        <v>3</v>
      </c>
      <c r="V56" s="1">
        <v>3</v>
      </c>
      <c r="W56" s="1">
        <v>2</v>
      </c>
      <c r="X56" s="1">
        <v>3</v>
      </c>
      <c r="Y56" s="1">
        <v>3</v>
      </c>
      <c r="Z56" s="1">
        <v>4</v>
      </c>
      <c r="AA56" s="1">
        <v>4</v>
      </c>
      <c r="CU56" s="1">
        <v>4</v>
      </c>
    </row>
    <row r="57" spans="1:99" x14ac:dyDescent="0.35">
      <c r="A57" s="1" t="s">
        <v>3777</v>
      </c>
      <c r="B57" s="1">
        <v>171611012</v>
      </c>
    </row>
    <row r="58" spans="1:99" x14ac:dyDescent="0.35">
      <c r="A58" s="1" t="s">
        <v>3778</v>
      </c>
      <c r="B58" s="1">
        <v>171611014</v>
      </c>
    </row>
    <row r="59" spans="1:99" x14ac:dyDescent="0.35">
      <c r="A59" s="1" t="s">
        <v>3779</v>
      </c>
      <c r="B59" s="1">
        <v>181611002</v>
      </c>
    </row>
    <row r="60" spans="1:99" x14ac:dyDescent="0.35">
      <c r="A60" s="1" t="s">
        <v>3780</v>
      </c>
      <c r="B60" s="1">
        <v>181611014</v>
      </c>
    </row>
    <row r="61" spans="1:99" x14ac:dyDescent="0.35">
      <c r="A61" s="1" t="s">
        <v>3781</v>
      </c>
      <c r="B61" s="1">
        <v>181611016</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8D3D97-67B4-41D4-B04D-15678B0B2FC0}">
  <dimension ref="A1:CU28"/>
  <sheetViews>
    <sheetView topLeftCell="T1" zoomScale="55" zoomScaleNormal="55" workbookViewId="0">
      <pane ySplit="1" topLeftCell="A2" activePane="bottomLeft" state="frozen"/>
      <selection pane="bottomLeft" activeCell="U25" sqref="U25"/>
    </sheetView>
  </sheetViews>
  <sheetFormatPr defaultColWidth="8.90625" defaultRowHeight="14.5" x14ac:dyDescent="0.35"/>
  <cols>
    <col min="1" max="1" width="26.7265625" style="1" bestFit="1" customWidth="1"/>
    <col min="2" max="2" width="10" style="1" bestFit="1" customWidth="1"/>
    <col min="3" max="9" width="64.08984375" style="1" bestFit="1" customWidth="1"/>
    <col min="10" max="14" width="65.08984375" style="1" bestFit="1" customWidth="1"/>
    <col min="15" max="15" width="67.54296875" style="1" bestFit="1" customWidth="1"/>
    <col min="16" max="16" width="110" style="1" bestFit="1" customWidth="1"/>
    <col min="17" max="17" width="63.90625" style="1" bestFit="1" customWidth="1"/>
    <col min="18" max="18" width="73" style="1" bestFit="1" customWidth="1"/>
    <col min="19" max="19" width="25" style="1" bestFit="1" customWidth="1"/>
    <col min="20" max="20" width="41.26953125" style="1" bestFit="1" customWidth="1"/>
    <col min="21" max="21" width="67.08984375" style="1" bestFit="1" customWidth="1"/>
    <col min="22" max="22" width="90.453125" style="1" bestFit="1" customWidth="1"/>
    <col min="23" max="23" width="74.90625" style="1" bestFit="1" customWidth="1"/>
    <col min="24" max="24" width="89.36328125" style="1" bestFit="1" customWidth="1"/>
    <col min="25" max="25" width="72.453125" style="1" bestFit="1" customWidth="1"/>
    <col min="26" max="26" width="75.1796875" style="1" bestFit="1" customWidth="1"/>
    <col min="27" max="27" width="79" style="1" bestFit="1" customWidth="1"/>
    <col min="28" max="28" width="43.08984375" style="1" bestFit="1" customWidth="1"/>
    <col min="29" max="29" width="73.1796875" style="1" bestFit="1" customWidth="1"/>
    <col min="30" max="30" width="43.36328125" style="1" bestFit="1" customWidth="1"/>
    <col min="31" max="31" width="50.54296875" style="1" bestFit="1" customWidth="1"/>
    <col min="32" max="32" width="120.26953125" style="1" bestFit="1" customWidth="1"/>
    <col min="33" max="33" width="39.08984375" style="1" bestFit="1" customWidth="1"/>
    <col min="34" max="35" width="45.7265625" style="1" bestFit="1" customWidth="1"/>
    <col min="36" max="37" width="46.1796875" style="1" bestFit="1" customWidth="1"/>
    <col min="38" max="38" width="45.7265625" style="1" bestFit="1" customWidth="1"/>
    <col min="39" max="52" width="46.1796875" style="1" bestFit="1" customWidth="1"/>
    <col min="53" max="55" width="45.7265625" style="1" bestFit="1" customWidth="1"/>
    <col min="56" max="64" width="46.1796875" style="1" bestFit="1" customWidth="1"/>
    <col min="65" max="67" width="45.7265625" style="1" bestFit="1" customWidth="1"/>
    <col min="68" max="68" width="58.90625" style="1" bestFit="1" customWidth="1"/>
    <col min="69" max="69" width="43.26953125" style="1" bestFit="1" customWidth="1"/>
    <col min="70" max="70" width="45.36328125" style="1" bestFit="1" customWidth="1"/>
    <col min="71" max="71" width="45.26953125" style="1" bestFit="1" customWidth="1"/>
    <col min="72" max="72" width="55.453125" style="1" bestFit="1" customWidth="1"/>
    <col min="73" max="73" width="217.453125" style="1" bestFit="1" customWidth="1"/>
    <col min="74" max="74" width="65.08984375" style="1" bestFit="1" customWidth="1"/>
    <col min="75" max="83" width="117.26953125" style="1" bestFit="1" customWidth="1"/>
    <col min="84" max="86" width="118.26953125" style="1" bestFit="1" customWidth="1"/>
    <col min="87" max="87" width="120.7265625" style="1" bestFit="1" customWidth="1"/>
    <col min="88" max="88" width="76.6328125" style="1" bestFit="1" customWidth="1"/>
    <col min="89" max="89" width="100.26953125" style="1" bestFit="1" customWidth="1"/>
    <col min="90" max="90" width="84.36328125" style="1" bestFit="1" customWidth="1"/>
    <col min="91" max="91" width="98.6328125" style="1" bestFit="1" customWidth="1"/>
    <col min="92" max="92" width="81.90625" style="1" bestFit="1" customWidth="1"/>
    <col min="93" max="93" width="84.7265625" style="1" bestFit="1" customWidth="1"/>
    <col min="94" max="94" width="88.54296875" style="1" bestFit="1" customWidth="1"/>
    <col min="95" max="95" width="40.54296875" style="1" bestFit="1" customWidth="1"/>
    <col min="96" max="96" width="53.36328125" style="1" bestFit="1" customWidth="1"/>
    <col min="97" max="97" width="23.90625" style="1" bestFit="1" customWidth="1"/>
    <col min="98" max="98" width="24.7265625" style="1" bestFit="1" customWidth="1"/>
    <col min="99" max="99" width="51.90625" style="1" bestFit="1" customWidth="1"/>
    <col min="100" max="16384" width="8.90625" style="1"/>
  </cols>
  <sheetData>
    <row r="1" spans="1:99" s="6" customFormat="1" x14ac:dyDescent="0.35">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6" t="s">
        <v>15</v>
      </c>
      <c r="Q1" s="6" t="s">
        <v>16</v>
      </c>
      <c r="R1" s="6" t="s">
        <v>17</v>
      </c>
      <c r="S1" s="6" t="s">
        <v>18</v>
      </c>
      <c r="T1" s="6" t="s">
        <v>19</v>
      </c>
      <c r="U1" s="6" t="s">
        <v>20</v>
      </c>
      <c r="V1" s="6" t="s">
        <v>21</v>
      </c>
      <c r="W1" s="6" t="s">
        <v>22</v>
      </c>
      <c r="X1" s="6" t="s">
        <v>23</v>
      </c>
      <c r="Y1" s="6" t="s">
        <v>24</v>
      </c>
      <c r="Z1" s="6" t="s">
        <v>25</v>
      </c>
      <c r="AA1" s="6" t="s">
        <v>26</v>
      </c>
      <c r="AB1" s="6" t="s">
        <v>27</v>
      </c>
      <c r="AC1" s="6" t="s">
        <v>28</v>
      </c>
      <c r="AD1" s="6" t="s">
        <v>29</v>
      </c>
      <c r="AE1" s="6" t="s">
        <v>30</v>
      </c>
      <c r="AF1" s="6" t="s">
        <v>31</v>
      </c>
      <c r="AG1" s="6" t="s">
        <v>32</v>
      </c>
      <c r="AH1" s="6" t="s">
        <v>33</v>
      </c>
      <c r="AI1" s="6" t="s">
        <v>33</v>
      </c>
      <c r="AJ1" s="6" t="s">
        <v>34</v>
      </c>
      <c r="AK1" s="6" t="s">
        <v>34</v>
      </c>
      <c r="AL1" s="6" t="s">
        <v>33</v>
      </c>
      <c r="AM1" s="6" t="s">
        <v>34</v>
      </c>
      <c r="AN1" s="6" t="s">
        <v>34</v>
      </c>
      <c r="AO1" s="6" t="s">
        <v>34</v>
      </c>
      <c r="AP1" s="6" t="s">
        <v>34</v>
      </c>
      <c r="AQ1" s="6" t="s">
        <v>34</v>
      </c>
      <c r="AR1" s="6" t="s">
        <v>34</v>
      </c>
      <c r="AS1" s="6" t="s">
        <v>34</v>
      </c>
      <c r="AT1" s="6" t="s">
        <v>34</v>
      </c>
      <c r="AU1" s="6" t="s">
        <v>34</v>
      </c>
      <c r="AV1" s="6" t="s">
        <v>34</v>
      </c>
      <c r="AW1" s="6" t="s">
        <v>34</v>
      </c>
      <c r="AX1" s="6" t="s">
        <v>34</v>
      </c>
      <c r="AY1" s="6" t="s">
        <v>34</v>
      </c>
      <c r="AZ1" s="6" t="s">
        <v>34</v>
      </c>
      <c r="BA1" s="6" t="s">
        <v>33</v>
      </c>
      <c r="BB1" s="6" t="s">
        <v>33</v>
      </c>
      <c r="BC1" s="6" t="s">
        <v>33</v>
      </c>
      <c r="BD1" s="6" t="s">
        <v>34</v>
      </c>
      <c r="BE1" s="6" t="s">
        <v>34</v>
      </c>
      <c r="BF1" s="6" t="s">
        <v>34</v>
      </c>
      <c r="BG1" s="6" t="s">
        <v>34</v>
      </c>
      <c r="BH1" s="6" t="s">
        <v>34</v>
      </c>
      <c r="BI1" s="6" t="s">
        <v>34</v>
      </c>
      <c r="BJ1" s="6" t="s">
        <v>34</v>
      </c>
      <c r="BK1" s="6" t="s">
        <v>34</v>
      </c>
      <c r="BL1" s="6" t="s">
        <v>34</v>
      </c>
      <c r="BM1" s="6" t="s">
        <v>33</v>
      </c>
      <c r="BN1" s="6" t="s">
        <v>33</v>
      </c>
      <c r="BO1" s="6" t="s">
        <v>33</v>
      </c>
      <c r="BP1" s="6" t="s">
        <v>35</v>
      </c>
      <c r="BQ1" s="6" t="s">
        <v>36</v>
      </c>
      <c r="BR1" s="6" t="s">
        <v>37</v>
      </c>
      <c r="BS1" s="6" t="s">
        <v>38</v>
      </c>
      <c r="BT1" s="6" t="s">
        <v>39</v>
      </c>
      <c r="BU1" s="6" t="s">
        <v>40</v>
      </c>
      <c r="BV1" s="6" t="s">
        <v>41</v>
      </c>
      <c r="BW1" s="6" t="s">
        <v>42</v>
      </c>
      <c r="BX1" s="6" t="s">
        <v>43</v>
      </c>
      <c r="BY1" s="6" t="s">
        <v>44</v>
      </c>
      <c r="BZ1" s="6" t="s">
        <v>45</v>
      </c>
      <c r="CA1" s="6" t="s">
        <v>46</v>
      </c>
      <c r="CB1" s="6" t="s">
        <v>47</v>
      </c>
      <c r="CC1" s="6" t="s">
        <v>48</v>
      </c>
      <c r="CD1" s="6" t="s">
        <v>49</v>
      </c>
      <c r="CE1" s="6" t="s">
        <v>50</v>
      </c>
      <c r="CF1" s="6" t="s">
        <v>51</v>
      </c>
      <c r="CG1" s="6" t="s">
        <v>52</v>
      </c>
      <c r="CH1" s="6" t="s">
        <v>53</v>
      </c>
      <c r="CI1" s="6" t="s">
        <v>54</v>
      </c>
      <c r="CJ1" s="6" t="s">
        <v>55</v>
      </c>
      <c r="CK1" s="6" t="s">
        <v>56</v>
      </c>
      <c r="CL1" s="6" t="s">
        <v>57</v>
      </c>
      <c r="CM1" s="6" t="s">
        <v>58</v>
      </c>
      <c r="CN1" s="6" t="s">
        <v>59</v>
      </c>
      <c r="CO1" s="6" t="s">
        <v>60</v>
      </c>
      <c r="CP1" s="6" t="s">
        <v>61</v>
      </c>
      <c r="CQ1" s="6" t="s">
        <v>62</v>
      </c>
      <c r="CR1" s="6" t="s">
        <v>63</v>
      </c>
      <c r="CS1" s="6" t="s">
        <v>64</v>
      </c>
      <c r="CT1" s="6" t="s">
        <v>65</v>
      </c>
      <c r="CU1" s="6" t="s">
        <v>66</v>
      </c>
    </row>
    <row r="2" spans="1:99" x14ac:dyDescent="0.35">
      <c r="A2" s="1" t="s">
        <v>2537</v>
      </c>
      <c r="B2" s="1">
        <v>171234001</v>
      </c>
      <c r="C2" s="1">
        <v>0</v>
      </c>
      <c r="D2" s="1">
        <v>1</v>
      </c>
      <c r="E2" s="1">
        <v>0</v>
      </c>
      <c r="F2" s="1">
        <v>0</v>
      </c>
      <c r="G2" s="1">
        <v>0</v>
      </c>
      <c r="H2" s="1">
        <v>0</v>
      </c>
      <c r="I2" s="1">
        <v>0</v>
      </c>
      <c r="J2" s="1">
        <v>0</v>
      </c>
      <c r="K2" s="1">
        <v>1</v>
      </c>
      <c r="L2" s="1">
        <v>0</v>
      </c>
      <c r="M2" s="1">
        <v>0</v>
      </c>
      <c r="N2" s="1">
        <v>0</v>
      </c>
      <c r="O2" s="1">
        <v>0</v>
      </c>
      <c r="P2" s="1">
        <v>18</v>
      </c>
      <c r="Q2" s="1">
        <v>1</v>
      </c>
      <c r="R2" s="1">
        <v>1</v>
      </c>
      <c r="S2" s="1">
        <v>5</v>
      </c>
      <c r="T2" s="1">
        <v>1</v>
      </c>
      <c r="U2" s="1">
        <v>3</v>
      </c>
      <c r="V2" s="1">
        <v>3</v>
      </c>
      <c r="W2" s="1">
        <v>2</v>
      </c>
      <c r="X2" s="1">
        <v>3</v>
      </c>
      <c r="Y2" s="1">
        <v>3</v>
      </c>
      <c r="Z2" s="1">
        <v>3</v>
      </c>
      <c r="AA2" s="1">
        <v>4</v>
      </c>
      <c r="CU2" s="1">
        <v>1</v>
      </c>
    </row>
    <row r="3" spans="1:99" x14ac:dyDescent="0.35">
      <c r="A3" s="1" t="s">
        <v>2538</v>
      </c>
      <c r="B3" s="1">
        <v>171234002</v>
      </c>
      <c r="C3" s="1">
        <v>0</v>
      </c>
      <c r="D3" s="1">
        <v>1</v>
      </c>
      <c r="E3" s="1">
        <v>0</v>
      </c>
      <c r="F3" s="1">
        <v>0</v>
      </c>
      <c r="G3" s="1">
        <v>0</v>
      </c>
      <c r="H3" s="1">
        <v>0</v>
      </c>
      <c r="I3" s="1">
        <v>0</v>
      </c>
      <c r="J3" s="1">
        <v>0</v>
      </c>
      <c r="K3" s="1">
        <v>1</v>
      </c>
      <c r="L3" s="1">
        <v>0</v>
      </c>
      <c r="M3" s="1">
        <v>0</v>
      </c>
      <c r="N3" s="1">
        <v>0</v>
      </c>
      <c r="O3" s="1">
        <v>0</v>
      </c>
      <c r="P3" s="1">
        <v>2</v>
      </c>
      <c r="Q3" s="1">
        <v>2</v>
      </c>
      <c r="R3" s="1">
        <v>2</v>
      </c>
      <c r="S3" s="1">
        <v>1</v>
      </c>
      <c r="T3" s="1">
        <v>1</v>
      </c>
      <c r="U3" s="1">
        <v>4</v>
      </c>
      <c r="V3" s="1">
        <v>3</v>
      </c>
      <c r="W3" s="1">
        <v>4</v>
      </c>
      <c r="X3" s="1">
        <v>3</v>
      </c>
      <c r="Y3" s="1">
        <v>4</v>
      </c>
      <c r="Z3" s="1">
        <v>4</v>
      </c>
      <c r="AA3" s="1">
        <v>4</v>
      </c>
      <c r="AC3" s="1">
        <v>1</v>
      </c>
      <c r="AD3" s="1">
        <v>3</v>
      </c>
      <c r="AF3" s="3">
        <v>5500000</v>
      </c>
      <c r="AG3" s="1">
        <v>11</v>
      </c>
      <c r="AR3" s="1" t="s">
        <v>130</v>
      </c>
      <c r="BP3" s="1">
        <v>3</v>
      </c>
      <c r="BQ3" s="1" t="s">
        <v>2539</v>
      </c>
      <c r="BR3" s="1" t="s">
        <v>2540</v>
      </c>
      <c r="BS3" s="1" t="s">
        <v>2541</v>
      </c>
      <c r="BT3" s="1" t="s">
        <v>79</v>
      </c>
      <c r="BU3" s="1">
        <v>1</v>
      </c>
      <c r="BV3" s="1">
        <v>2</v>
      </c>
      <c r="BW3" s="1">
        <v>1</v>
      </c>
      <c r="BX3" s="1">
        <v>0</v>
      </c>
      <c r="BY3" s="1">
        <v>0</v>
      </c>
      <c r="BZ3" s="1">
        <v>0</v>
      </c>
      <c r="CA3" s="1">
        <v>0</v>
      </c>
      <c r="CB3" s="1">
        <v>0</v>
      </c>
      <c r="CC3" s="1">
        <v>0</v>
      </c>
      <c r="CD3" s="1">
        <v>0</v>
      </c>
      <c r="CE3" s="1">
        <v>0</v>
      </c>
      <c r="CF3" s="1">
        <v>0</v>
      </c>
      <c r="CG3" s="1">
        <v>0</v>
      </c>
      <c r="CH3" s="1">
        <v>0</v>
      </c>
      <c r="CI3" s="1">
        <v>0</v>
      </c>
      <c r="CJ3" s="1">
        <v>4</v>
      </c>
      <c r="CK3" s="1">
        <v>4</v>
      </c>
      <c r="CL3" s="1">
        <v>4</v>
      </c>
      <c r="CM3" s="1">
        <v>4</v>
      </c>
      <c r="CN3" s="1">
        <v>4</v>
      </c>
      <c r="CO3" s="1">
        <v>4</v>
      </c>
      <c r="CP3" s="1">
        <v>4</v>
      </c>
      <c r="CU3" s="1">
        <v>1</v>
      </c>
    </row>
    <row r="4" spans="1:99" x14ac:dyDescent="0.35">
      <c r="A4" s="1" t="s">
        <v>2542</v>
      </c>
      <c r="B4" s="1">
        <v>171234004</v>
      </c>
      <c r="C4" s="1">
        <v>1</v>
      </c>
      <c r="D4" s="1">
        <v>1</v>
      </c>
      <c r="E4" s="1">
        <v>0</v>
      </c>
      <c r="F4" s="1">
        <v>0</v>
      </c>
      <c r="G4" s="1">
        <v>0</v>
      </c>
      <c r="H4" s="1">
        <v>1</v>
      </c>
      <c r="I4" s="1">
        <v>1</v>
      </c>
      <c r="J4" s="1">
        <v>1</v>
      </c>
      <c r="K4" s="1">
        <v>1</v>
      </c>
      <c r="L4" s="1">
        <v>0</v>
      </c>
      <c r="M4" s="1">
        <v>0</v>
      </c>
      <c r="N4" s="1">
        <v>0</v>
      </c>
      <c r="O4" s="1">
        <v>0</v>
      </c>
      <c r="P4" s="1">
        <v>30</v>
      </c>
      <c r="Q4" s="1">
        <v>10</v>
      </c>
      <c r="R4" s="1">
        <v>4</v>
      </c>
      <c r="S4" s="1">
        <v>1</v>
      </c>
      <c r="T4" s="1">
        <v>1</v>
      </c>
      <c r="U4" s="1">
        <v>4</v>
      </c>
      <c r="V4" s="1">
        <v>3</v>
      </c>
      <c r="W4" s="1">
        <v>3</v>
      </c>
      <c r="X4" s="1">
        <v>4</v>
      </c>
      <c r="Y4" s="1">
        <v>4</v>
      </c>
      <c r="Z4" s="1">
        <v>4</v>
      </c>
      <c r="AA4" s="1">
        <v>4</v>
      </c>
      <c r="AC4" s="1">
        <v>1</v>
      </c>
      <c r="AD4" s="1">
        <v>2</v>
      </c>
      <c r="AF4" s="3">
        <v>5000000</v>
      </c>
      <c r="AG4" s="1">
        <v>14</v>
      </c>
      <c r="AU4" s="1" t="s">
        <v>2543</v>
      </c>
      <c r="BP4" s="1">
        <v>3</v>
      </c>
      <c r="BQ4" s="1" t="s">
        <v>2544</v>
      </c>
      <c r="BR4" s="1" t="s">
        <v>2545</v>
      </c>
      <c r="BS4" s="1" t="s">
        <v>2546</v>
      </c>
      <c r="BT4" s="1" t="s">
        <v>79</v>
      </c>
      <c r="BU4" s="1">
        <v>1</v>
      </c>
      <c r="BV4" s="1">
        <v>2</v>
      </c>
      <c r="BW4" s="1">
        <v>1</v>
      </c>
      <c r="BX4" s="1">
        <v>0</v>
      </c>
      <c r="BY4" s="1">
        <v>0</v>
      </c>
      <c r="BZ4" s="1">
        <v>0</v>
      </c>
      <c r="CA4" s="1">
        <v>0</v>
      </c>
      <c r="CB4" s="1">
        <v>0</v>
      </c>
      <c r="CC4" s="1">
        <v>0</v>
      </c>
      <c r="CD4" s="1">
        <v>0</v>
      </c>
      <c r="CE4" s="1">
        <v>0</v>
      </c>
      <c r="CF4" s="1">
        <v>0</v>
      </c>
      <c r="CG4" s="1">
        <v>0</v>
      </c>
      <c r="CH4" s="1">
        <v>0</v>
      </c>
      <c r="CI4" s="1">
        <v>0</v>
      </c>
      <c r="CJ4" s="1">
        <v>4</v>
      </c>
      <c r="CK4" s="1">
        <v>4</v>
      </c>
      <c r="CL4" s="1">
        <v>4</v>
      </c>
      <c r="CM4" s="1">
        <v>3</v>
      </c>
      <c r="CN4" s="1">
        <v>4</v>
      </c>
      <c r="CO4" s="1">
        <v>4</v>
      </c>
      <c r="CP4" s="1">
        <v>3</v>
      </c>
      <c r="CU4" s="1">
        <v>1</v>
      </c>
    </row>
    <row r="5" spans="1:99" x14ac:dyDescent="0.35">
      <c r="A5" s="1" t="s">
        <v>2547</v>
      </c>
      <c r="B5" s="1">
        <v>171234005</v>
      </c>
      <c r="C5" s="1">
        <v>0</v>
      </c>
      <c r="D5" s="1">
        <v>1</v>
      </c>
      <c r="E5" s="1">
        <v>0</v>
      </c>
      <c r="F5" s="1">
        <v>0</v>
      </c>
      <c r="G5" s="1">
        <v>1</v>
      </c>
      <c r="H5" s="1">
        <v>1</v>
      </c>
      <c r="I5" s="1">
        <v>0</v>
      </c>
      <c r="J5" s="1">
        <v>0</v>
      </c>
      <c r="K5" s="1">
        <v>0</v>
      </c>
      <c r="L5" s="1">
        <v>0</v>
      </c>
      <c r="M5" s="1">
        <v>0</v>
      </c>
      <c r="N5" s="1">
        <v>0</v>
      </c>
      <c r="O5" s="1">
        <v>0</v>
      </c>
      <c r="P5" s="1">
        <v>5</v>
      </c>
      <c r="Q5" s="1">
        <v>3</v>
      </c>
      <c r="R5" s="1">
        <v>3</v>
      </c>
      <c r="S5" s="1">
        <v>1</v>
      </c>
      <c r="T5" s="1">
        <v>1</v>
      </c>
      <c r="U5" s="1">
        <v>4</v>
      </c>
      <c r="V5" s="1">
        <v>4</v>
      </c>
      <c r="W5" s="1">
        <v>4</v>
      </c>
      <c r="X5" s="1">
        <v>4</v>
      </c>
      <c r="Y5" s="1">
        <v>3</v>
      </c>
      <c r="Z5" s="1">
        <v>4</v>
      </c>
      <c r="AA5" s="1">
        <v>4</v>
      </c>
      <c r="AC5" s="1">
        <v>2</v>
      </c>
      <c r="AE5" s="1">
        <v>8</v>
      </c>
      <c r="AF5" s="3">
        <v>5000000</v>
      </c>
      <c r="AG5" s="1">
        <v>5</v>
      </c>
      <c r="AL5" s="1" t="s">
        <v>2548</v>
      </c>
      <c r="BP5" s="1">
        <v>3</v>
      </c>
      <c r="BQ5" s="1" t="s">
        <v>2549</v>
      </c>
      <c r="BR5" s="1" t="s">
        <v>2550</v>
      </c>
      <c r="BS5" s="1" t="s">
        <v>2551</v>
      </c>
      <c r="BT5" s="1" t="s">
        <v>73</v>
      </c>
      <c r="BU5" s="1">
        <v>1</v>
      </c>
      <c r="BV5" s="1">
        <v>2</v>
      </c>
      <c r="BW5" s="1">
        <v>1</v>
      </c>
      <c r="BX5" s="1">
        <v>0</v>
      </c>
      <c r="BY5" s="1">
        <v>0</v>
      </c>
      <c r="BZ5" s="1">
        <v>0</v>
      </c>
      <c r="CA5" s="1">
        <v>0</v>
      </c>
      <c r="CB5" s="1">
        <v>0</v>
      </c>
      <c r="CC5" s="1">
        <v>0</v>
      </c>
      <c r="CD5" s="1">
        <v>0</v>
      </c>
      <c r="CE5" s="1">
        <v>0</v>
      </c>
      <c r="CF5" s="1">
        <v>0</v>
      </c>
      <c r="CG5" s="1">
        <v>0</v>
      </c>
      <c r="CH5" s="1">
        <v>0</v>
      </c>
      <c r="CI5" s="1">
        <v>0</v>
      </c>
      <c r="CJ5" s="1">
        <v>4</v>
      </c>
      <c r="CK5" s="1">
        <v>4</v>
      </c>
      <c r="CL5" s="1">
        <v>4</v>
      </c>
      <c r="CM5" s="1">
        <v>4</v>
      </c>
      <c r="CN5" s="1">
        <v>4</v>
      </c>
      <c r="CO5" s="1">
        <v>4</v>
      </c>
      <c r="CP5" s="1">
        <v>4</v>
      </c>
      <c r="CU5" s="1">
        <v>1</v>
      </c>
    </row>
    <row r="6" spans="1:99" x14ac:dyDescent="0.35">
      <c r="A6" s="1" t="s">
        <v>2552</v>
      </c>
      <c r="B6" s="1">
        <v>171234006</v>
      </c>
      <c r="C6" s="1">
        <v>0</v>
      </c>
      <c r="D6" s="1">
        <v>1</v>
      </c>
      <c r="E6" s="1">
        <v>0</v>
      </c>
      <c r="F6" s="1">
        <v>0</v>
      </c>
      <c r="G6" s="1">
        <v>0</v>
      </c>
      <c r="H6" s="1">
        <v>1</v>
      </c>
      <c r="I6" s="1">
        <v>0</v>
      </c>
      <c r="J6" s="1">
        <v>1</v>
      </c>
      <c r="K6" s="1">
        <v>1</v>
      </c>
      <c r="L6" s="1">
        <v>0</v>
      </c>
      <c r="M6" s="1">
        <v>0</v>
      </c>
      <c r="N6" s="1">
        <v>0</v>
      </c>
      <c r="O6" s="1">
        <v>0</v>
      </c>
      <c r="P6" s="1">
        <v>81</v>
      </c>
      <c r="Q6" s="1">
        <v>14</v>
      </c>
      <c r="R6" s="1">
        <v>8</v>
      </c>
      <c r="S6" s="1">
        <v>5</v>
      </c>
      <c r="T6" s="1">
        <v>1</v>
      </c>
      <c r="U6" s="1">
        <v>3</v>
      </c>
      <c r="V6" s="1">
        <v>2</v>
      </c>
      <c r="W6" s="1">
        <v>3</v>
      </c>
      <c r="X6" s="1">
        <v>4</v>
      </c>
      <c r="Y6" s="1">
        <v>4</v>
      </c>
      <c r="Z6" s="1">
        <v>4</v>
      </c>
      <c r="AA6" s="1">
        <v>3</v>
      </c>
      <c r="CU6" s="1">
        <v>4</v>
      </c>
    </row>
    <row r="7" spans="1:99" x14ac:dyDescent="0.35">
      <c r="A7" s="1" t="s">
        <v>2553</v>
      </c>
      <c r="B7" s="1">
        <v>171234007</v>
      </c>
      <c r="C7" s="1">
        <v>0</v>
      </c>
      <c r="D7" s="1">
        <v>1</v>
      </c>
      <c r="E7" s="1">
        <v>0</v>
      </c>
      <c r="F7" s="1">
        <v>0</v>
      </c>
      <c r="G7" s="1">
        <v>0</v>
      </c>
      <c r="H7" s="1">
        <v>0</v>
      </c>
      <c r="I7" s="1">
        <v>0</v>
      </c>
      <c r="J7" s="1">
        <v>1</v>
      </c>
      <c r="K7" s="1">
        <v>0</v>
      </c>
      <c r="L7" s="1">
        <v>0</v>
      </c>
      <c r="M7" s="1">
        <v>0</v>
      </c>
      <c r="N7" s="1">
        <v>0</v>
      </c>
      <c r="O7" s="1">
        <v>0</v>
      </c>
      <c r="P7" s="1">
        <v>4</v>
      </c>
      <c r="Q7" s="1">
        <v>3</v>
      </c>
      <c r="R7" s="1">
        <v>3</v>
      </c>
    </row>
    <row r="8" spans="1:99" x14ac:dyDescent="0.35">
      <c r="A8" s="1" t="s">
        <v>2554</v>
      </c>
      <c r="B8" s="1">
        <v>171234008</v>
      </c>
      <c r="C8" s="1">
        <v>0</v>
      </c>
      <c r="D8" s="1">
        <v>1</v>
      </c>
      <c r="E8" s="1">
        <v>0</v>
      </c>
      <c r="F8" s="1">
        <v>0</v>
      </c>
      <c r="G8" s="1">
        <v>0</v>
      </c>
      <c r="H8" s="1">
        <v>0</v>
      </c>
      <c r="I8" s="1">
        <v>0</v>
      </c>
      <c r="J8" s="1">
        <v>1</v>
      </c>
      <c r="K8" s="1">
        <v>1</v>
      </c>
      <c r="L8" s="1">
        <v>0</v>
      </c>
      <c r="M8" s="1">
        <v>0</v>
      </c>
      <c r="N8" s="1">
        <v>0</v>
      </c>
      <c r="O8" s="1">
        <v>0</v>
      </c>
      <c r="P8" s="1">
        <v>1</v>
      </c>
      <c r="Q8" s="1">
        <v>15</v>
      </c>
      <c r="R8" s="1">
        <v>8</v>
      </c>
      <c r="S8" s="1">
        <v>1</v>
      </c>
      <c r="T8" s="1">
        <v>1</v>
      </c>
      <c r="U8" s="1">
        <v>3</v>
      </c>
      <c r="V8" s="1">
        <v>3</v>
      </c>
      <c r="W8" s="1">
        <v>2</v>
      </c>
      <c r="X8" s="1">
        <v>3</v>
      </c>
      <c r="Y8" s="1">
        <v>3</v>
      </c>
      <c r="Z8" s="1">
        <v>4</v>
      </c>
      <c r="AA8" s="1">
        <v>4</v>
      </c>
      <c r="AC8" s="1">
        <v>1</v>
      </c>
      <c r="AD8" s="1">
        <v>1</v>
      </c>
      <c r="AF8" s="3">
        <v>6000000</v>
      </c>
      <c r="AG8" s="1">
        <v>12</v>
      </c>
      <c r="AS8" s="1" t="s">
        <v>244</v>
      </c>
      <c r="BP8" s="1">
        <v>3</v>
      </c>
      <c r="BQ8" s="1" t="s">
        <v>2555</v>
      </c>
      <c r="BR8" s="1" t="s">
        <v>2556</v>
      </c>
      <c r="BS8" s="1" t="s">
        <v>2557</v>
      </c>
      <c r="BT8" s="1" t="s">
        <v>107</v>
      </c>
      <c r="BU8" s="1">
        <v>3</v>
      </c>
      <c r="BV8" s="1">
        <v>2</v>
      </c>
      <c r="BW8" s="1">
        <v>0</v>
      </c>
      <c r="BX8" s="1">
        <v>1</v>
      </c>
      <c r="BY8" s="1">
        <v>0</v>
      </c>
      <c r="BZ8" s="1">
        <v>0</v>
      </c>
      <c r="CA8" s="1">
        <v>0</v>
      </c>
      <c r="CB8" s="1">
        <v>0</v>
      </c>
      <c r="CC8" s="1">
        <v>0</v>
      </c>
      <c r="CD8" s="1">
        <v>0</v>
      </c>
      <c r="CE8" s="1">
        <v>0</v>
      </c>
      <c r="CF8" s="1">
        <v>0</v>
      </c>
      <c r="CG8" s="1">
        <v>0</v>
      </c>
      <c r="CH8" s="1">
        <v>0</v>
      </c>
      <c r="CI8" s="1">
        <v>0</v>
      </c>
      <c r="CJ8" s="1">
        <v>3</v>
      </c>
      <c r="CK8" s="1">
        <v>4</v>
      </c>
      <c r="CL8" s="1">
        <v>4</v>
      </c>
      <c r="CM8" s="1">
        <v>4</v>
      </c>
      <c r="CN8" s="1">
        <v>3</v>
      </c>
      <c r="CO8" s="1">
        <v>3</v>
      </c>
      <c r="CP8" s="1">
        <v>3</v>
      </c>
      <c r="CU8" s="1">
        <v>2</v>
      </c>
    </row>
    <row r="9" spans="1:99" x14ac:dyDescent="0.35">
      <c r="A9" s="1" t="s">
        <v>2558</v>
      </c>
      <c r="B9" s="1">
        <v>171234009</v>
      </c>
      <c r="C9" s="1">
        <v>1</v>
      </c>
      <c r="D9" s="1">
        <v>1</v>
      </c>
      <c r="E9" s="1">
        <v>0</v>
      </c>
      <c r="F9" s="1">
        <v>0</v>
      </c>
      <c r="G9" s="1">
        <v>0</v>
      </c>
      <c r="H9" s="1">
        <v>1</v>
      </c>
      <c r="I9" s="1">
        <v>0</v>
      </c>
      <c r="J9" s="1">
        <v>0</v>
      </c>
      <c r="K9" s="1">
        <v>1</v>
      </c>
      <c r="L9" s="1">
        <v>0</v>
      </c>
      <c r="M9" s="1">
        <v>0</v>
      </c>
      <c r="N9" s="1">
        <v>0</v>
      </c>
      <c r="O9" s="1">
        <v>0</v>
      </c>
      <c r="P9" s="1">
        <v>10</v>
      </c>
      <c r="Q9" s="1">
        <v>3</v>
      </c>
      <c r="R9" s="1">
        <v>3</v>
      </c>
      <c r="S9" s="1">
        <v>5</v>
      </c>
      <c r="T9" s="1">
        <v>1</v>
      </c>
      <c r="U9" s="1">
        <v>4</v>
      </c>
      <c r="V9" s="1">
        <v>4</v>
      </c>
      <c r="W9" s="1">
        <v>3</v>
      </c>
      <c r="X9" s="1">
        <v>4</v>
      </c>
      <c r="Y9" s="1">
        <v>4</v>
      </c>
      <c r="Z9" s="1">
        <v>4</v>
      </c>
      <c r="AA9" s="1">
        <v>4</v>
      </c>
      <c r="AT9" s="1" t="s">
        <v>93</v>
      </c>
      <c r="CU9" s="1">
        <v>4</v>
      </c>
    </row>
    <row r="10" spans="1:99" x14ac:dyDescent="0.35">
      <c r="A10" s="1" t="s">
        <v>2559</v>
      </c>
      <c r="B10" s="1">
        <v>171234010</v>
      </c>
      <c r="C10" s="1">
        <v>0</v>
      </c>
      <c r="D10" s="1">
        <v>1</v>
      </c>
      <c r="E10" s="1">
        <v>0</v>
      </c>
      <c r="F10" s="1">
        <v>0</v>
      </c>
      <c r="G10" s="1">
        <v>0</v>
      </c>
      <c r="H10" s="1">
        <v>0</v>
      </c>
      <c r="I10" s="1">
        <v>0</v>
      </c>
      <c r="J10" s="1">
        <v>1</v>
      </c>
      <c r="K10" s="1">
        <v>1</v>
      </c>
      <c r="L10" s="1">
        <v>0</v>
      </c>
      <c r="M10" s="1">
        <v>0</v>
      </c>
      <c r="N10" s="1">
        <v>0</v>
      </c>
      <c r="O10" s="1">
        <v>0</v>
      </c>
      <c r="P10" s="1">
        <v>10</v>
      </c>
      <c r="Q10" s="1">
        <v>7</v>
      </c>
      <c r="R10" s="1">
        <v>3</v>
      </c>
      <c r="S10" s="1">
        <v>1</v>
      </c>
      <c r="T10" s="1">
        <v>1</v>
      </c>
      <c r="U10" s="1">
        <v>4</v>
      </c>
      <c r="V10" s="1">
        <v>3</v>
      </c>
      <c r="W10" s="1">
        <v>3</v>
      </c>
      <c r="X10" s="1">
        <v>4</v>
      </c>
      <c r="Y10" s="1">
        <v>4</v>
      </c>
      <c r="Z10" s="1">
        <v>4</v>
      </c>
      <c r="AA10" s="1">
        <v>4</v>
      </c>
      <c r="AC10" s="1">
        <v>1</v>
      </c>
      <c r="AD10" s="1">
        <v>1</v>
      </c>
      <c r="AF10" s="3">
        <v>7200000</v>
      </c>
      <c r="AG10" s="1">
        <v>12</v>
      </c>
      <c r="AS10" s="1" t="s">
        <v>472</v>
      </c>
      <c r="BP10" s="1">
        <v>3</v>
      </c>
      <c r="BQ10" s="1" t="s">
        <v>2560</v>
      </c>
      <c r="BR10" s="1" t="s">
        <v>2561</v>
      </c>
      <c r="BS10" s="1" t="s">
        <v>2562</v>
      </c>
      <c r="BT10" s="1" t="s">
        <v>79</v>
      </c>
      <c r="BU10" s="1">
        <v>2</v>
      </c>
      <c r="BV10" s="1">
        <v>2</v>
      </c>
      <c r="BW10" s="1">
        <v>1</v>
      </c>
      <c r="BX10" s="1">
        <v>0</v>
      </c>
      <c r="BY10" s="1">
        <v>0</v>
      </c>
      <c r="BZ10" s="1">
        <v>0</v>
      </c>
      <c r="CA10" s="1">
        <v>0</v>
      </c>
      <c r="CB10" s="1">
        <v>0</v>
      </c>
      <c r="CC10" s="1">
        <v>0</v>
      </c>
      <c r="CD10" s="1">
        <v>0</v>
      </c>
      <c r="CE10" s="1">
        <v>0</v>
      </c>
      <c r="CF10" s="1">
        <v>0</v>
      </c>
      <c r="CG10" s="1">
        <v>0</v>
      </c>
      <c r="CH10" s="1">
        <v>0</v>
      </c>
      <c r="CI10" s="1">
        <v>0</v>
      </c>
      <c r="CJ10" s="1">
        <v>4</v>
      </c>
      <c r="CK10" s="1">
        <v>4</v>
      </c>
      <c r="CL10" s="1">
        <v>3</v>
      </c>
      <c r="CM10" s="1">
        <v>4</v>
      </c>
      <c r="CN10" s="1">
        <v>4</v>
      </c>
      <c r="CO10" s="1">
        <v>4</v>
      </c>
      <c r="CP10" s="1">
        <v>4</v>
      </c>
      <c r="CU10" s="1">
        <v>1</v>
      </c>
    </row>
    <row r="11" spans="1:99" x14ac:dyDescent="0.35">
      <c r="A11" s="1" t="s">
        <v>2563</v>
      </c>
      <c r="B11" s="1">
        <v>171234012</v>
      </c>
      <c r="C11" s="1">
        <v>0</v>
      </c>
      <c r="D11" s="1">
        <v>1</v>
      </c>
      <c r="E11" s="1">
        <v>0</v>
      </c>
      <c r="F11" s="1">
        <v>0</v>
      </c>
      <c r="G11" s="1">
        <v>0</v>
      </c>
      <c r="H11" s="1">
        <v>1</v>
      </c>
      <c r="I11" s="1">
        <v>1</v>
      </c>
      <c r="J11" s="1">
        <v>0</v>
      </c>
      <c r="K11" s="1">
        <v>0</v>
      </c>
      <c r="L11" s="1">
        <v>0</v>
      </c>
      <c r="M11" s="1">
        <v>0</v>
      </c>
      <c r="N11" s="1">
        <v>0</v>
      </c>
      <c r="O11" s="1">
        <v>0</v>
      </c>
      <c r="P11" s="1">
        <v>20</v>
      </c>
      <c r="Q11" s="1">
        <v>7</v>
      </c>
      <c r="R11" s="1">
        <v>3</v>
      </c>
      <c r="S11" s="1">
        <v>5</v>
      </c>
      <c r="T11" s="1">
        <v>3</v>
      </c>
      <c r="U11" s="1">
        <v>4</v>
      </c>
      <c r="V11" s="1">
        <v>4</v>
      </c>
      <c r="W11" s="1">
        <v>4</v>
      </c>
      <c r="X11" s="1">
        <v>4</v>
      </c>
      <c r="Y11" s="1">
        <v>4</v>
      </c>
      <c r="Z11" s="1">
        <v>4</v>
      </c>
      <c r="AA11" s="1">
        <v>4</v>
      </c>
      <c r="CU11" s="1">
        <v>4</v>
      </c>
    </row>
    <row r="12" spans="1:99" x14ac:dyDescent="0.35">
      <c r="A12" s="1" t="s">
        <v>2564</v>
      </c>
      <c r="B12" s="1">
        <v>171234013</v>
      </c>
      <c r="C12" s="1">
        <v>0</v>
      </c>
      <c r="D12" s="1">
        <v>1</v>
      </c>
      <c r="E12" s="1">
        <v>0</v>
      </c>
      <c r="F12" s="1">
        <v>0</v>
      </c>
      <c r="G12" s="1">
        <v>0</v>
      </c>
      <c r="H12" s="1">
        <v>0</v>
      </c>
      <c r="I12" s="1">
        <v>0</v>
      </c>
      <c r="J12" s="1">
        <v>0</v>
      </c>
      <c r="K12" s="1">
        <v>0</v>
      </c>
      <c r="L12" s="1">
        <v>0</v>
      </c>
      <c r="M12" s="1">
        <v>0</v>
      </c>
      <c r="N12" s="1">
        <v>0</v>
      </c>
      <c r="O12" s="1">
        <v>0</v>
      </c>
      <c r="P12" s="1">
        <v>5</v>
      </c>
      <c r="Q12" s="1">
        <v>1</v>
      </c>
      <c r="R12" s="1">
        <v>1</v>
      </c>
      <c r="S12" s="1">
        <v>1</v>
      </c>
      <c r="T12" s="1">
        <v>3</v>
      </c>
      <c r="U12" s="1">
        <v>4</v>
      </c>
      <c r="V12" s="1">
        <v>4</v>
      </c>
      <c r="W12" s="1">
        <v>3</v>
      </c>
      <c r="X12" s="1">
        <v>4</v>
      </c>
      <c r="Y12" s="1">
        <v>4</v>
      </c>
      <c r="Z12" s="1">
        <v>4</v>
      </c>
      <c r="AA12" s="1">
        <v>4</v>
      </c>
      <c r="AC12" s="1">
        <v>1</v>
      </c>
      <c r="AD12" s="1">
        <v>3</v>
      </c>
      <c r="AF12" s="3">
        <v>5500000</v>
      </c>
      <c r="AG12" s="1">
        <v>12</v>
      </c>
      <c r="AS12" s="1" t="s">
        <v>244</v>
      </c>
      <c r="BP12" s="1">
        <v>3</v>
      </c>
      <c r="BQ12" s="1" t="s">
        <v>2565</v>
      </c>
      <c r="BR12" s="1" t="s">
        <v>2566</v>
      </c>
      <c r="BT12" s="1" t="s">
        <v>79</v>
      </c>
      <c r="BU12" s="1">
        <v>1</v>
      </c>
      <c r="BV12" s="1">
        <v>2</v>
      </c>
      <c r="BW12" s="1">
        <v>1</v>
      </c>
      <c r="BX12" s="1">
        <v>0</v>
      </c>
      <c r="BY12" s="1">
        <v>0</v>
      </c>
      <c r="BZ12" s="1">
        <v>0</v>
      </c>
      <c r="CA12" s="1">
        <v>0</v>
      </c>
      <c r="CB12" s="1">
        <v>0</v>
      </c>
      <c r="CC12" s="1">
        <v>0</v>
      </c>
      <c r="CD12" s="1">
        <v>0</v>
      </c>
      <c r="CE12" s="1">
        <v>0</v>
      </c>
      <c r="CF12" s="1">
        <v>0</v>
      </c>
      <c r="CG12" s="1">
        <v>0</v>
      </c>
      <c r="CH12" s="1">
        <v>0</v>
      </c>
      <c r="CI12" s="1">
        <v>0</v>
      </c>
      <c r="CJ12" s="1">
        <v>4</v>
      </c>
      <c r="CK12" s="1">
        <v>4</v>
      </c>
      <c r="CL12" s="1">
        <v>4</v>
      </c>
      <c r="CM12" s="1">
        <v>4</v>
      </c>
      <c r="CN12" s="1">
        <v>4</v>
      </c>
      <c r="CO12" s="1">
        <v>4</v>
      </c>
      <c r="CP12" s="1">
        <v>4</v>
      </c>
      <c r="CU12" s="1">
        <v>1</v>
      </c>
    </row>
    <row r="13" spans="1:99" x14ac:dyDescent="0.35">
      <c r="A13" s="1" t="s">
        <v>2567</v>
      </c>
      <c r="B13" s="1">
        <v>171234015</v>
      </c>
      <c r="C13" s="1">
        <v>0</v>
      </c>
      <c r="D13" s="1">
        <v>1</v>
      </c>
      <c r="E13" s="1">
        <v>0</v>
      </c>
      <c r="F13" s="1">
        <v>0</v>
      </c>
      <c r="G13" s="1">
        <v>0</v>
      </c>
      <c r="H13" s="1">
        <v>1</v>
      </c>
      <c r="I13" s="1">
        <v>0</v>
      </c>
      <c r="J13" s="1">
        <v>0</v>
      </c>
      <c r="K13" s="1">
        <v>1</v>
      </c>
      <c r="L13" s="1">
        <v>0</v>
      </c>
      <c r="M13" s="1">
        <v>1</v>
      </c>
      <c r="N13" s="1">
        <v>0</v>
      </c>
      <c r="O13" s="1">
        <v>0</v>
      </c>
      <c r="P13" s="1">
        <v>5</v>
      </c>
      <c r="Q13" s="1">
        <v>5</v>
      </c>
      <c r="R13" s="1">
        <v>4</v>
      </c>
      <c r="S13" s="1">
        <v>1</v>
      </c>
      <c r="T13" s="1">
        <v>1</v>
      </c>
      <c r="U13" s="1">
        <v>4</v>
      </c>
      <c r="V13" s="1">
        <v>4</v>
      </c>
      <c r="W13" s="1">
        <v>3</v>
      </c>
      <c r="X13" s="1">
        <v>4</v>
      </c>
      <c r="Y13" s="1">
        <v>4</v>
      </c>
      <c r="Z13" s="1">
        <v>4</v>
      </c>
      <c r="AA13" s="1">
        <v>4</v>
      </c>
      <c r="AC13" s="1">
        <v>1</v>
      </c>
      <c r="AD13" s="1">
        <v>1</v>
      </c>
      <c r="AF13" s="3">
        <v>12000000</v>
      </c>
      <c r="AG13" s="1">
        <v>21</v>
      </c>
      <c r="BB13" s="1" t="s">
        <v>2568</v>
      </c>
      <c r="BP13" s="1">
        <v>3</v>
      </c>
      <c r="BQ13" s="1" t="s">
        <v>2569</v>
      </c>
      <c r="BR13" s="1" t="s">
        <v>2570</v>
      </c>
      <c r="BS13" s="1" t="s">
        <v>2571</v>
      </c>
      <c r="BT13" s="1" t="s">
        <v>79</v>
      </c>
      <c r="BU13" s="1">
        <v>1</v>
      </c>
      <c r="BV13" s="1">
        <v>2</v>
      </c>
      <c r="BW13" s="1">
        <v>1</v>
      </c>
      <c r="BX13" s="1">
        <v>0</v>
      </c>
      <c r="BY13" s="1">
        <v>0</v>
      </c>
      <c r="BZ13" s="1">
        <v>0</v>
      </c>
      <c r="CA13" s="1">
        <v>0</v>
      </c>
      <c r="CB13" s="1">
        <v>0</v>
      </c>
      <c r="CC13" s="1">
        <v>0</v>
      </c>
      <c r="CD13" s="1">
        <v>0</v>
      </c>
      <c r="CE13" s="1">
        <v>0</v>
      </c>
      <c r="CF13" s="1">
        <v>0</v>
      </c>
      <c r="CG13" s="1">
        <v>0</v>
      </c>
      <c r="CH13" s="1">
        <v>0</v>
      </c>
      <c r="CI13" s="1">
        <v>0</v>
      </c>
      <c r="CJ13" s="1">
        <v>4</v>
      </c>
      <c r="CK13" s="1">
        <v>4</v>
      </c>
      <c r="CL13" s="1">
        <v>4</v>
      </c>
      <c r="CM13" s="1">
        <v>4</v>
      </c>
      <c r="CN13" s="1">
        <v>4</v>
      </c>
      <c r="CO13" s="1">
        <v>4</v>
      </c>
      <c r="CP13" s="1">
        <v>4</v>
      </c>
      <c r="CU13" s="1">
        <v>1</v>
      </c>
    </row>
    <row r="14" spans="1:99" x14ac:dyDescent="0.35">
      <c r="A14" s="1" t="s">
        <v>2572</v>
      </c>
      <c r="B14" s="1">
        <v>171234022</v>
      </c>
      <c r="C14" s="1">
        <v>0</v>
      </c>
      <c r="D14" s="1">
        <v>1</v>
      </c>
      <c r="E14" s="1">
        <v>0</v>
      </c>
      <c r="F14" s="1">
        <v>0</v>
      </c>
      <c r="G14" s="1">
        <v>0</v>
      </c>
      <c r="H14" s="1">
        <v>1</v>
      </c>
      <c r="I14" s="1">
        <v>0</v>
      </c>
      <c r="J14" s="1">
        <v>1</v>
      </c>
      <c r="K14" s="1">
        <v>1</v>
      </c>
      <c r="L14" s="1">
        <v>0</v>
      </c>
      <c r="M14" s="1">
        <v>0</v>
      </c>
      <c r="N14" s="1">
        <v>0</v>
      </c>
      <c r="O14" s="1">
        <v>0</v>
      </c>
      <c r="P14" s="1">
        <v>5</v>
      </c>
      <c r="Q14" s="1">
        <v>3</v>
      </c>
      <c r="R14" s="1">
        <v>3</v>
      </c>
    </row>
    <row r="15" spans="1:99" x14ac:dyDescent="0.35">
      <c r="A15" s="1" t="s">
        <v>2573</v>
      </c>
      <c r="B15" s="1">
        <v>171234023</v>
      </c>
      <c r="C15" s="1">
        <v>0</v>
      </c>
      <c r="D15" s="1">
        <v>1</v>
      </c>
      <c r="E15" s="1">
        <v>0</v>
      </c>
      <c r="F15" s="1">
        <v>0</v>
      </c>
      <c r="G15" s="1">
        <v>0</v>
      </c>
      <c r="H15" s="1">
        <v>1</v>
      </c>
      <c r="I15" s="1">
        <v>0</v>
      </c>
      <c r="J15" s="1">
        <v>0</v>
      </c>
      <c r="K15" s="1">
        <v>1</v>
      </c>
      <c r="L15" s="1">
        <v>0</v>
      </c>
      <c r="M15" s="1">
        <v>0</v>
      </c>
      <c r="N15" s="1">
        <v>0</v>
      </c>
      <c r="O15" s="1">
        <v>0</v>
      </c>
      <c r="P15" s="1">
        <v>8</v>
      </c>
      <c r="Q15" s="1">
        <v>5</v>
      </c>
      <c r="R15" s="1">
        <v>3</v>
      </c>
      <c r="S15" s="1">
        <v>1</v>
      </c>
      <c r="T15" s="1">
        <v>1</v>
      </c>
      <c r="U15" s="1">
        <v>3</v>
      </c>
      <c r="V15" s="1">
        <v>4</v>
      </c>
      <c r="W15" s="1">
        <v>4</v>
      </c>
      <c r="X15" s="1">
        <v>3</v>
      </c>
      <c r="Y15" s="1">
        <v>3</v>
      </c>
      <c r="Z15" s="1">
        <v>3</v>
      </c>
      <c r="AA15" s="1">
        <v>3</v>
      </c>
      <c r="AC15" s="1">
        <v>1</v>
      </c>
      <c r="AD15" s="1">
        <v>3</v>
      </c>
      <c r="AF15" s="3">
        <v>2900000</v>
      </c>
      <c r="AG15" s="1">
        <v>13</v>
      </c>
      <c r="AT15" s="1" t="s">
        <v>86</v>
      </c>
      <c r="BP15" s="1">
        <v>3</v>
      </c>
      <c r="BQ15" s="1" t="s">
        <v>2574</v>
      </c>
      <c r="BR15" s="1" t="s">
        <v>2575</v>
      </c>
      <c r="BS15" s="1" t="s">
        <v>2576</v>
      </c>
      <c r="BT15" s="1" t="s">
        <v>79</v>
      </c>
      <c r="BU15" s="1">
        <v>1</v>
      </c>
      <c r="BV15" s="1">
        <v>2</v>
      </c>
      <c r="BW15" s="1">
        <v>1</v>
      </c>
      <c r="BX15" s="1">
        <v>0</v>
      </c>
      <c r="BY15" s="1">
        <v>0</v>
      </c>
      <c r="BZ15" s="1">
        <v>0</v>
      </c>
      <c r="CA15" s="1">
        <v>0</v>
      </c>
      <c r="CB15" s="1">
        <v>0</v>
      </c>
      <c r="CC15" s="1">
        <v>0</v>
      </c>
      <c r="CD15" s="1">
        <v>0</v>
      </c>
      <c r="CE15" s="1">
        <v>0</v>
      </c>
      <c r="CF15" s="1">
        <v>0</v>
      </c>
      <c r="CG15" s="1">
        <v>0</v>
      </c>
      <c r="CH15" s="1">
        <v>0</v>
      </c>
      <c r="CI15" s="1">
        <v>0</v>
      </c>
      <c r="CJ15" s="1">
        <v>3</v>
      </c>
      <c r="CK15" s="1">
        <v>3</v>
      </c>
      <c r="CL15" s="1">
        <v>2</v>
      </c>
      <c r="CM15" s="1">
        <v>3</v>
      </c>
      <c r="CN15" s="1">
        <v>4</v>
      </c>
      <c r="CO15" s="1">
        <v>4</v>
      </c>
      <c r="CP15" s="1">
        <v>3</v>
      </c>
      <c r="CU15" s="1">
        <v>1</v>
      </c>
    </row>
    <row r="16" spans="1:99" x14ac:dyDescent="0.35">
      <c r="A16" s="1" t="s">
        <v>2577</v>
      </c>
      <c r="B16" s="1">
        <v>171234024</v>
      </c>
      <c r="C16" s="1">
        <v>0</v>
      </c>
      <c r="D16" s="1">
        <v>1</v>
      </c>
      <c r="E16" s="1">
        <v>0</v>
      </c>
      <c r="F16" s="1">
        <v>0</v>
      </c>
      <c r="G16" s="1">
        <v>0</v>
      </c>
      <c r="H16" s="1">
        <v>1</v>
      </c>
      <c r="I16" s="1">
        <v>1</v>
      </c>
      <c r="J16" s="1">
        <v>1</v>
      </c>
      <c r="K16" s="1">
        <v>1</v>
      </c>
      <c r="L16" s="1">
        <v>0</v>
      </c>
      <c r="M16" s="1">
        <v>0</v>
      </c>
      <c r="N16" s="1">
        <v>0</v>
      </c>
      <c r="O16" s="1">
        <v>0</v>
      </c>
      <c r="P16" s="1">
        <v>8</v>
      </c>
      <c r="Q16" s="1">
        <v>3</v>
      </c>
      <c r="R16" s="1">
        <v>5</v>
      </c>
      <c r="S16" s="1">
        <v>1</v>
      </c>
      <c r="T16" s="1">
        <v>1</v>
      </c>
      <c r="U16" s="1">
        <v>3</v>
      </c>
      <c r="V16" s="1">
        <v>3</v>
      </c>
      <c r="W16" s="1">
        <v>3</v>
      </c>
      <c r="X16" s="1">
        <v>3</v>
      </c>
      <c r="Y16" s="1">
        <v>3</v>
      </c>
      <c r="Z16" s="1">
        <v>3</v>
      </c>
      <c r="AA16" s="1">
        <v>3</v>
      </c>
      <c r="AC16" s="1">
        <v>1</v>
      </c>
      <c r="AD16" s="1">
        <v>1</v>
      </c>
      <c r="AF16" s="3">
        <v>5760000</v>
      </c>
      <c r="AG16" s="1">
        <v>13</v>
      </c>
      <c r="AT16" s="1" t="s">
        <v>750</v>
      </c>
      <c r="BP16" s="1">
        <v>3</v>
      </c>
      <c r="BQ16" s="1" t="s">
        <v>2578</v>
      </c>
      <c r="BR16" s="1" t="s">
        <v>2579</v>
      </c>
      <c r="BS16" s="1" t="s">
        <v>2580</v>
      </c>
      <c r="BT16" s="1" t="s">
        <v>79</v>
      </c>
      <c r="BU16" s="1">
        <v>2</v>
      </c>
      <c r="BV16" s="1">
        <v>2</v>
      </c>
      <c r="BW16" s="1">
        <v>0</v>
      </c>
      <c r="BX16" s="1">
        <v>0</v>
      </c>
      <c r="BY16" s="1">
        <v>1</v>
      </c>
      <c r="BZ16" s="1">
        <v>0</v>
      </c>
      <c r="CA16" s="1">
        <v>0</v>
      </c>
      <c r="CB16" s="1">
        <v>0</v>
      </c>
      <c r="CC16" s="1">
        <v>0</v>
      </c>
      <c r="CD16" s="1">
        <v>0</v>
      </c>
      <c r="CE16" s="1">
        <v>0</v>
      </c>
      <c r="CF16" s="1">
        <v>0</v>
      </c>
      <c r="CG16" s="1">
        <v>0</v>
      </c>
      <c r="CH16" s="1">
        <v>0</v>
      </c>
      <c r="CI16" s="1">
        <v>0</v>
      </c>
      <c r="CJ16" s="1">
        <v>3</v>
      </c>
      <c r="CK16" s="1">
        <v>3</v>
      </c>
      <c r="CL16" s="1">
        <v>3</v>
      </c>
      <c r="CM16" s="1">
        <v>4</v>
      </c>
      <c r="CN16" s="1">
        <v>4</v>
      </c>
      <c r="CO16" s="1">
        <v>4</v>
      </c>
      <c r="CP16" s="1">
        <v>4</v>
      </c>
      <c r="CU16" s="1">
        <v>1</v>
      </c>
    </row>
    <row r="17" spans="1:99" x14ac:dyDescent="0.35">
      <c r="A17" s="1" t="s">
        <v>2581</v>
      </c>
      <c r="B17" s="1">
        <v>171234029</v>
      </c>
      <c r="C17" s="1">
        <v>1</v>
      </c>
      <c r="D17" s="1">
        <v>1</v>
      </c>
      <c r="E17" s="1">
        <v>0</v>
      </c>
      <c r="F17" s="1">
        <v>0</v>
      </c>
      <c r="G17" s="1">
        <v>0</v>
      </c>
      <c r="H17" s="1">
        <v>1</v>
      </c>
      <c r="I17" s="1">
        <v>0</v>
      </c>
      <c r="J17" s="1">
        <v>0</v>
      </c>
      <c r="K17" s="1">
        <v>1</v>
      </c>
      <c r="L17" s="1">
        <v>0</v>
      </c>
      <c r="M17" s="1">
        <v>0</v>
      </c>
      <c r="N17" s="1">
        <v>0</v>
      </c>
      <c r="O17" s="1">
        <v>0</v>
      </c>
      <c r="P17" s="1">
        <v>3</v>
      </c>
      <c r="Q17" s="1">
        <v>2</v>
      </c>
      <c r="R17" s="1">
        <v>2</v>
      </c>
      <c r="S17" s="1">
        <v>1</v>
      </c>
      <c r="T17" s="1">
        <v>1</v>
      </c>
      <c r="U17" s="1">
        <v>4</v>
      </c>
      <c r="V17" s="1">
        <v>3</v>
      </c>
      <c r="W17" s="1">
        <v>2</v>
      </c>
      <c r="X17" s="1">
        <v>4</v>
      </c>
      <c r="Y17" s="1">
        <v>3</v>
      </c>
      <c r="Z17" s="1">
        <v>3</v>
      </c>
      <c r="AA17" s="1">
        <v>3</v>
      </c>
      <c r="AC17" s="1">
        <v>1</v>
      </c>
      <c r="AD17" s="1">
        <v>3</v>
      </c>
      <c r="AF17" s="3">
        <v>4300000</v>
      </c>
      <c r="AG17" s="1">
        <v>12</v>
      </c>
      <c r="AS17" s="1" t="s">
        <v>244</v>
      </c>
      <c r="BP17" s="1">
        <v>3</v>
      </c>
      <c r="BQ17" s="1" t="s">
        <v>2582</v>
      </c>
      <c r="BR17" s="1" t="s">
        <v>2583</v>
      </c>
      <c r="BS17" s="1" t="s">
        <v>2584</v>
      </c>
      <c r="BT17" s="1" t="s">
        <v>73</v>
      </c>
      <c r="BU17" s="1">
        <v>3</v>
      </c>
      <c r="BV17" s="1">
        <v>2</v>
      </c>
      <c r="BW17" s="1">
        <v>0</v>
      </c>
      <c r="BX17" s="1">
        <v>1</v>
      </c>
      <c r="BY17" s="1">
        <v>1</v>
      </c>
      <c r="BZ17" s="1">
        <v>0</v>
      </c>
      <c r="CA17" s="1">
        <v>0</v>
      </c>
      <c r="CB17" s="1">
        <v>0</v>
      </c>
      <c r="CC17" s="1">
        <v>0</v>
      </c>
      <c r="CD17" s="1">
        <v>1</v>
      </c>
      <c r="CE17" s="1">
        <v>0</v>
      </c>
      <c r="CF17" s="1">
        <v>0</v>
      </c>
      <c r="CG17" s="1">
        <v>0</v>
      </c>
      <c r="CH17" s="1">
        <v>0</v>
      </c>
      <c r="CI17" s="1">
        <v>0</v>
      </c>
      <c r="CJ17" s="1">
        <v>4</v>
      </c>
      <c r="CK17" s="1">
        <v>3</v>
      </c>
      <c r="CL17" s="1">
        <v>4</v>
      </c>
      <c r="CM17" s="1">
        <v>3</v>
      </c>
      <c r="CN17" s="1">
        <v>4</v>
      </c>
      <c r="CO17" s="1">
        <v>4</v>
      </c>
      <c r="CP17" s="1">
        <v>3</v>
      </c>
      <c r="CU17" s="1">
        <v>1</v>
      </c>
    </row>
    <row r="18" spans="1:99" x14ac:dyDescent="0.35">
      <c r="A18" s="1" t="s">
        <v>2585</v>
      </c>
      <c r="B18" s="1">
        <v>171234031</v>
      </c>
      <c r="C18" s="1">
        <v>0</v>
      </c>
      <c r="D18" s="1">
        <v>0</v>
      </c>
      <c r="E18" s="1">
        <v>0</v>
      </c>
      <c r="F18" s="1">
        <v>0</v>
      </c>
      <c r="G18" s="1">
        <v>0</v>
      </c>
      <c r="H18" s="1">
        <v>0</v>
      </c>
      <c r="I18" s="1">
        <v>0</v>
      </c>
      <c r="J18" s="1">
        <v>0</v>
      </c>
      <c r="K18" s="1">
        <v>1</v>
      </c>
      <c r="L18" s="1">
        <v>0</v>
      </c>
      <c r="M18" s="1">
        <v>0</v>
      </c>
      <c r="N18" s="1">
        <v>0</v>
      </c>
      <c r="O18" s="1">
        <v>0</v>
      </c>
      <c r="P18" s="1">
        <v>6</v>
      </c>
      <c r="Q18" s="1">
        <v>2</v>
      </c>
      <c r="R18" s="1">
        <v>2</v>
      </c>
      <c r="S18" s="1">
        <v>1</v>
      </c>
      <c r="T18" s="1">
        <v>3</v>
      </c>
      <c r="U18" s="1">
        <v>4</v>
      </c>
      <c r="V18" s="1">
        <v>3</v>
      </c>
      <c r="W18" s="1">
        <v>4</v>
      </c>
      <c r="X18" s="1">
        <v>4</v>
      </c>
      <c r="Y18" s="1">
        <v>4</v>
      </c>
      <c r="Z18" s="1">
        <v>4</v>
      </c>
      <c r="AA18" s="1">
        <v>4</v>
      </c>
      <c r="AC18" s="1">
        <v>1</v>
      </c>
      <c r="AD18" s="1">
        <v>3</v>
      </c>
      <c r="AF18" s="3">
        <v>5000000</v>
      </c>
      <c r="AG18" s="1">
        <v>14</v>
      </c>
      <c r="AU18" s="1" t="s">
        <v>2543</v>
      </c>
      <c r="BP18" s="1">
        <v>3</v>
      </c>
      <c r="BQ18" s="1" t="s">
        <v>2586</v>
      </c>
      <c r="BR18" s="1" t="s">
        <v>2587</v>
      </c>
      <c r="BT18" s="1" t="s">
        <v>79</v>
      </c>
      <c r="BU18" s="1">
        <v>1</v>
      </c>
      <c r="BV18" s="1">
        <v>2</v>
      </c>
      <c r="BW18" s="1">
        <v>0</v>
      </c>
      <c r="BX18" s="1">
        <v>0</v>
      </c>
      <c r="BY18" s="1">
        <v>0</v>
      </c>
      <c r="BZ18" s="1">
        <v>0</v>
      </c>
      <c r="CA18" s="1">
        <v>0</v>
      </c>
      <c r="CB18" s="1">
        <v>0</v>
      </c>
      <c r="CC18" s="1">
        <v>0</v>
      </c>
      <c r="CD18" s="1">
        <v>0</v>
      </c>
      <c r="CE18" s="1">
        <v>0</v>
      </c>
      <c r="CF18" s="1">
        <v>0</v>
      </c>
      <c r="CG18" s="1">
        <v>0</v>
      </c>
      <c r="CH18" s="1">
        <v>0</v>
      </c>
      <c r="CI18" s="1" t="s">
        <v>1746</v>
      </c>
      <c r="CJ18" s="1">
        <v>4</v>
      </c>
      <c r="CK18" s="1">
        <v>4</v>
      </c>
      <c r="CL18" s="1">
        <v>3</v>
      </c>
      <c r="CM18" s="1">
        <v>4</v>
      </c>
      <c r="CN18" s="1">
        <v>4</v>
      </c>
      <c r="CO18" s="1">
        <v>4</v>
      </c>
      <c r="CP18" s="1">
        <v>4</v>
      </c>
      <c r="CU18" s="1">
        <v>4</v>
      </c>
    </row>
    <row r="19" spans="1:99" x14ac:dyDescent="0.35">
      <c r="A19" s="1" t="s">
        <v>3782</v>
      </c>
      <c r="B19" s="1">
        <v>171234003</v>
      </c>
    </row>
    <row r="20" spans="1:99" x14ac:dyDescent="0.35">
      <c r="A20" s="1" t="s">
        <v>3783</v>
      </c>
      <c r="B20" s="1">
        <v>171234014</v>
      </c>
    </row>
    <row r="21" spans="1:99" x14ac:dyDescent="0.35">
      <c r="A21" s="1" t="s">
        <v>3784</v>
      </c>
      <c r="B21" s="1">
        <v>171234017</v>
      </c>
    </row>
    <row r="22" spans="1:99" x14ac:dyDescent="0.35">
      <c r="A22" s="1" t="s">
        <v>3785</v>
      </c>
      <c r="B22" s="1">
        <v>171234019</v>
      </c>
    </row>
    <row r="23" spans="1:99" x14ac:dyDescent="0.35">
      <c r="A23" s="1" t="s">
        <v>3786</v>
      </c>
      <c r="B23" s="1">
        <v>171234021</v>
      </c>
    </row>
    <row r="24" spans="1:99" x14ac:dyDescent="0.35">
      <c r="A24" s="1" t="s">
        <v>3787</v>
      </c>
      <c r="B24" s="1">
        <v>171234025</v>
      </c>
    </row>
    <row r="25" spans="1:99" x14ac:dyDescent="0.35">
      <c r="A25" s="1" t="s">
        <v>3788</v>
      </c>
      <c r="B25" s="1">
        <v>171234026</v>
      </c>
    </row>
    <row r="26" spans="1:99" x14ac:dyDescent="0.35">
      <c r="A26" s="1" t="s">
        <v>3789</v>
      </c>
      <c r="B26" s="1">
        <v>171234027</v>
      </c>
    </row>
    <row r="27" spans="1:99" x14ac:dyDescent="0.35">
      <c r="A27" s="1" t="s">
        <v>3790</v>
      </c>
      <c r="B27" s="1">
        <v>171234028</v>
      </c>
    </row>
    <row r="28" spans="1:99" x14ac:dyDescent="0.35">
      <c r="A28" s="1" t="s">
        <v>3791</v>
      </c>
      <c r="B28" s="1">
        <v>171234032</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147D69-42AA-4FF0-A0E1-D5832A07BE8C}">
  <dimension ref="A1:CU27"/>
  <sheetViews>
    <sheetView topLeftCell="T1" zoomScale="55" zoomScaleNormal="55" workbookViewId="0">
      <pane ySplit="1" topLeftCell="A14" activePane="bottomLeft" state="frozen"/>
      <selection pane="bottomLeft" activeCell="T1" sqref="T1"/>
    </sheetView>
  </sheetViews>
  <sheetFormatPr defaultColWidth="8.90625" defaultRowHeight="14.5" x14ac:dyDescent="0.35"/>
  <cols>
    <col min="1" max="1" width="26.90625" style="1" bestFit="1" customWidth="1"/>
    <col min="2" max="2" width="10" style="1" bestFit="1" customWidth="1"/>
    <col min="3" max="9" width="64.08984375" style="1" bestFit="1" customWidth="1"/>
    <col min="10" max="14" width="65.08984375" style="1" bestFit="1" customWidth="1"/>
    <col min="15" max="15" width="67.54296875" style="1" bestFit="1" customWidth="1"/>
    <col min="16" max="16" width="110" style="1" bestFit="1" customWidth="1"/>
    <col min="17" max="17" width="63.90625" style="1" bestFit="1" customWidth="1"/>
    <col min="18" max="18" width="73" style="1" bestFit="1" customWidth="1"/>
    <col min="19" max="19" width="25" style="1" bestFit="1" customWidth="1"/>
    <col min="20" max="20" width="41.26953125" style="1" bestFit="1" customWidth="1"/>
    <col min="21" max="21" width="67.08984375" style="1" bestFit="1" customWidth="1"/>
    <col min="22" max="22" width="90.453125" style="1" bestFit="1" customWidth="1"/>
    <col min="23" max="23" width="74.90625" style="1" bestFit="1" customWidth="1"/>
    <col min="24" max="24" width="89.36328125" style="1" bestFit="1" customWidth="1"/>
    <col min="25" max="25" width="72.453125" style="1" bestFit="1" customWidth="1"/>
    <col min="26" max="26" width="75.1796875" style="1" bestFit="1" customWidth="1"/>
    <col min="27" max="27" width="79" style="1" bestFit="1" customWidth="1"/>
    <col min="28" max="28" width="43.08984375" style="1" bestFit="1" customWidth="1"/>
    <col min="29" max="29" width="73.1796875" style="1" bestFit="1" customWidth="1"/>
    <col min="30" max="30" width="43.36328125" style="1" bestFit="1" customWidth="1"/>
    <col min="31" max="31" width="50.54296875" style="1" bestFit="1" customWidth="1"/>
    <col min="32" max="32" width="120.26953125" style="1" bestFit="1" customWidth="1"/>
    <col min="33" max="33" width="39.08984375" style="1" bestFit="1" customWidth="1"/>
    <col min="34" max="35" width="45.7265625" style="1" bestFit="1" customWidth="1"/>
    <col min="36" max="37" width="46.1796875" style="1" bestFit="1" customWidth="1"/>
    <col min="38" max="38" width="45.7265625" style="1" bestFit="1" customWidth="1"/>
    <col min="39" max="52" width="46.1796875" style="1" bestFit="1" customWidth="1"/>
    <col min="53" max="55" width="45.7265625" style="1" bestFit="1" customWidth="1"/>
    <col min="56" max="64" width="46.1796875" style="1" bestFit="1" customWidth="1"/>
    <col min="65" max="67" width="45.7265625" style="1" bestFit="1" customWidth="1"/>
    <col min="68" max="68" width="58.90625" style="1" bestFit="1" customWidth="1"/>
    <col min="69" max="69" width="43.26953125" style="1" bestFit="1" customWidth="1"/>
    <col min="70" max="70" width="45.36328125" style="1" bestFit="1" customWidth="1"/>
    <col min="71" max="71" width="45.26953125" style="1" bestFit="1" customWidth="1"/>
    <col min="72" max="72" width="55.453125" style="1" bestFit="1" customWidth="1"/>
    <col min="73" max="73" width="217.453125" style="1" bestFit="1" customWidth="1"/>
    <col min="74" max="74" width="65.08984375" style="1" bestFit="1" customWidth="1"/>
    <col min="75" max="83" width="117.26953125" style="1" bestFit="1" customWidth="1"/>
    <col min="84" max="86" width="118.26953125" style="1" bestFit="1" customWidth="1"/>
    <col min="87" max="87" width="120.7265625" style="1" bestFit="1" customWidth="1"/>
    <col min="88" max="88" width="76.6328125" style="1" bestFit="1" customWidth="1"/>
    <col min="89" max="89" width="100.26953125" style="1" bestFit="1" customWidth="1"/>
    <col min="90" max="90" width="84.36328125" style="1" bestFit="1" customWidth="1"/>
    <col min="91" max="91" width="98.6328125" style="1" bestFit="1" customWidth="1"/>
    <col min="92" max="92" width="81.90625" style="1" bestFit="1" customWidth="1"/>
    <col min="93" max="93" width="84.7265625" style="1" bestFit="1" customWidth="1"/>
    <col min="94" max="94" width="88.54296875" style="1" bestFit="1" customWidth="1"/>
    <col min="95" max="95" width="40.54296875" style="1" bestFit="1" customWidth="1"/>
    <col min="96" max="96" width="53.36328125" style="1" bestFit="1" customWidth="1"/>
    <col min="97" max="97" width="23.90625" style="1" bestFit="1" customWidth="1"/>
    <col min="98" max="98" width="24.7265625" style="1" bestFit="1" customWidth="1"/>
    <col min="99" max="99" width="51.90625" style="1" bestFit="1" customWidth="1"/>
    <col min="100" max="16384" width="8.90625" style="1"/>
  </cols>
  <sheetData>
    <row r="1" spans="1:99" s="6" customFormat="1" x14ac:dyDescent="0.35">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6" t="s">
        <v>15</v>
      </c>
      <c r="Q1" s="6" t="s">
        <v>16</v>
      </c>
      <c r="R1" s="6" t="s">
        <v>17</v>
      </c>
      <c r="S1" s="6" t="s">
        <v>18</v>
      </c>
      <c r="T1" s="6" t="s">
        <v>19</v>
      </c>
      <c r="U1" s="6" t="s">
        <v>20</v>
      </c>
      <c r="V1" s="6" t="s">
        <v>21</v>
      </c>
      <c r="W1" s="6" t="s">
        <v>22</v>
      </c>
      <c r="X1" s="6" t="s">
        <v>23</v>
      </c>
      <c r="Y1" s="6" t="s">
        <v>24</v>
      </c>
      <c r="Z1" s="6" t="s">
        <v>25</v>
      </c>
      <c r="AA1" s="6" t="s">
        <v>26</v>
      </c>
      <c r="AB1" s="6" t="s">
        <v>27</v>
      </c>
      <c r="AC1" s="6" t="s">
        <v>28</v>
      </c>
      <c r="AD1" s="6" t="s">
        <v>29</v>
      </c>
      <c r="AE1" s="6" t="s">
        <v>30</v>
      </c>
      <c r="AF1" s="6" t="s">
        <v>31</v>
      </c>
      <c r="AG1" s="6" t="s">
        <v>32</v>
      </c>
      <c r="AH1" s="6" t="s">
        <v>33</v>
      </c>
      <c r="AI1" s="6" t="s">
        <v>33</v>
      </c>
      <c r="AJ1" s="6" t="s">
        <v>34</v>
      </c>
      <c r="AK1" s="6" t="s">
        <v>34</v>
      </c>
      <c r="AL1" s="6" t="s">
        <v>33</v>
      </c>
      <c r="AM1" s="6" t="s">
        <v>34</v>
      </c>
      <c r="AN1" s="6" t="s">
        <v>34</v>
      </c>
      <c r="AO1" s="6" t="s">
        <v>34</v>
      </c>
      <c r="AP1" s="6" t="s">
        <v>34</v>
      </c>
      <c r="AQ1" s="6" t="s">
        <v>34</v>
      </c>
      <c r="AR1" s="6" t="s">
        <v>34</v>
      </c>
      <c r="AS1" s="6" t="s">
        <v>34</v>
      </c>
      <c r="AT1" s="6" t="s">
        <v>34</v>
      </c>
      <c r="AU1" s="6" t="s">
        <v>34</v>
      </c>
      <c r="AV1" s="6" t="s">
        <v>34</v>
      </c>
      <c r="AW1" s="6" t="s">
        <v>34</v>
      </c>
      <c r="AX1" s="6" t="s">
        <v>34</v>
      </c>
      <c r="AY1" s="6" t="s">
        <v>34</v>
      </c>
      <c r="AZ1" s="6" t="s">
        <v>34</v>
      </c>
      <c r="BA1" s="6" t="s">
        <v>33</v>
      </c>
      <c r="BB1" s="6" t="s">
        <v>33</v>
      </c>
      <c r="BC1" s="6" t="s">
        <v>33</v>
      </c>
      <c r="BD1" s="6" t="s">
        <v>34</v>
      </c>
      <c r="BE1" s="6" t="s">
        <v>34</v>
      </c>
      <c r="BF1" s="6" t="s">
        <v>34</v>
      </c>
      <c r="BG1" s="6" t="s">
        <v>34</v>
      </c>
      <c r="BH1" s="6" t="s">
        <v>34</v>
      </c>
      <c r="BI1" s="6" t="s">
        <v>34</v>
      </c>
      <c r="BJ1" s="6" t="s">
        <v>34</v>
      </c>
      <c r="BK1" s="6" t="s">
        <v>34</v>
      </c>
      <c r="BL1" s="6" t="s">
        <v>34</v>
      </c>
      <c r="BM1" s="6" t="s">
        <v>33</v>
      </c>
      <c r="BN1" s="6" t="s">
        <v>33</v>
      </c>
      <c r="BO1" s="6" t="s">
        <v>33</v>
      </c>
      <c r="BP1" s="6" t="s">
        <v>35</v>
      </c>
      <c r="BQ1" s="6" t="s">
        <v>36</v>
      </c>
      <c r="BR1" s="6" t="s">
        <v>37</v>
      </c>
      <c r="BS1" s="6" t="s">
        <v>38</v>
      </c>
      <c r="BT1" s="6" t="s">
        <v>39</v>
      </c>
      <c r="BU1" s="6" t="s">
        <v>40</v>
      </c>
      <c r="BV1" s="6" t="s">
        <v>41</v>
      </c>
      <c r="BW1" s="6" t="s">
        <v>42</v>
      </c>
      <c r="BX1" s="6" t="s">
        <v>43</v>
      </c>
      <c r="BY1" s="6" t="s">
        <v>44</v>
      </c>
      <c r="BZ1" s="6" t="s">
        <v>45</v>
      </c>
      <c r="CA1" s="6" t="s">
        <v>46</v>
      </c>
      <c r="CB1" s="6" t="s">
        <v>47</v>
      </c>
      <c r="CC1" s="6" t="s">
        <v>48</v>
      </c>
      <c r="CD1" s="6" t="s">
        <v>49</v>
      </c>
      <c r="CE1" s="6" t="s">
        <v>50</v>
      </c>
      <c r="CF1" s="6" t="s">
        <v>51</v>
      </c>
      <c r="CG1" s="6" t="s">
        <v>52</v>
      </c>
      <c r="CH1" s="6" t="s">
        <v>53</v>
      </c>
      <c r="CI1" s="6" t="s">
        <v>54</v>
      </c>
      <c r="CJ1" s="6" t="s">
        <v>55</v>
      </c>
      <c r="CK1" s="6" t="s">
        <v>56</v>
      </c>
      <c r="CL1" s="6" t="s">
        <v>57</v>
      </c>
      <c r="CM1" s="6" t="s">
        <v>58</v>
      </c>
      <c r="CN1" s="6" t="s">
        <v>59</v>
      </c>
      <c r="CO1" s="6" t="s">
        <v>60</v>
      </c>
      <c r="CP1" s="6" t="s">
        <v>61</v>
      </c>
      <c r="CQ1" s="6" t="s">
        <v>62</v>
      </c>
      <c r="CR1" s="6" t="s">
        <v>63</v>
      </c>
      <c r="CS1" s="6" t="s">
        <v>64</v>
      </c>
      <c r="CT1" s="6" t="s">
        <v>65</v>
      </c>
      <c r="CU1" s="6" t="s">
        <v>66</v>
      </c>
    </row>
    <row r="2" spans="1:99" x14ac:dyDescent="0.35">
      <c r="A2" s="1" t="s">
        <v>2588</v>
      </c>
      <c r="B2" s="1">
        <v>171134001</v>
      </c>
      <c r="C2" s="1">
        <v>0</v>
      </c>
      <c r="D2" s="1">
        <v>1</v>
      </c>
      <c r="E2" s="1">
        <v>1</v>
      </c>
      <c r="F2" s="1">
        <v>0</v>
      </c>
      <c r="G2" s="1">
        <v>0</v>
      </c>
      <c r="H2" s="1">
        <v>1</v>
      </c>
      <c r="I2" s="1">
        <v>0</v>
      </c>
      <c r="J2" s="1">
        <v>1</v>
      </c>
      <c r="K2" s="1">
        <v>1</v>
      </c>
      <c r="L2" s="1">
        <v>0</v>
      </c>
      <c r="M2" s="1">
        <v>1</v>
      </c>
      <c r="N2" s="1">
        <v>1</v>
      </c>
      <c r="O2" s="1">
        <v>0</v>
      </c>
      <c r="P2" s="1">
        <v>10</v>
      </c>
      <c r="Q2" s="1">
        <v>3</v>
      </c>
      <c r="R2" s="1">
        <v>3</v>
      </c>
    </row>
    <row r="3" spans="1:99" x14ac:dyDescent="0.35">
      <c r="A3" s="1" t="s">
        <v>2589</v>
      </c>
      <c r="B3" s="1">
        <v>171134002</v>
      </c>
      <c r="C3" s="1">
        <v>0</v>
      </c>
      <c r="D3" s="1">
        <v>1</v>
      </c>
      <c r="E3" s="1">
        <v>0</v>
      </c>
      <c r="F3" s="1">
        <v>0</v>
      </c>
      <c r="G3" s="1">
        <v>0</v>
      </c>
      <c r="H3" s="1">
        <v>0</v>
      </c>
      <c r="I3" s="1">
        <v>0</v>
      </c>
      <c r="J3" s="1">
        <v>0</v>
      </c>
      <c r="K3" s="1">
        <v>1</v>
      </c>
      <c r="L3" s="1">
        <v>0</v>
      </c>
      <c r="M3" s="1">
        <v>0</v>
      </c>
      <c r="N3" s="1">
        <v>0</v>
      </c>
      <c r="O3" s="1">
        <v>0</v>
      </c>
      <c r="P3" s="1" t="s">
        <v>506</v>
      </c>
      <c r="Q3" s="1">
        <v>6</v>
      </c>
      <c r="R3" s="1">
        <v>5</v>
      </c>
      <c r="S3" s="1">
        <v>1</v>
      </c>
      <c r="T3" s="1">
        <v>1</v>
      </c>
      <c r="U3" s="1">
        <v>4</v>
      </c>
      <c r="V3" s="1">
        <v>3</v>
      </c>
      <c r="W3" s="1">
        <v>3</v>
      </c>
      <c r="X3" s="1">
        <v>4</v>
      </c>
      <c r="Y3" s="1">
        <v>4</v>
      </c>
      <c r="Z3" s="1">
        <v>4</v>
      </c>
      <c r="AA3" s="1">
        <v>4</v>
      </c>
      <c r="AC3" s="1">
        <v>2</v>
      </c>
      <c r="AE3" s="1">
        <v>1</v>
      </c>
      <c r="AF3" s="3">
        <v>5000000</v>
      </c>
      <c r="AG3" s="1">
        <v>13</v>
      </c>
      <c r="AT3" s="1" t="s">
        <v>75</v>
      </c>
      <c r="BP3" s="1">
        <v>3</v>
      </c>
      <c r="BQ3" s="1" t="s">
        <v>2590</v>
      </c>
      <c r="BR3" s="1" t="s">
        <v>2591</v>
      </c>
      <c r="BS3" s="1" t="s">
        <v>2592</v>
      </c>
      <c r="BT3" s="1" t="s">
        <v>73</v>
      </c>
      <c r="BU3" s="1">
        <v>1</v>
      </c>
      <c r="BV3" s="1">
        <v>2</v>
      </c>
      <c r="BW3" s="1">
        <v>1</v>
      </c>
      <c r="BX3" s="1">
        <v>0</v>
      </c>
      <c r="BY3" s="1">
        <v>0</v>
      </c>
      <c r="BZ3" s="1">
        <v>0</v>
      </c>
      <c r="CA3" s="1">
        <v>0</v>
      </c>
      <c r="CB3" s="1">
        <v>0</v>
      </c>
      <c r="CC3" s="1">
        <v>0</v>
      </c>
      <c r="CD3" s="1">
        <v>0</v>
      </c>
      <c r="CE3" s="1">
        <v>0</v>
      </c>
      <c r="CF3" s="1">
        <v>0</v>
      </c>
      <c r="CG3" s="1">
        <v>0</v>
      </c>
      <c r="CH3" s="1">
        <v>0</v>
      </c>
      <c r="CI3" s="1">
        <v>0</v>
      </c>
      <c r="CJ3" s="1">
        <v>4</v>
      </c>
      <c r="CK3" s="1">
        <v>4</v>
      </c>
      <c r="CL3" s="1">
        <v>4</v>
      </c>
      <c r="CM3" s="1">
        <v>4</v>
      </c>
      <c r="CN3" s="1">
        <v>4</v>
      </c>
      <c r="CO3" s="1">
        <v>4</v>
      </c>
      <c r="CP3" s="1">
        <v>4</v>
      </c>
      <c r="CU3" s="1">
        <v>1</v>
      </c>
    </row>
    <row r="4" spans="1:99" x14ac:dyDescent="0.35">
      <c r="A4" s="1" t="s">
        <v>2593</v>
      </c>
      <c r="B4" s="1">
        <v>171134003</v>
      </c>
      <c r="C4" s="1">
        <v>0</v>
      </c>
      <c r="D4" s="1">
        <v>0</v>
      </c>
      <c r="E4" s="1">
        <v>0</v>
      </c>
      <c r="F4" s="1">
        <v>0</v>
      </c>
      <c r="G4" s="1">
        <v>0</v>
      </c>
      <c r="H4" s="1">
        <v>0</v>
      </c>
      <c r="I4" s="1">
        <v>0</v>
      </c>
      <c r="J4" s="1">
        <v>0</v>
      </c>
      <c r="K4" s="1">
        <v>1</v>
      </c>
      <c r="L4" s="1">
        <v>0</v>
      </c>
      <c r="M4" s="1">
        <v>0</v>
      </c>
      <c r="N4" s="1">
        <v>0</v>
      </c>
      <c r="O4" s="1">
        <v>0</v>
      </c>
      <c r="P4" s="1">
        <v>0</v>
      </c>
      <c r="Q4" s="1">
        <v>1</v>
      </c>
      <c r="R4" s="1">
        <v>1</v>
      </c>
      <c r="S4" s="1">
        <v>1</v>
      </c>
      <c r="T4" s="1">
        <v>3</v>
      </c>
      <c r="U4" s="1">
        <v>3</v>
      </c>
      <c r="V4" s="1">
        <v>3</v>
      </c>
      <c r="W4" s="1">
        <v>3</v>
      </c>
      <c r="X4" s="1">
        <v>3</v>
      </c>
      <c r="Y4" s="1">
        <v>4</v>
      </c>
      <c r="Z4" s="1">
        <v>4</v>
      </c>
      <c r="AA4" s="1">
        <v>3</v>
      </c>
      <c r="AC4" s="1">
        <v>1</v>
      </c>
      <c r="AD4" s="1">
        <v>2</v>
      </c>
      <c r="AF4" s="3">
        <v>5250000</v>
      </c>
      <c r="AG4" s="1">
        <v>13</v>
      </c>
      <c r="AT4" s="1" t="s">
        <v>75</v>
      </c>
      <c r="BP4" s="1">
        <v>3</v>
      </c>
      <c r="BQ4" s="1" t="s">
        <v>1634</v>
      </c>
      <c r="BR4" s="1" t="s">
        <v>2594</v>
      </c>
      <c r="BS4" s="1" t="s">
        <v>2595</v>
      </c>
      <c r="BT4" s="1" t="s">
        <v>73</v>
      </c>
      <c r="BU4" s="1">
        <v>1</v>
      </c>
      <c r="BV4" s="1">
        <v>2</v>
      </c>
      <c r="BW4" s="1">
        <v>1</v>
      </c>
      <c r="BX4" s="1">
        <v>0</v>
      </c>
      <c r="BY4" s="1">
        <v>0</v>
      </c>
      <c r="BZ4" s="1">
        <v>0</v>
      </c>
      <c r="CA4" s="1">
        <v>0</v>
      </c>
      <c r="CB4" s="1">
        <v>0</v>
      </c>
      <c r="CC4" s="1">
        <v>0</v>
      </c>
      <c r="CD4" s="1">
        <v>0</v>
      </c>
      <c r="CE4" s="1">
        <v>0</v>
      </c>
      <c r="CF4" s="1">
        <v>0</v>
      </c>
      <c r="CG4" s="1">
        <v>0</v>
      </c>
      <c r="CH4" s="1">
        <v>0</v>
      </c>
      <c r="CI4" s="1">
        <v>0</v>
      </c>
      <c r="CJ4" s="1">
        <v>4</v>
      </c>
      <c r="CK4" s="1">
        <v>4</v>
      </c>
      <c r="CL4" s="1">
        <v>3</v>
      </c>
      <c r="CM4" s="1">
        <v>3</v>
      </c>
      <c r="CN4" s="1">
        <v>4</v>
      </c>
      <c r="CO4" s="1">
        <v>4</v>
      </c>
      <c r="CP4" s="1">
        <v>3</v>
      </c>
      <c r="CU4" s="1">
        <v>1</v>
      </c>
    </row>
    <row r="5" spans="1:99" x14ac:dyDescent="0.35">
      <c r="A5" s="1" t="s">
        <v>2596</v>
      </c>
      <c r="B5" s="1">
        <v>171134004</v>
      </c>
      <c r="C5" s="1">
        <v>0</v>
      </c>
      <c r="D5" s="1">
        <v>1</v>
      </c>
      <c r="E5" s="1">
        <v>0</v>
      </c>
      <c r="F5" s="1">
        <v>0</v>
      </c>
      <c r="G5" s="1">
        <v>0</v>
      </c>
      <c r="H5" s="1">
        <v>0</v>
      </c>
      <c r="I5" s="1">
        <v>0</v>
      </c>
      <c r="J5" s="1">
        <v>1</v>
      </c>
      <c r="K5" s="1">
        <v>1</v>
      </c>
      <c r="L5" s="1">
        <v>0</v>
      </c>
      <c r="M5" s="1">
        <v>0</v>
      </c>
      <c r="N5" s="1">
        <v>0</v>
      </c>
      <c r="O5" s="1">
        <v>0</v>
      </c>
      <c r="P5" s="1">
        <v>70</v>
      </c>
      <c r="Q5" s="1">
        <v>10</v>
      </c>
      <c r="R5" s="1">
        <v>2</v>
      </c>
      <c r="S5" s="1">
        <v>1</v>
      </c>
      <c r="T5" s="1">
        <v>1</v>
      </c>
      <c r="U5" s="1">
        <v>4</v>
      </c>
      <c r="V5" s="1">
        <v>3</v>
      </c>
      <c r="W5" s="1">
        <v>3</v>
      </c>
      <c r="X5" s="1">
        <v>3</v>
      </c>
      <c r="Y5" s="1">
        <v>2</v>
      </c>
      <c r="Z5" s="1">
        <v>3</v>
      </c>
      <c r="AA5" s="1">
        <v>3</v>
      </c>
      <c r="AC5" s="1">
        <v>1</v>
      </c>
      <c r="AD5" s="1">
        <v>5</v>
      </c>
      <c r="AF5" s="3">
        <v>3500000</v>
      </c>
      <c r="AG5" s="1">
        <v>13</v>
      </c>
      <c r="AT5" s="1" t="s">
        <v>86</v>
      </c>
      <c r="BP5" s="1">
        <v>3</v>
      </c>
      <c r="BQ5" s="1" t="s">
        <v>2597</v>
      </c>
      <c r="BR5" s="1" t="s">
        <v>2598</v>
      </c>
      <c r="BS5" s="1" t="s">
        <v>2599</v>
      </c>
      <c r="BT5" s="1" t="s">
        <v>79</v>
      </c>
      <c r="BU5" s="1">
        <v>1</v>
      </c>
      <c r="BV5" s="1">
        <v>2</v>
      </c>
      <c r="BW5" s="1">
        <v>1</v>
      </c>
      <c r="BX5" s="1">
        <v>0</v>
      </c>
      <c r="BY5" s="1">
        <v>0</v>
      </c>
      <c r="BZ5" s="1">
        <v>0</v>
      </c>
      <c r="CA5" s="1">
        <v>0</v>
      </c>
      <c r="CB5" s="1">
        <v>0</v>
      </c>
      <c r="CC5" s="1">
        <v>0</v>
      </c>
      <c r="CD5" s="1">
        <v>0</v>
      </c>
      <c r="CE5" s="1">
        <v>0</v>
      </c>
      <c r="CF5" s="1">
        <v>0</v>
      </c>
      <c r="CG5" s="1">
        <v>0</v>
      </c>
      <c r="CH5" s="1">
        <v>0</v>
      </c>
      <c r="CI5" s="1">
        <v>0</v>
      </c>
      <c r="CJ5" s="1">
        <v>4</v>
      </c>
      <c r="CK5" s="1">
        <v>4</v>
      </c>
      <c r="CL5" s="1">
        <v>4</v>
      </c>
      <c r="CM5" s="1">
        <v>4</v>
      </c>
      <c r="CN5" s="1">
        <v>4</v>
      </c>
      <c r="CO5" s="1">
        <v>3</v>
      </c>
      <c r="CP5" s="1">
        <v>3</v>
      </c>
      <c r="CU5" s="1">
        <v>1</v>
      </c>
    </row>
    <row r="6" spans="1:99" x14ac:dyDescent="0.35">
      <c r="A6" s="1" t="s">
        <v>2600</v>
      </c>
      <c r="B6" s="1">
        <v>171134006</v>
      </c>
      <c r="S6" s="1">
        <v>1</v>
      </c>
      <c r="T6" s="1">
        <v>1</v>
      </c>
      <c r="U6" s="1">
        <v>3</v>
      </c>
      <c r="V6" s="1">
        <v>3</v>
      </c>
      <c r="W6" s="1">
        <v>4</v>
      </c>
      <c r="X6" s="1">
        <v>3</v>
      </c>
      <c r="Y6" s="1">
        <v>4</v>
      </c>
      <c r="Z6" s="1">
        <v>4</v>
      </c>
      <c r="AA6" s="1">
        <v>4</v>
      </c>
      <c r="AC6" s="1">
        <v>1</v>
      </c>
      <c r="AD6" s="1">
        <v>4</v>
      </c>
      <c r="AF6" s="3">
        <v>7000000</v>
      </c>
      <c r="AG6" s="1">
        <v>11</v>
      </c>
      <c r="AR6" s="1" t="s">
        <v>144</v>
      </c>
      <c r="BP6" s="1">
        <v>3</v>
      </c>
      <c r="BQ6" s="1" t="s">
        <v>2601</v>
      </c>
      <c r="BR6" s="1" t="s">
        <v>2602</v>
      </c>
      <c r="BS6" s="1" t="s">
        <v>2603</v>
      </c>
      <c r="BT6" s="1" t="s">
        <v>73</v>
      </c>
      <c r="BU6" s="1">
        <v>5</v>
      </c>
      <c r="BV6" s="1">
        <v>2</v>
      </c>
      <c r="BW6" s="1">
        <v>0</v>
      </c>
      <c r="BX6" s="1">
        <v>0</v>
      </c>
      <c r="BY6" s="1">
        <v>1</v>
      </c>
      <c r="BZ6" s="1">
        <v>1</v>
      </c>
      <c r="CA6" s="1">
        <v>0</v>
      </c>
      <c r="CB6" s="1">
        <v>1</v>
      </c>
      <c r="CC6" s="1">
        <v>0</v>
      </c>
      <c r="CD6" s="1">
        <v>1</v>
      </c>
      <c r="CE6" s="1">
        <v>0</v>
      </c>
      <c r="CF6" s="1">
        <v>0</v>
      </c>
      <c r="CG6" s="1">
        <v>0</v>
      </c>
      <c r="CH6" s="1">
        <v>0</v>
      </c>
      <c r="CI6" s="1" t="s">
        <v>2604</v>
      </c>
      <c r="CJ6" s="1">
        <v>4</v>
      </c>
      <c r="CK6" s="1">
        <v>4</v>
      </c>
      <c r="CL6" s="1">
        <v>4</v>
      </c>
      <c r="CM6" s="1">
        <v>4</v>
      </c>
      <c r="CN6" s="1">
        <v>4</v>
      </c>
      <c r="CO6" s="1">
        <v>4</v>
      </c>
      <c r="CP6" s="1">
        <v>4</v>
      </c>
      <c r="CU6" s="1">
        <v>1</v>
      </c>
    </row>
    <row r="7" spans="1:99" x14ac:dyDescent="0.35">
      <c r="A7" s="1" t="s">
        <v>2605</v>
      </c>
      <c r="B7" s="1">
        <v>171134007</v>
      </c>
      <c r="C7" s="1">
        <v>0</v>
      </c>
      <c r="D7" s="1">
        <v>0</v>
      </c>
      <c r="E7" s="1">
        <v>1</v>
      </c>
      <c r="F7" s="1">
        <v>0</v>
      </c>
      <c r="G7" s="1">
        <v>0</v>
      </c>
      <c r="H7" s="1">
        <v>0</v>
      </c>
      <c r="I7" s="1">
        <v>0</v>
      </c>
      <c r="J7" s="1">
        <v>0</v>
      </c>
      <c r="K7" s="1">
        <v>0</v>
      </c>
      <c r="L7" s="1">
        <v>0</v>
      </c>
      <c r="M7" s="1">
        <v>0</v>
      </c>
      <c r="N7" s="1">
        <v>0</v>
      </c>
      <c r="O7" s="1">
        <v>0</v>
      </c>
      <c r="P7" s="1">
        <v>2</v>
      </c>
      <c r="Q7" s="1">
        <v>2</v>
      </c>
      <c r="R7" s="1">
        <v>1</v>
      </c>
      <c r="S7" s="1">
        <v>1</v>
      </c>
      <c r="T7" s="1">
        <v>1</v>
      </c>
      <c r="U7" s="1">
        <v>2</v>
      </c>
      <c r="V7" s="1">
        <v>2</v>
      </c>
      <c r="W7" s="1">
        <v>3</v>
      </c>
      <c r="X7" s="1">
        <v>3</v>
      </c>
      <c r="Y7" s="1">
        <v>4</v>
      </c>
      <c r="Z7" s="1">
        <v>4</v>
      </c>
      <c r="AA7" s="1">
        <v>4</v>
      </c>
      <c r="AC7" s="1">
        <v>1</v>
      </c>
      <c r="AD7" s="1">
        <v>0</v>
      </c>
      <c r="AF7" s="3">
        <v>5000000</v>
      </c>
      <c r="AG7" s="1">
        <v>13</v>
      </c>
      <c r="AT7" s="1" t="s">
        <v>86</v>
      </c>
      <c r="BP7" s="1">
        <v>3</v>
      </c>
      <c r="BQ7" s="1" t="s">
        <v>2606</v>
      </c>
      <c r="BR7" s="1" t="s">
        <v>2607</v>
      </c>
      <c r="BS7" s="1" t="s">
        <v>2608</v>
      </c>
      <c r="BT7" s="1" t="s">
        <v>79</v>
      </c>
      <c r="BU7" s="1">
        <v>1</v>
      </c>
      <c r="BV7" s="1">
        <v>1</v>
      </c>
      <c r="BW7" s="1">
        <v>1</v>
      </c>
      <c r="BX7" s="1">
        <v>0</v>
      </c>
      <c r="BY7" s="1">
        <v>0</v>
      </c>
      <c r="BZ7" s="1">
        <v>0</v>
      </c>
      <c r="CA7" s="1">
        <v>0</v>
      </c>
      <c r="CB7" s="1">
        <v>0</v>
      </c>
      <c r="CC7" s="1">
        <v>0</v>
      </c>
      <c r="CD7" s="1">
        <v>0</v>
      </c>
      <c r="CE7" s="1">
        <v>0</v>
      </c>
      <c r="CF7" s="1">
        <v>0</v>
      </c>
      <c r="CG7" s="1">
        <v>0</v>
      </c>
      <c r="CH7" s="1">
        <v>0</v>
      </c>
      <c r="CI7" s="1">
        <v>0</v>
      </c>
      <c r="CJ7" s="1">
        <v>3</v>
      </c>
      <c r="CK7" s="1">
        <v>3</v>
      </c>
      <c r="CL7" s="1">
        <v>3</v>
      </c>
      <c r="CM7" s="1">
        <v>4</v>
      </c>
      <c r="CN7" s="1">
        <v>4</v>
      </c>
      <c r="CO7" s="1">
        <v>4</v>
      </c>
      <c r="CP7" s="1">
        <v>4</v>
      </c>
      <c r="CU7" s="1">
        <v>2</v>
      </c>
    </row>
    <row r="8" spans="1:99" x14ac:dyDescent="0.35">
      <c r="A8" s="1" t="s">
        <v>2609</v>
      </c>
      <c r="B8" s="1">
        <v>171134008</v>
      </c>
      <c r="C8" s="1">
        <v>0</v>
      </c>
      <c r="D8" s="1">
        <v>0</v>
      </c>
      <c r="E8" s="1">
        <v>0</v>
      </c>
      <c r="F8" s="1">
        <v>0</v>
      </c>
      <c r="G8" s="1">
        <v>0</v>
      </c>
      <c r="H8" s="1">
        <v>0</v>
      </c>
      <c r="I8" s="1">
        <v>0</v>
      </c>
      <c r="J8" s="1">
        <v>0</v>
      </c>
      <c r="K8" s="1">
        <v>1</v>
      </c>
      <c r="L8" s="1">
        <v>0</v>
      </c>
      <c r="M8" s="1">
        <v>0</v>
      </c>
      <c r="N8" s="1">
        <v>0</v>
      </c>
      <c r="O8" s="1">
        <v>0</v>
      </c>
      <c r="P8" s="1">
        <v>3</v>
      </c>
      <c r="Q8" s="1">
        <v>2</v>
      </c>
      <c r="R8" s="1">
        <v>1</v>
      </c>
      <c r="S8" s="1">
        <v>1</v>
      </c>
      <c r="T8" s="1">
        <v>1</v>
      </c>
      <c r="U8" s="1">
        <v>3</v>
      </c>
      <c r="V8" s="1">
        <v>3</v>
      </c>
      <c r="W8" s="1">
        <v>2</v>
      </c>
      <c r="X8" s="1">
        <v>3</v>
      </c>
      <c r="Y8" s="1">
        <v>3</v>
      </c>
      <c r="Z8" s="1">
        <v>4</v>
      </c>
      <c r="AA8" s="1">
        <v>3</v>
      </c>
      <c r="AC8" s="1">
        <v>1</v>
      </c>
      <c r="AD8" s="1">
        <v>2</v>
      </c>
      <c r="AF8" s="3">
        <v>4400000</v>
      </c>
      <c r="AG8" s="1">
        <v>13</v>
      </c>
      <c r="AT8" s="1" t="s">
        <v>427</v>
      </c>
      <c r="BP8" s="1">
        <v>3</v>
      </c>
      <c r="BQ8" s="1" t="s">
        <v>2610</v>
      </c>
      <c r="BR8" s="1" t="s">
        <v>2611</v>
      </c>
      <c r="BS8" s="1" t="s">
        <v>2612</v>
      </c>
      <c r="BT8" s="1" t="s">
        <v>79</v>
      </c>
      <c r="BU8" s="1">
        <v>1</v>
      </c>
      <c r="BV8" s="1">
        <v>3</v>
      </c>
      <c r="BW8" s="1">
        <v>1</v>
      </c>
      <c r="BX8" s="1">
        <v>1</v>
      </c>
      <c r="BY8" s="1">
        <v>0</v>
      </c>
      <c r="BZ8" s="1">
        <v>0</v>
      </c>
      <c r="CA8" s="1">
        <v>0</v>
      </c>
      <c r="CB8" s="1">
        <v>0</v>
      </c>
      <c r="CC8" s="1">
        <v>0</v>
      </c>
      <c r="CD8" s="1">
        <v>0</v>
      </c>
      <c r="CE8" s="1">
        <v>0</v>
      </c>
      <c r="CF8" s="1">
        <v>0</v>
      </c>
      <c r="CG8" s="1">
        <v>0</v>
      </c>
      <c r="CH8" s="1">
        <v>0</v>
      </c>
      <c r="CI8" s="1">
        <v>0</v>
      </c>
      <c r="CJ8" s="1">
        <v>4</v>
      </c>
      <c r="CK8" s="1">
        <v>4</v>
      </c>
      <c r="CL8" s="1">
        <v>4</v>
      </c>
      <c r="CM8" s="1">
        <v>4</v>
      </c>
      <c r="CN8" s="1">
        <v>4</v>
      </c>
      <c r="CO8" s="1">
        <v>4</v>
      </c>
      <c r="CP8" s="1">
        <v>4</v>
      </c>
      <c r="CU8" s="1">
        <v>1</v>
      </c>
    </row>
    <row r="9" spans="1:99" x14ac:dyDescent="0.35">
      <c r="A9" s="1" t="s">
        <v>2613</v>
      </c>
      <c r="B9" s="1">
        <v>171134009</v>
      </c>
      <c r="C9" s="1">
        <v>1</v>
      </c>
      <c r="D9" s="1">
        <v>1</v>
      </c>
      <c r="E9" s="1">
        <v>1</v>
      </c>
      <c r="F9" s="1">
        <v>0</v>
      </c>
      <c r="G9" s="1">
        <v>0</v>
      </c>
      <c r="H9" s="1">
        <v>1</v>
      </c>
      <c r="I9" s="1">
        <v>0</v>
      </c>
      <c r="J9" s="1">
        <v>1</v>
      </c>
      <c r="K9" s="1">
        <v>1</v>
      </c>
      <c r="L9" s="1">
        <v>0</v>
      </c>
      <c r="M9" s="1">
        <v>0</v>
      </c>
      <c r="N9" s="1">
        <v>0</v>
      </c>
      <c r="O9" s="1">
        <v>0</v>
      </c>
      <c r="P9" s="1" t="s">
        <v>504</v>
      </c>
      <c r="Q9" s="1">
        <v>8</v>
      </c>
      <c r="R9" s="1">
        <v>8</v>
      </c>
      <c r="S9" s="1">
        <v>1</v>
      </c>
      <c r="T9" s="1">
        <v>1</v>
      </c>
      <c r="U9" s="1">
        <v>4</v>
      </c>
      <c r="V9" s="1">
        <v>4</v>
      </c>
      <c r="W9" s="1">
        <v>3</v>
      </c>
      <c r="X9" s="1">
        <v>4</v>
      </c>
      <c r="Y9" s="1">
        <v>4</v>
      </c>
      <c r="Z9" s="1">
        <v>4</v>
      </c>
      <c r="AA9" s="1">
        <v>4</v>
      </c>
      <c r="AC9" s="1">
        <v>2</v>
      </c>
      <c r="AE9" s="1">
        <v>2</v>
      </c>
      <c r="AF9" s="3">
        <v>7000000</v>
      </c>
      <c r="AG9" s="1">
        <v>11</v>
      </c>
      <c r="AR9" s="1" t="s">
        <v>130</v>
      </c>
      <c r="BP9" s="1">
        <v>1</v>
      </c>
      <c r="BQ9" s="1" t="s">
        <v>2614</v>
      </c>
      <c r="BR9" s="1" t="s">
        <v>2615</v>
      </c>
      <c r="BS9" s="1" t="s">
        <v>2616</v>
      </c>
      <c r="BT9" s="1" t="s">
        <v>79</v>
      </c>
      <c r="BU9" s="1">
        <v>1</v>
      </c>
      <c r="BV9" s="1">
        <v>2</v>
      </c>
      <c r="BW9" s="1">
        <v>1</v>
      </c>
      <c r="BX9" s="1">
        <v>0</v>
      </c>
      <c r="BY9" s="1">
        <v>0</v>
      </c>
      <c r="BZ9" s="1">
        <v>0</v>
      </c>
      <c r="CA9" s="1">
        <v>0</v>
      </c>
      <c r="CB9" s="1">
        <v>0</v>
      </c>
      <c r="CC9" s="1">
        <v>0</v>
      </c>
      <c r="CD9" s="1">
        <v>0</v>
      </c>
      <c r="CE9" s="1">
        <v>0</v>
      </c>
      <c r="CF9" s="1">
        <v>0</v>
      </c>
      <c r="CG9" s="1">
        <v>0</v>
      </c>
      <c r="CH9" s="1">
        <v>0</v>
      </c>
      <c r="CI9" s="1">
        <v>0</v>
      </c>
      <c r="CJ9" s="1">
        <v>4</v>
      </c>
      <c r="CK9" s="1">
        <v>4</v>
      </c>
      <c r="CL9" s="1">
        <v>4</v>
      </c>
      <c r="CM9" s="1">
        <v>4</v>
      </c>
      <c r="CN9" s="1">
        <v>4</v>
      </c>
      <c r="CO9" s="1">
        <v>4</v>
      </c>
      <c r="CP9" s="1">
        <v>4</v>
      </c>
      <c r="CU9" s="1">
        <v>4</v>
      </c>
    </row>
    <row r="10" spans="1:99" x14ac:dyDescent="0.35">
      <c r="A10" s="1" t="s">
        <v>2617</v>
      </c>
      <c r="B10" s="1">
        <v>171134010</v>
      </c>
      <c r="C10" s="1">
        <v>0</v>
      </c>
      <c r="D10" s="1">
        <v>0</v>
      </c>
      <c r="E10" s="1">
        <v>0</v>
      </c>
      <c r="F10" s="1">
        <v>0</v>
      </c>
      <c r="G10" s="1">
        <v>0</v>
      </c>
      <c r="H10" s="1">
        <v>0</v>
      </c>
      <c r="I10" s="1">
        <v>1</v>
      </c>
      <c r="J10" s="1">
        <v>0</v>
      </c>
      <c r="K10" s="1">
        <v>0</v>
      </c>
      <c r="L10" s="1">
        <v>0</v>
      </c>
      <c r="M10" s="1">
        <v>0</v>
      </c>
      <c r="N10" s="1">
        <v>0</v>
      </c>
      <c r="O10" s="1">
        <v>0</v>
      </c>
      <c r="P10" s="1">
        <v>10</v>
      </c>
      <c r="Q10" s="1">
        <v>8</v>
      </c>
      <c r="R10" s="1">
        <v>5</v>
      </c>
      <c r="S10" s="1">
        <v>1</v>
      </c>
      <c r="T10" s="1">
        <v>3</v>
      </c>
      <c r="U10" s="1">
        <v>4</v>
      </c>
      <c r="V10" s="1">
        <v>3</v>
      </c>
      <c r="W10" s="1">
        <v>4</v>
      </c>
      <c r="X10" s="1">
        <v>4</v>
      </c>
      <c r="Y10" s="1">
        <v>4</v>
      </c>
      <c r="Z10" s="1">
        <v>4</v>
      </c>
      <c r="AA10" s="1">
        <v>3</v>
      </c>
      <c r="AC10" s="1">
        <v>1</v>
      </c>
      <c r="AD10" s="1">
        <v>1</v>
      </c>
      <c r="AF10" s="3">
        <v>8000000</v>
      </c>
      <c r="AG10" s="1">
        <v>19</v>
      </c>
      <c r="AZ10" s="1" t="s">
        <v>2618</v>
      </c>
      <c r="BP10" s="1">
        <v>3</v>
      </c>
      <c r="BQ10" s="1" t="s">
        <v>2619</v>
      </c>
      <c r="BR10" s="1" t="s">
        <v>2620</v>
      </c>
      <c r="BS10" s="1" t="s">
        <v>2621</v>
      </c>
      <c r="BT10" s="1" t="s">
        <v>79</v>
      </c>
      <c r="BU10" s="1">
        <v>2</v>
      </c>
      <c r="BV10" s="1">
        <v>2</v>
      </c>
      <c r="BW10" s="1">
        <v>1</v>
      </c>
      <c r="BX10" s="1">
        <v>0</v>
      </c>
      <c r="BY10" s="1">
        <v>1</v>
      </c>
      <c r="BZ10" s="1">
        <v>0</v>
      </c>
      <c r="CA10" s="1">
        <v>0</v>
      </c>
      <c r="CB10" s="1">
        <v>0</v>
      </c>
      <c r="CC10" s="1">
        <v>0</v>
      </c>
      <c r="CD10" s="1">
        <v>0</v>
      </c>
      <c r="CE10" s="1">
        <v>0</v>
      </c>
      <c r="CF10" s="1">
        <v>0</v>
      </c>
      <c r="CG10" s="1">
        <v>0</v>
      </c>
      <c r="CH10" s="1">
        <v>0</v>
      </c>
      <c r="CI10" s="1">
        <v>0</v>
      </c>
      <c r="CJ10" s="1">
        <v>4</v>
      </c>
      <c r="CK10" s="1">
        <v>4</v>
      </c>
      <c r="CL10" s="1">
        <v>4</v>
      </c>
      <c r="CM10" s="1">
        <v>4</v>
      </c>
      <c r="CN10" s="1">
        <v>4</v>
      </c>
      <c r="CO10" s="1">
        <v>4</v>
      </c>
      <c r="CP10" s="1">
        <v>4</v>
      </c>
      <c r="CU10" s="1">
        <v>2</v>
      </c>
    </row>
    <row r="11" spans="1:99" x14ac:dyDescent="0.35">
      <c r="A11" s="1" t="s">
        <v>2622</v>
      </c>
      <c r="B11" s="1">
        <v>171134012</v>
      </c>
      <c r="C11" s="1">
        <v>0</v>
      </c>
      <c r="D11" s="1">
        <v>1</v>
      </c>
      <c r="E11" s="1">
        <v>0</v>
      </c>
      <c r="F11" s="1">
        <v>0</v>
      </c>
      <c r="G11" s="1">
        <v>0</v>
      </c>
      <c r="H11" s="1">
        <v>0</v>
      </c>
      <c r="I11" s="1">
        <v>0</v>
      </c>
      <c r="J11" s="1">
        <v>0</v>
      </c>
      <c r="K11" s="1">
        <v>0</v>
      </c>
      <c r="L11" s="1">
        <v>0</v>
      </c>
      <c r="M11" s="1">
        <v>0</v>
      </c>
      <c r="N11" s="1">
        <v>0</v>
      </c>
      <c r="O11" s="1">
        <v>0</v>
      </c>
      <c r="P11" s="1">
        <v>20</v>
      </c>
      <c r="Q11" s="1">
        <v>10</v>
      </c>
      <c r="R11" s="1">
        <v>6</v>
      </c>
      <c r="S11" s="1">
        <v>1</v>
      </c>
      <c r="T11" s="1">
        <v>3</v>
      </c>
      <c r="U11" s="1">
        <v>4</v>
      </c>
      <c r="V11" s="1">
        <v>4</v>
      </c>
      <c r="W11" s="1">
        <v>4</v>
      </c>
      <c r="X11" s="1">
        <v>4</v>
      </c>
      <c r="Y11" s="1">
        <v>4</v>
      </c>
      <c r="Z11" s="1">
        <v>4</v>
      </c>
      <c r="AA11" s="1">
        <v>4</v>
      </c>
      <c r="AC11" s="1">
        <v>1</v>
      </c>
      <c r="AD11" s="1">
        <v>0</v>
      </c>
      <c r="AF11" s="3">
        <v>10000000</v>
      </c>
      <c r="AG11" s="1">
        <v>16</v>
      </c>
      <c r="AW11" s="1" t="s">
        <v>2623</v>
      </c>
      <c r="BP11" s="1">
        <v>4</v>
      </c>
      <c r="BQ11" s="1" t="s">
        <v>2624</v>
      </c>
      <c r="BS11" s="1" t="s">
        <v>2625</v>
      </c>
      <c r="BT11" s="1" t="s">
        <v>107</v>
      </c>
      <c r="BU11" s="1">
        <v>1</v>
      </c>
      <c r="BV11" s="1">
        <v>1</v>
      </c>
      <c r="BW11" s="1">
        <v>1</v>
      </c>
      <c r="BX11" s="1">
        <v>0</v>
      </c>
      <c r="BY11" s="1">
        <v>0</v>
      </c>
      <c r="BZ11" s="1">
        <v>0</v>
      </c>
      <c r="CA11" s="1">
        <v>0</v>
      </c>
      <c r="CB11" s="1">
        <v>0</v>
      </c>
      <c r="CC11" s="1">
        <v>0</v>
      </c>
      <c r="CD11" s="1">
        <v>0</v>
      </c>
      <c r="CE11" s="1">
        <v>0</v>
      </c>
      <c r="CF11" s="1">
        <v>0</v>
      </c>
      <c r="CG11" s="1">
        <v>0</v>
      </c>
      <c r="CH11" s="1">
        <v>0</v>
      </c>
      <c r="CI11" s="1">
        <v>0</v>
      </c>
      <c r="CJ11" s="1">
        <v>4</v>
      </c>
      <c r="CK11" s="1">
        <v>4</v>
      </c>
      <c r="CL11" s="1">
        <v>4</v>
      </c>
      <c r="CM11" s="1">
        <v>4</v>
      </c>
      <c r="CN11" s="1">
        <v>4</v>
      </c>
      <c r="CO11" s="1">
        <v>4</v>
      </c>
      <c r="CP11" s="1">
        <v>4</v>
      </c>
      <c r="CU11" s="1">
        <v>3</v>
      </c>
    </row>
    <row r="12" spans="1:99" x14ac:dyDescent="0.35">
      <c r="A12" s="1" t="s">
        <v>2626</v>
      </c>
      <c r="B12" s="1">
        <v>171134014</v>
      </c>
      <c r="C12" s="1">
        <v>0</v>
      </c>
      <c r="D12" s="1">
        <v>1</v>
      </c>
      <c r="E12" s="1">
        <v>0</v>
      </c>
      <c r="F12" s="1">
        <v>0</v>
      </c>
      <c r="G12" s="1">
        <v>0</v>
      </c>
      <c r="H12" s="1">
        <v>0</v>
      </c>
      <c r="I12" s="1">
        <v>0</v>
      </c>
      <c r="J12" s="1">
        <v>1</v>
      </c>
      <c r="K12" s="1">
        <v>1</v>
      </c>
      <c r="L12" s="1">
        <v>0</v>
      </c>
      <c r="M12" s="1">
        <v>1</v>
      </c>
      <c r="N12" s="1">
        <v>0</v>
      </c>
      <c r="O12" s="1">
        <v>0</v>
      </c>
      <c r="P12" s="1" t="s">
        <v>2627</v>
      </c>
      <c r="Q12" s="1" t="s">
        <v>2628</v>
      </c>
      <c r="R12" s="1" t="s">
        <v>2629</v>
      </c>
      <c r="S12" s="1">
        <v>1</v>
      </c>
      <c r="T12" s="1">
        <v>1</v>
      </c>
      <c r="U12" s="1">
        <v>3</v>
      </c>
      <c r="V12" s="1">
        <v>3</v>
      </c>
      <c r="W12" s="1">
        <v>3</v>
      </c>
      <c r="X12" s="1">
        <v>3</v>
      </c>
      <c r="Y12" s="1">
        <v>4</v>
      </c>
      <c r="Z12" s="1">
        <v>4</v>
      </c>
      <c r="AA12" s="1">
        <v>4</v>
      </c>
      <c r="AC12" s="1">
        <v>1</v>
      </c>
      <c r="AD12" s="1">
        <v>0</v>
      </c>
      <c r="AF12" s="3">
        <v>4700000</v>
      </c>
      <c r="AG12" s="1">
        <v>11</v>
      </c>
      <c r="AR12" s="1" t="s">
        <v>239</v>
      </c>
      <c r="BP12" s="1">
        <v>6</v>
      </c>
      <c r="BQ12" s="1" t="s">
        <v>2630</v>
      </c>
      <c r="BR12" s="1" t="s">
        <v>2631</v>
      </c>
      <c r="BS12" s="1" t="s">
        <v>2632</v>
      </c>
      <c r="BT12" s="1" t="s">
        <v>79</v>
      </c>
      <c r="BU12" s="1">
        <v>1</v>
      </c>
      <c r="BV12" s="1">
        <v>2</v>
      </c>
      <c r="BW12" s="1">
        <v>1</v>
      </c>
      <c r="BX12" s="1">
        <v>0</v>
      </c>
      <c r="BY12" s="1">
        <v>0</v>
      </c>
      <c r="BZ12" s="1">
        <v>0</v>
      </c>
      <c r="CA12" s="1">
        <v>0</v>
      </c>
      <c r="CB12" s="1">
        <v>0</v>
      </c>
      <c r="CC12" s="1">
        <v>0</v>
      </c>
      <c r="CD12" s="1">
        <v>0</v>
      </c>
      <c r="CE12" s="1">
        <v>0</v>
      </c>
      <c r="CF12" s="1">
        <v>0</v>
      </c>
      <c r="CG12" s="1">
        <v>0</v>
      </c>
      <c r="CH12" s="1">
        <v>0</v>
      </c>
      <c r="CI12" s="1">
        <v>0</v>
      </c>
      <c r="CJ12" s="1">
        <v>4</v>
      </c>
      <c r="CK12" s="1">
        <v>3</v>
      </c>
      <c r="CL12" s="1">
        <v>3</v>
      </c>
      <c r="CM12" s="1">
        <v>3</v>
      </c>
      <c r="CN12" s="1">
        <v>4</v>
      </c>
      <c r="CO12" s="1">
        <v>4</v>
      </c>
      <c r="CP12" s="1">
        <v>4</v>
      </c>
      <c r="CU12" s="1">
        <v>3</v>
      </c>
    </row>
    <row r="13" spans="1:99" x14ac:dyDescent="0.35">
      <c r="A13" s="1" t="s">
        <v>2633</v>
      </c>
      <c r="B13" s="1">
        <v>171134015</v>
      </c>
      <c r="C13" s="1">
        <v>0</v>
      </c>
      <c r="D13" s="1">
        <v>1</v>
      </c>
      <c r="E13" s="1">
        <v>1</v>
      </c>
      <c r="F13" s="1">
        <v>0</v>
      </c>
      <c r="G13" s="1">
        <v>0</v>
      </c>
      <c r="H13" s="1">
        <v>0</v>
      </c>
      <c r="I13" s="1">
        <v>0</v>
      </c>
      <c r="J13" s="1">
        <v>0</v>
      </c>
      <c r="K13" s="1">
        <v>1</v>
      </c>
      <c r="L13" s="1">
        <v>0</v>
      </c>
      <c r="M13" s="1">
        <v>0</v>
      </c>
      <c r="N13" s="1">
        <v>0</v>
      </c>
      <c r="O13" s="1">
        <v>0</v>
      </c>
      <c r="P13" s="1">
        <v>5</v>
      </c>
      <c r="Q13" s="1">
        <v>2</v>
      </c>
      <c r="R13" s="1">
        <v>2</v>
      </c>
      <c r="S13" s="1">
        <v>1</v>
      </c>
      <c r="T13" s="1">
        <v>1</v>
      </c>
      <c r="U13" s="1">
        <v>3</v>
      </c>
      <c r="V13" s="1">
        <v>3</v>
      </c>
      <c r="W13" s="1">
        <v>1</v>
      </c>
      <c r="X13" s="1">
        <v>2</v>
      </c>
      <c r="Y13" s="1">
        <v>2</v>
      </c>
      <c r="Z13" s="1">
        <v>3</v>
      </c>
      <c r="AA13" s="1">
        <v>3</v>
      </c>
      <c r="AC13" s="1">
        <v>1</v>
      </c>
      <c r="AD13" s="1">
        <v>2</v>
      </c>
      <c r="AF13" s="3">
        <v>4500000</v>
      </c>
      <c r="AG13" s="1">
        <v>2</v>
      </c>
      <c r="AI13" s="1">
        <v>2</v>
      </c>
      <c r="BP13" s="1">
        <v>6</v>
      </c>
      <c r="BQ13" s="1" t="s">
        <v>2634</v>
      </c>
      <c r="BR13" s="1" t="s">
        <v>2635</v>
      </c>
      <c r="BS13" s="1" t="s">
        <v>2636</v>
      </c>
      <c r="BT13" s="1" t="s">
        <v>79</v>
      </c>
      <c r="BU13" s="1">
        <v>1</v>
      </c>
      <c r="BV13" s="1">
        <v>2</v>
      </c>
      <c r="BW13" s="1">
        <v>1</v>
      </c>
      <c r="BX13" s="1">
        <v>0</v>
      </c>
      <c r="BY13" s="1">
        <v>0</v>
      </c>
      <c r="BZ13" s="1">
        <v>0</v>
      </c>
      <c r="CA13" s="1">
        <v>0</v>
      </c>
      <c r="CB13" s="1">
        <v>0</v>
      </c>
      <c r="CC13" s="1">
        <v>0</v>
      </c>
      <c r="CD13" s="1">
        <v>0</v>
      </c>
      <c r="CE13" s="1">
        <v>0</v>
      </c>
      <c r="CF13" s="1">
        <v>0</v>
      </c>
      <c r="CG13" s="1">
        <v>0</v>
      </c>
      <c r="CH13" s="1">
        <v>0</v>
      </c>
      <c r="CI13" s="1">
        <v>0</v>
      </c>
      <c r="CJ13" s="1">
        <v>3</v>
      </c>
      <c r="CK13" s="1">
        <v>4</v>
      </c>
      <c r="CL13" s="1">
        <v>1</v>
      </c>
      <c r="CM13" s="1">
        <v>3</v>
      </c>
      <c r="CN13" s="1">
        <v>4</v>
      </c>
      <c r="CO13" s="1">
        <v>4</v>
      </c>
      <c r="CP13" s="1">
        <v>4</v>
      </c>
      <c r="CU13" s="1">
        <v>1</v>
      </c>
    </row>
    <row r="14" spans="1:99" x14ac:dyDescent="0.35">
      <c r="A14" s="1" t="s">
        <v>2637</v>
      </c>
      <c r="B14" s="1">
        <v>171134016</v>
      </c>
      <c r="C14" s="1">
        <v>0</v>
      </c>
      <c r="D14" s="1">
        <v>1</v>
      </c>
      <c r="E14" s="1">
        <v>1</v>
      </c>
      <c r="F14" s="1">
        <v>0</v>
      </c>
      <c r="G14" s="1">
        <v>1</v>
      </c>
      <c r="H14" s="1">
        <v>0</v>
      </c>
      <c r="I14" s="1">
        <v>1</v>
      </c>
      <c r="J14" s="1">
        <v>1</v>
      </c>
      <c r="K14" s="1">
        <v>1</v>
      </c>
      <c r="L14" s="1">
        <v>0</v>
      </c>
      <c r="M14" s="1">
        <v>0</v>
      </c>
      <c r="N14" s="1">
        <v>0</v>
      </c>
      <c r="O14" s="1">
        <v>0</v>
      </c>
      <c r="P14" s="1">
        <v>5</v>
      </c>
      <c r="Q14" s="1">
        <v>4</v>
      </c>
      <c r="R14" s="1">
        <v>4</v>
      </c>
      <c r="S14" s="1">
        <v>1</v>
      </c>
      <c r="T14" s="1">
        <v>1</v>
      </c>
      <c r="U14" s="1">
        <v>4</v>
      </c>
      <c r="V14" s="1">
        <v>4</v>
      </c>
      <c r="W14" s="1">
        <v>3</v>
      </c>
      <c r="X14" s="1">
        <v>4</v>
      </c>
      <c r="Y14" s="1">
        <v>4</v>
      </c>
      <c r="Z14" s="1">
        <v>4</v>
      </c>
      <c r="AA14" s="1">
        <v>4</v>
      </c>
      <c r="AC14" s="1">
        <v>1</v>
      </c>
      <c r="AD14" s="1">
        <v>0</v>
      </c>
      <c r="AF14" s="3">
        <v>5000000</v>
      </c>
      <c r="AG14" s="1">
        <v>16</v>
      </c>
      <c r="AW14" s="1" t="s">
        <v>2638</v>
      </c>
      <c r="BP14" s="1">
        <v>6</v>
      </c>
      <c r="BQ14" s="1" t="s">
        <v>2639</v>
      </c>
      <c r="BR14" s="1" t="s">
        <v>2640</v>
      </c>
      <c r="BS14" s="1" t="s">
        <v>2641</v>
      </c>
      <c r="BT14" s="1" t="s">
        <v>73</v>
      </c>
      <c r="BU14" s="1">
        <v>1</v>
      </c>
      <c r="BV14" s="1">
        <v>1</v>
      </c>
      <c r="BW14" s="1">
        <v>1</v>
      </c>
      <c r="BX14" s="1">
        <v>0</v>
      </c>
      <c r="BY14" s="1">
        <v>0</v>
      </c>
      <c r="BZ14" s="1">
        <v>0</v>
      </c>
      <c r="CA14" s="1">
        <v>0</v>
      </c>
      <c r="CB14" s="1">
        <v>0</v>
      </c>
      <c r="CC14" s="1">
        <v>0</v>
      </c>
      <c r="CD14" s="1">
        <v>0</v>
      </c>
      <c r="CE14" s="1">
        <v>0</v>
      </c>
      <c r="CF14" s="1">
        <v>0</v>
      </c>
      <c r="CG14" s="1">
        <v>0</v>
      </c>
      <c r="CH14" s="1">
        <v>0</v>
      </c>
      <c r="CI14" s="1">
        <v>0</v>
      </c>
      <c r="CJ14" s="1">
        <v>4</v>
      </c>
      <c r="CK14" s="1">
        <v>4</v>
      </c>
      <c r="CL14" s="1">
        <v>4</v>
      </c>
      <c r="CM14" s="1">
        <v>4</v>
      </c>
      <c r="CN14" s="1">
        <v>4</v>
      </c>
      <c r="CO14" s="1">
        <v>4</v>
      </c>
      <c r="CP14" s="1">
        <v>4</v>
      </c>
      <c r="CU14" s="1">
        <v>1</v>
      </c>
    </row>
    <row r="15" spans="1:99" x14ac:dyDescent="0.35">
      <c r="A15" s="1" t="s">
        <v>2642</v>
      </c>
      <c r="B15" s="1">
        <v>171134018</v>
      </c>
      <c r="C15" s="1">
        <v>0</v>
      </c>
      <c r="D15" s="1">
        <v>1</v>
      </c>
      <c r="E15" s="1">
        <v>0</v>
      </c>
      <c r="F15" s="1">
        <v>0</v>
      </c>
      <c r="G15" s="1">
        <v>0</v>
      </c>
      <c r="H15" s="1">
        <v>0</v>
      </c>
      <c r="I15" s="1">
        <v>0</v>
      </c>
      <c r="J15" s="1">
        <v>1</v>
      </c>
      <c r="K15" s="1">
        <v>1</v>
      </c>
      <c r="L15" s="1">
        <v>0</v>
      </c>
      <c r="M15" s="1">
        <v>0</v>
      </c>
      <c r="N15" s="1">
        <v>0</v>
      </c>
      <c r="O15" s="1">
        <v>0</v>
      </c>
      <c r="P15" s="1">
        <v>10</v>
      </c>
      <c r="Q15" s="1">
        <v>3</v>
      </c>
      <c r="R15" s="1">
        <v>2</v>
      </c>
      <c r="S15" s="1">
        <v>1</v>
      </c>
      <c r="T15" s="1">
        <v>1</v>
      </c>
      <c r="U15" s="1">
        <v>3</v>
      </c>
      <c r="V15" s="1">
        <v>3</v>
      </c>
      <c r="W15" s="1">
        <v>2</v>
      </c>
      <c r="X15" s="1">
        <v>4</v>
      </c>
      <c r="Y15" s="1">
        <v>4</v>
      </c>
      <c r="Z15" s="1">
        <v>3</v>
      </c>
      <c r="AA15" s="1">
        <v>4</v>
      </c>
      <c r="AC15" s="1">
        <v>1</v>
      </c>
      <c r="AD15" s="1">
        <v>1</v>
      </c>
      <c r="AF15" s="3">
        <v>3500000</v>
      </c>
      <c r="AG15" s="1">
        <v>13</v>
      </c>
      <c r="AT15" s="1" t="s">
        <v>86</v>
      </c>
      <c r="BP15" s="1">
        <v>3</v>
      </c>
      <c r="BQ15" s="1" t="s">
        <v>2643</v>
      </c>
      <c r="BR15" s="1" t="s">
        <v>2644</v>
      </c>
      <c r="BS15" s="1" t="s">
        <v>2645</v>
      </c>
      <c r="BT15" s="1" t="s">
        <v>107</v>
      </c>
      <c r="BU15" s="1">
        <v>1</v>
      </c>
      <c r="BV15" s="1">
        <v>2</v>
      </c>
      <c r="BW15" s="1">
        <v>1</v>
      </c>
      <c r="BX15" s="1">
        <v>0</v>
      </c>
      <c r="BY15" s="1">
        <v>0</v>
      </c>
      <c r="BZ15" s="1">
        <v>0</v>
      </c>
      <c r="CA15" s="1">
        <v>0</v>
      </c>
      <c r="CB15" s="1">
        <v>0</v>
      </c>
      <c r="CC15" s="1">
        <v>0</v>
      </c>
      <c r="CD15" s="1">
        <v>0</v>
      </c>
      <c r="CE15" s="1">
        <v>0</v>
      </c>
      <c r="CF15" s="1">
        <v>0</v>
      </c>
      <c r="CG15" s="1">
        <v>0</v>
      </c>
      <c r="CH15" s="1">
        <v>0</v>
      </c>
      <c r="CI15" s="1">
        <v>0</v>
      </c>
      <c r="CJ15" s="1">
        <v>3</v>
      </c>
      <c r="CK15" s="1">
        <v>4</v>
      </c>
      <c r="CL15" s="1">
        <v>2</v>
      </c>
      <c r="CM15" s="1">
        <v>3</v>
      </c>
      <c r="CN15" s="1">
        <v>4</v>
      </c>
      <c r="CO15" s="1">
        <v>4</v>
      </c>
      <c r="CP15" s="1">
        <v>4</v>
      </c>
      <c r="CU15" s="1">
        <v>1</v>
      </c>
    </row>
    <row r="16" spans="1:99" x14ac:dyDescent="0.35">
      <c r="A16" s="1" t="s">
        <v>2646</v>
      </c>
      <c r="B16" s="1">
        <v>171134021</v>
      </c>
      <c r="C16" s="1">
        <v>0</v>
      </c>
      <c r="D16" s="1">
        <v>1</v>
      </c>
      <c r="E16" s="1">
        <v>0</v>
      </c>
      <c r="F16" s="1">
        <v>0</v>
      </c>
      <c r="G16" s="1">
        <v>0</v>
      </c>
      <c r="H16" s="1">
        <v>0</v>
      </c>
      <c r="I16" s="1">
        <v>0</v>
      </c>
      <c r="J16" s="1">
        <v>0</v>
      </c>
      <c r="K16" s="1">
        <v>0</v>
      </c>
      <c r="L16" s="1">
        <v>0</v>
      </c>
      <c r="M16" s="1">
        <v>1</v>
      </c>
      <c r="N16" s="1">
        <v>0</v>
      </c>
      <c r="O16" s="1">
        <v>0</v>
      </c>
      <c r="P16" s="1" t="s">
        <v>399</v>
      </c>
      <c r="Q16" s="1" t="s">
        <v>124</v>
      </c>
      <c r="R16" s="1">
        <v>1</v>
      </c>
      <c r="S16" s="1">
        <v>1</v>
      </c>
      <c r="T16" s="1">
        <v>6</v>
      </c>
      <c r="U16" s="1">
        <v>3</v>
      </c>
      <c r="V16" s="1">
        <v>2</v>
      </c>
      <c r="W16" s="1">
        <v>2</v>
      </c>
      <c r="X16" s="1">
        <v>3</v>
      </c>
      <c r="Y16" s="1">
        <v>3</v>
      </c>
      <c r="Z16" s="1">
        <v>3</v>
      </c>
      <c r="AA16" s="1">
        <v>3</v>
      </c>
      <c r="AC16" s="1">
        <v>2</v>
      </c>
      <c r="AE16" s="1">
        <v>5</v>
      </c>
      <c r="AF16" s="3">
        <v>4000000</v>
      </c>
      <c r="AG16" s="1">
        <v>13</v>
      </c>
      <c r="AT16" s="1" t="s">
        <v>86</v>
      </c>
      <c r="BP16" s="1">
        <v>3</v>
      </c>
      <c r="BQ16" s="1" t="s">
        <v>2647</v>
      </c>
      <c r="BR16" s="1" t="s">
        <v>2648</v>
      </c>
      <c r="BS16" s="1" t="s">
        <v>2649</v>
      </c>
      <c r="BT16" s="1" t="s">
        <v>107</v>
      </c>
      <c r="BU16" s="1">
        <v>1</v>
      </c>
      <c r="BV16" s="1">
        <v>2</v>
      </c>
      <c r="BW16" s="1">
        <v>1</v>
      </c>
      <c r="BX16" s="1">
        <v>0</v>
      </c>
      <c r="BY16" s="1">
        <v>0</v>
      </c>
      <c r="BZ16" s="1">
        <v>0</v>
      </c>
      <c r="CA16" s="1">
        <v>0</v>
      </c>
      <c r="CB16" s="1">
        <v>0</v>
      </c>
      <c r="CC16" s="1">
        <v>0</v>
      </c>
      <c r="CD16" s="1">
        <v>0</v>
      </c>
      <c r="CE16" s="1">
        <v>0</v>
      </c>
      <c r="CF16" s="1">
        <v>0</v>
      </c>
      <c r="CG16" s="1">
        <v>0</v>
      </c>
      <c r="CH16" s="1">
        <v>0</v>
      </c>
      <c r="CI16" s="1">
        <v>0</v>
      </c>
      <c r="CJ16" s="1">
        <v>4</v>
      </c>
      <c r="CK16" s="1">
        <v>4</v>
      </c>
      <c r="CL16" s="1">
        <v>3</v>
      </c>
      <c r="CM16" s="1">
        <v>3</v>
      </c>
      <c r="CN16" s="1">
        <v>4</v>
      </c>
      <c r="CO16" s="1">
        <v>4</v>
      </c>
      <c r="CP16" s="1">
        <v>4</v>
      </c>
      <c r="CU16" s="1">
        <v>1</v>
      </c>
    </row>
    <row r="17" spans="1:99" x14ac:dyDescent="0.35">
      <c r="A17" s="1" t="s">
        <v>2650</v>
      </c>
      <c r="B17" s="1">
        <v>171134024</v>
      </c>
      <c r="S17" s="1">
        <v>1</v>
      </c>
      <c r="T17" s="1">
        <v>1</v>
      </c>
      <c r="U17" s="1">
        <v>3</v>
      </c>
      <c r="V17" s="1">
        <v>3</v>
      </c>
      <c r="W17" s="1">
        <v>3</v>
      </c>
      <c r="X17" s="1">
        <v>3</v>
      </c>
      <c r="Y17" s="1">
        <v>3</v>
      </c>
      <c r="Z17" s="1">
        <v>3</v>
      </c>
      <c r="AA17" s="1">
        <v>3</v>
      </c>
      <c r="AC17" s="1">
        <v>1</v>
      </c>
      <c r="AD17" s="1">
        <v>0</v>
      </c>
      <c r="AF17" s="3">
        <v>5500000</v>
      </c>
      <c r="AG17" s="1">
        <v>13</v>
      </c>
      <c r="AT17" s="1" t="s">
        <v>83</v>
      </c>
      <c r="BP17" s="1">
        <v>3</v>
      </c>
      <c r="BQ17" s="1" t="s">
        <v>1634</v>
      </c>
      <c r="BR17" s="1" t="s">
        <v>2651</v>
      </c>
      <c r="BS17" s="1" t="s">
        <v>2652</v>
      </c>
      <c r="BT17" s="1" t="s">
        <v>73</v>
      </c>
      <c r="BU17" s="1">
        <v>2</v>
      </c>
      <c r="BV17" s="1">
        <v>2</v>
      </c>
      <c r="BW17" s="1">
        <v>0</v>
      </c>
      <c r="BX17" s="1">
        <v>1</v>
      </c>
      <c r="BY17" s="1">
        <v>0</v>
      </c>
      <c r="BZ17" s="1">
        <v>0</v>
      </c>
      <c r="CA17" s="1">
        <v>0</v>
      </c>
      <c r="CB17" s="1">
        <v>1</v>
      </c>
      <c r="CC17" s="1">
        <v>0</v>
      </c>
      <c r="CD17" s="1">
        <v>0</v>
      </c>
      <c r="CE17" s="1">
        <v>0</v>
      </c>
      <c r="CF17" s="1">
        <v>0</v>
      </c>
      <c r="CG17" s="1">
        <v>0</v>
      </c>
      <c r="CH17" s="1">
        <v>0</v>
      </c>
      <c r="CI17" s="1">
        <v>0</v>
      </c>
      <c r="CJ17" s="1">
        <v>3</v>
      </c>
      <c r="CK17" s="1">
        <v>2</v>
      </c>
      <c r="CL17" s="1">
        <v>1</v>
      </c>
      <c r="CM17" s="1">
        <v>2</v>
      </c>
      <c r="CN17" s="1">
        <v>3</v>
      </c>
      <c r="CO17" s="1">
        <v>3</v>
      </c>
      <c r="CP17" s="1">
        <v>2</v>
      </c>
      <c r="CU17" s="1">
        <v>1</v>
      </c>
    </row>
    <row r="18" spans="1:99" x14ac:dyDescent="0.35">
      <c r="A18" s="1" t="s">
        <v>2653</v>
      </c>
      <c r="B18" s="1">
        <v>171134025</v>
      </c>
      <c r="C18" s="1">
        <v>0</v>
      </c>
      <c r="D18" s="1">
        <v>1</v>
      </c>
      <c r="E18" s="1">
        <v>0</v>
      </c>
      <c r="F18" s="1">
        <v>0</v>
      </c>
      <c r="G18" s="1">
        <v>0</v>
      </c>
      <c r="H18" s="1">
        <v>0</v>
      </c>
      <c r="I18" s="1">
        <v>0</v>
      </c>
      <c r="J18" s="1">
        <v>0</v>
      </c>
      <c r="K18" s="1">
        <v>0</v>
      </c>
      <c r="L18" s="1">
        <v>0</v>
      </c>
      <c r="M18" s="1">
        <v>0</v>
      </c>
      <c r="N18" s="1">
        <v>0</v>
      </c>
      <c r="O18" s="1">
        <v>0</v>
      </c>
      <c r="P18" s="1">
        <v>2</v>
      </c>
      <c r="Q18" s="1">
        <v>2</v>
      </c>
      <c r="R18" s="1">
        <v>2</v>
      </c>
      <c r="S18" s="1">
        <v>1</v>
      </c>
      <c r="T18" s="1">
        <v>1</v>
      </c>
      <c r="U18" s="1">
        <v>4</v>
      </c>
      <c r="V18" s="1">
        <v>4</v>
      </c>
      <c r="W18" s="1">
        <v>3</v>
      </c>
      <c r="X18" s="1">
        <v>4</v>
      </c>
      <c r="Y18" s="1">
        <v>4</v>
      </c>
      <c r="Z18" s="1">
        <v>4</v>
      </c>
      <c r="AA18" s="1">
        <v>4</v>
      </c>
      <c r="AC18" s="1">
        <v>1</v>
      </c>
      <c r="AD18" s="1">
        <v>1</v>
      </c>
      <c r="AF18" s="3">
        <v>4650000</v>
      </c>
      <c r="AG18" s="1">
        <v>11</v>
      </c>
      <c r="AR18" s="1" t="s">
        <v>144</v>
      </c>
      <c r="BP18" s="1">
        <v>6</v>
      </c>
      <c r="BQ18" s="1" t="s">
        <v>2654</v>
      </c>
      <c r="BR18" s="1" t="s">
        <v>2655</v>
      </c>
      <c r="BS18" s="1" t="s">
        <v>2656</v>
      </c>
      <c r="BT18" s="1" t="s">
        <v>73</v>
      </c>
      <c r="BU18" s="1">
        <v>1</v>
      </c>
      <c r="BV18" s="1">
        <v>2</v>
      </c>
      <c r="BW18" s="1">
        <v>1</v>
      </c>
      <c r="BX18" s="1">
        <v>0</v>
      </c>
      <c r="BY18" s="1">
        <v>0</v>
      </c>
      <c r="BZ18" s="1">
        <v>0</v>
      </c>
      <c r="CA18" s="1">
        <v>0</v>
      </c>
      <c r="CB18" s="1">
        <v>0</v>
      </c>
      <c r="CC18" s="1">
        <v>0</v>
      </c>
      <c r="CD18" s="1">
        <v>0</v>
      </c>
      <c r="CE18" s="1">
        <v>0</v>
      </c>
      <c r="CF18" s="1">
        <v>0</v>
      </c>
      <c r="CG18" s="1">
        <v>0</v>
      </c>
      <c r="CH18" s="1">
        <v>0</v>
      </c>
      <c r="CI18" s="1">
        <v>0</v>
      </c>
      <c r="CJ18" s="1">
        <v>4</v>
      </c>
      <c r="CK18" s="1">
        <v>4</v>
      </c>
      <c r="CL18" s="1">
        <v>3</v>
      </c>
      <c r="CM18" s="1">
        <v>4</v>
      </c>
      <c r="CN18" s="1">
        <v>4</v>
      </c>
      <c r="CO18" s="1">
        <v>4</v>
      </c>
      <c r="CP18" s="1">
        <v>4</v>
      </c>
      <c r="CU18" s="1">
        <v>1</v>
      </c>
    </row>
    <row r="19" spans="1:99" x14ac:dyDescent="0.35">
      <c r="A19" s="1" t="s">
        <v>2657</v>
      </c>
      <c r="B19" s="1">
        <v>171134029</v>
      </c>
      <c r="C19" s="1">
        <v>0</v>
      </c>
      <c r="D19" s="1">
        <v>1</v>
      </c>
      <c r="E19" s="1">
        <v>1</v>
      </c>
      <c r="F19" s="1">
        <v>0</v>
      </c>
      <c r="G19" s="1">
        <v>0</v>
      </c>
      <c r="H19" s="1">
        <v>0</v>
      </c>
      <c r="I19" s="1">
        <v>0</v>
      </c>
      <c r="J19" s="1">
        <v>1</v>
      </c>
      <c r="K19" s="1">
        <v>1</v>
      </c>
      <c r="L19" s="1">
        <v>0</v>
      </c>
      <c r="M19" s="1">
        <v>0</v>
      </c>
      <c r="N19" s="1">
        <v>0</v>
      </c>
      <c r="O19" s="1">
        <v>0</v>
      </c>
      <c r="P19" s="1">
        <v>85</v>
      </c>
      <c r="Q19" s="1">
        <v>10</v>
      </c>
      <c r="R19" s="1">
        <v>3</v>
      </c>
      <c r="S19" s="1">
        <v>1</v>
      </c>
      <c r="T19" s="1">
        <v>1</v>
      </c>
      <c r="U19" s="1">
        <v>4</v>
      </c>
      <c r="V19" s="1">
        <v>3</v>
      </c>
      <c r="W19" s="1">
        <v>3</v>
      </c>
      <c r="X19" s="1">
        <v>4</v>
      </c>
      <c r="Y19" s="1">
        <v>4</v>
      </c>
      <c r="Z19" s="1">
        <v>4</v>
      </c>
      <c r="AA19" s="1">
        <v>4</v>
      </c>
      <c r="AC19" s="1">
        <v>2</v>
      </c>
      <c r="AE19" s="1">
        <v>3</v>
      </c>
      <c r="AF19" s="3">
        <v>4900000</v>
      </c>
      <c r="AG19" s="1">
        <v>12</v>
      </c>
      <c r="AS19" s="1" t="s">
        <v>69</v>
      </c>
      <c r="BP19" s="1">
        <v>3</v>
      </c>
      <c r="BQ19" s="1" t="s">
        <v>2658</v>
      </c>
      <c r="BR19" s="1" t="s">
        <v>2659</v>
      </c>
      <c r="BS19" s="1" t="s">
        <v>2072</v>
      </c>
      <c r="BT19" s="1" t="s">
        <v>79</v>
      </c>
      <c r="BU19" s="1">
        <v>4</v>
      </c>
      <c r="BV19" s="1">
        <v>2</v>
      </c>
      <c r="BW19" s="1">
        <v>0</v>
      </c>
      <c r="BX19" s="1">
        <v>0</v>
      </c>
      <c r="BY19" s="1">
        <v>0</v>
      </c>
      <c r="BZ19" s="1">
        <v>0</v>
      </c>
      <c r="CA19" s="1">
        <v>0</v>
      </c>
      <c r="CB19" s="1">
        <v>1</v>
      </c>
      <c r="CC19" s="1">
        <v>1</v>
      </c>
      <c r="CD19" s="1">
        <v>1</v>
      </c>
      <c r="CE19" s="1">
        <v>1</v>
      </c>
      <c r="CF19" s="1">
        <v>0</v>
      </c>
      <c r="CG19" s="1">
        <v>0</v>
      </c>
      <c r="CH19" s="1">
        <v>0</v>
      </c>
      <c r="CI19" s="1">
        <v>0</v>
      </c>
      <c r="CJ19" s="1">
        <v>4</v>
      </c>
      <c r="CK19" s="1">
        <v>4</v>
      </c>
      <c r="CL19" s="1">
        <v>3</v>
      </c>
      <c r="CM19" s="1">
        <v>4</v>
      </c>
      <c r="CN19" s="1">
        <v>4</v>
      </c>
      <c r="CO19" s="1">
        <v>4</v>
      </c>
      <c r="CP19" s="1">
        <v>4</v>
      </c>
      <c r="CU19" s="1">
        <v>1</v>
      </c>
    </row>
    <row r="20" spans="1:99" x14ac:dyDescent="0.35">
      <c r="A20" s="1" t="s">
        <v>2660</v>
      </c>
      <c r="B20" s="1">
        <v>171134031</v>
      </c>
      <c r="C20" s="1">
        <v>0</v>
      </c>
      <c r="D20" s="1">
        <v>0</v>
      </c>
      <c r="E20" s="1">
        <v>0</v>
      </c>
      <c r="F20" s="1">
        <v>0</v>
      </c>
      <c r="G20" s="1">
        <v>0</v>
      </c>
      <c r="H20" s="1">
        <v>0</v>
      </c>
      <c r="I20" s="1">
        <v>0</v>
      </c>
      <c r="J20" s="1">
        <v>0</v>
      </c>
      <c r="K20" s="1">
        <v>1</v>
      </c>
      <c r="L20" s="1">
        <v>0</v>
      </c>
      <c r="M20" s="1">
        <v>0</v>
      </c>
      <c r="N20" s="1">
        <v>0</v>
      </c>
      <c r="O20" s="1">
        <v>0</v>
      </c>
      <c r="P20" s="1">
        <v>0</v>
      </c>
      <c r="Q20" s="1">
        <v>0</v>
      </c>
      <c r="R20" s="1">
        <v>0</v>
      </c>
      <c r="S20" s="1">
        <v>1</v>
      </c>
      <c r="T20" s="1">
        <v>1</v>
      </c>
      <c r="U20" s="1">
        <v>4</v>
      </c>
      <c r="V20" s="1">
        <v>3</v>
      </c>
      <c r="W20" s="1">
        <v>2</v>
      </c>
      <c r="X20" s="1">
        <v>3</v>
      </c>
      <c r="Y20" s="1">
        <v>3</v>
      </c>
      <c r="Z20" s="1">
        <v>3</v>
      </c>
      <c r="AA20" s="1">
        <v>3</v>
      </c>
      <c r="AC20" s="1">
        <v>1</v>
      </c>
      <c r="AD20" s="1">
        <v>0</v>
      </c>
      <c r="AF20" s="3">
        <v>2000000</v>
      </c>
      <c r="AG20" s="1">
        <v>13</v>
      </c>
      <c r="AT20" s="1" t="s">
        <v>86</v>
      </c>
      <c r="BP20" s="1">
        <v>3</v>
      </c>
      <c r="BQ20" s="1" t="s">
        <v>2661</v>
      </c>
      <c r="BR20" s="1" t="s">
        <v>2662</v>
      </c>
      <c r="BS20" s="1" t="s">
        <v>2663</v>
      </c>
      <c r="BT20" s="1" t="s">
        <v>79</v>
      </c>
      <c r="BU20" s="1">
        <v>1</v>
      </c>
      <c r="BV20" s="1">
        <v>2</v>
      </c>
      <c r="BW20" s="1">
        <v>1</v>
      </c>
      <c r="BX20" s="1">
        <v>0</v>
      </c>
      <c r="BY20" s="1">
        <v>0</v>
      </c>
      <c r="BZ20" s="1">
        <v>0</v>
      </c>
      <c r="CA20" s="1">
        <v>0</v>
      </c>
      <c r="CB20" s="1">
        <v>0</v>
      </c>
      <c r="CC20" s="1">
        <v>0</v>
      </c>
      <c r="CD20" s="1">
        <v>0</v>
      </c>
      <c r="CE20" s="1">
        <v>0</v>
      </c>
      <c r="CF20" s="1">
        <v>0</v>
      </c>
      <c r="CG20" s="1">
        <v>0</v>
      </c>
      <c r="CH20" s="1">
        <v>0</v>
      </c>
      <c r="CI20" s="1">
        <v>0</v>
      </c>
      <c r="CJ20" s="1">
        <v>4</v>
      </c>
      <c r="CK20" s="1">
        <v>4</v>
      </c>
      <c r="CL20" s="1">
        <v>2</v>
      </c>
      <c r="CM20" s="1">
        <v>4</v>
      </c>
      <c r="CN20" s="1">
        <v>4</v>
      </c>
      <c r="CO20" s="1">
        <v>4</v>
      </c>
      <c r="CP20" s="1">
        <v>4</v>
      </c>
      <c r="CU20" s="1">
        <v>1</v>
      </c>
    </row>
    <row r="21" spans="1:99" x14ac:dyDescent="0.35">
      <c r="A21" s="1" t="s">
        <v>2664</v>
      </c>
      <c r="B21" s="1">
        <v>171134032</v>
      </c>
      <c r="C21" s="1">
        <v>0</v>
      </c>
      <c r="D21" s="1">
        <v>1</v>
      </c>
      <c r="E21" s="1">
        <v>0</v>
      </c>
      <c r="F21" s="1">
        <v>0</v>
      </c>
      <c r="G21" s="1">
        <v>0</v>
      </c>
      <c r="H21" s="1">
        <v>0</v>
      </c>
      <c r="I21" s="1">
        <v>0</v>
      </c>
      <c r="J21" s="1">
        <v>0</v>
      </c>
      <c r="K21" s="1">
        <v>1</v>
      </c>
      <c r="L21" s="1">
        <v>0</v>
      </c>
      <c r="M21" s="1">
        <v>1</v>
      </c>
      <c r="N21" s="1">
        <v>0</v>
      </c>
      <c r="O21" s="1">
        <v>0</v>
      </c>
      <c r="P21" s="1" t="s">
        <v>2665</v>
      </c>
      <c r="Q21" s="1">
        <v>4</v>
      </c>
      <c r="R21" s="1">
        <v>4</v>
      </c>
      <c r="S21" s="1">
        <v>1</v>
      </c>
      <c r="T21" s="1">
        <v>1</v>
      </c>
      <c r="U21" s="1">
        <v>3</v>
      </c>
      <c r="V21" s="1">
        <v>3</v>
      </c>
      <c r="W21" s="1">
        <v>3</v>
      </c>
      <c r="X21" s="1">
        <v>3</v>
      </c>
      <c r="Y21" s="1">
        <v>3</v>
      </c>
      <c r="Z21" s="1">
        <v>3</v>
      </c>
      <c r="AA21" s="1">
        <v>3</v>
      </c>
      <c r="AC21" s="1">
        <v>1</v>
      </c>
      <c r="AD21" s="1">
        <v>1</v>
      </c>
      <c r="AF21" s="3">
        <v>4500000</v>
      </c>
      <c r="AG21" s="1">
        <v>13</v>
      </c>
      <c r="AT21" s="1" t="s">
        <v>402</v>
      </c>
      <c r="BP21" s="1">
        <v>3</v>
      </c>
      <c r="BQ21" s="1" t="s">
        <v>2666</v>
      </c>
      <c r="BR21" s="1" t="s">
        <v>2667</v>
      </c>
      <c r="BS21" s="1" t="s">
        <v>2668</v>
      </c>
      <c r="BT21" s="1" t="s">
        <v>79</v>
      </c>
      <c r="BU21" s="1">
        <v>1</v>
      </c>
      <c r="BV21" s="1">
        <v>1</v>
      </c>
      <c r="BW21" s="1">
        <v>1</v>
      </c>
      <c r="BX21" s="1">
        <v>0</v>
      </c>
      <c r="BY21" s="1">
        <v>0</v>
      </c>
      <c r="BZ21" s="1">
        <v>0</v>
      </c>
      <c r="CA21" s="1">
        <v>0</v>
      </c>
      <c r="CB21" s="1">
        <v>0</v>
      </c>
      <c r="CC21" s="1">
        <v>0</v>
      </c>
      <c r="CD21" s="1">
        <v>0</v>
      </c>
      <c r="CE21" s="1">
        <v>0</v>
      </c>
      <c r="CF21" s="1">
        <v>0</v>
      </c>
      <c r="CG21" s="1">
        <v>0</v>
      </c>
      <c r="CH21" s="1">
        <v>0</v>
      </c>
      <c r="CI21" s="1">
        <v>0</v>
      </c>
      <c r="CJ21" s="1">
        <v>3</v>
      </c>
      <c r="CK21" s="1">
        <v>3</v>
      </c>
      <c r="CL21" s="1">
        <v>3</v>
      </c>
      <c r="CM21" s="1">
        <v>3</v>
      </c>
      <c r="CN21" s="1">
        <v>3</v>
      </c>
      <c r="CO21" s="1">
        <v>3</v>
      </c>
      <c r="CP21" s="1">
        <v>3</v>
      </c>
      <c r="CU21" s="1">
        <v>1</v>
      </c>
    </row>
    <row r="22" spans="1:99" x14ac:dyDescent="0.35">
      <c r="A22" s="1" t="s">
        <v>3792</v>
      </c>
      <c r="B22" s="1">
        <v>171134013</v>
      </c>
    </row>
    <row r="23" spans="1:99" x14ac:dyDescent="0.35">
      <c r="A23" s="1" t="s">
        <v>3793</v>
      </c>
      <c r="B23" s="1">
        <v>171134023</v>
      </c>
    </row>
    <row r="24" spans="1:99" x14ac:dyDescent="0.35">
      <c r="A24" s="1" t="s">
        <v>3794</v>
      </c>
      <c r="B24" s="1">
        <v>171134026</v>
      </c>
    </row>
    <row r="25" spans="1:99" x14ac:dyDescent="0.35">
      <c r="A25" s="1" t="s">
        <v>3795</v>
      </c>
      <c r="B25" s="1">
        <v>171134028</v>
      </c>
    </row>
    <row r="26" spans="1:99" x14ac:dyDescent="0.35">
      <c r="A26" s="1" t="s">
        <v>3796</v>
      </c>
      <c r="B26" s="1">
        <v>171134030</v>
      </c>
    </row>
    <row r="27" spans="1:99" x14ac:dyDescent="0.35">
      <c r="A27" s="1" t="s">
        <v>4310</v>
      </c>
      <c r="B27" s="1">
        <v>171134022</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A8E0FB-D28B-483D-ACD9-F20B4A194EF4}">
  <dimension ref="A1:CU31"/>
  <sheetViews>
    <sheetView topLeftCell="T1" zoomScale="55" zoomScaleNormal="55" workbookViewId="0">
      <pane ySplit="1" topLeftCell="A20" activePane="bottomLeft" state="frozen"/>
      <selection pane="bottomLeft" activeCell="T1" sqref="T1"/>
    </sheetView>
  </sheetViews>
  <sheetFormatPr defaultColWidth="8.90625" defaultRowHeight="14.5" x14ac:dyDescent="0.35"/>
  <cols>
    <col min="1" max="1" width="33.81640625" style="1" bestFit="1" customWidth="1"/>
    <col min="2" max="2" width="10" style="1" customWidth="1"/>
    <col min="3" max="9" width="64.08984375" style="1" bestFit="1" customWidth="1"/>
    <col min="10" max="14" width="65.08984375" style="1" bestFit="1" customWidth="1"/>
    <col min="15" max="15" width="67.54296875" style="1" bestFit="1" customWidth="1"/>
    <col min="16" max="16" width="110" style="1" bestFit="1" customWidth="1"/>
    <col min="17" max="17" width="63.90625" style="1" bestFit="1" customWidth="1"/>
    <col min="18" max="18" width="73" style="1" bestFit="1" customWidth="1"/>
    <col min="19" max="19" width="25" style="1" bestFit="1" customWidth="1"/>
    <col min="20" max="20" width="41.26953125" style="1" bestFit="1" customWidth="1"/>
    <col min="21" max="21" width="67.08984375" style="1" bestFit="1" customWidth="1"/>
    <col min="22" max="22" width="90.453125" style="1" bestFit="1" customWidth="1"/>
    <col min="23" max="23" width="74.90625" style="1" bestFit="1" customWidth="1"/>
    <col min="24" max="24" width="89.36328125" style="1" bestFit="1" customWidth="1"/>
    <col min="25" max="25" width="72.453125" style="1" bestFit="1" customWidth="1"/>
    <col min="26" max="26" width="75.1796875" style="1" bestFit="1" customWidth="1"/>
    <col min="27" max="27" width="79" style="1" bestFit="1" customWidth="1"/>
    <col min="28" max="28" width="43.08984375" style="1" bestFit="1" customWidth="1"/>
    <col min="29" max="29" width="73.1796875" style="1" bestFit="1" customWidth="1"/>
    <col min="30" max="30" width="43.36328125" style="1" bestFit="1" customWidth="1"/>
    <col min="31" max="31" width="50.54296875" style="1" bestFit="1" customWidth="1"/>
    <col min="32" max="32" width="120.26953125" style="1" bestFit="1" customWidth="1"/>
    <col min="33" max="33" width="39.08984375" style="1" bestFit="1" customWidth="1"/>
    <col min="34" max="35" width="45.7265625" style="1" bestFit="1" customWidth="1"/>
    <col min="36" max="37" width="46.1796875" style="1" bestFit="1" customWidth="1"/>
    <col min="38" max="38" width="45.7265625" style="1" bestFit="1" customWidth="1"/>
    <col min="39" max="52" width="46.1796875" style="1" bestFit="1" customWidth="1"/>
    <col min="53" max="55" width="45.7265625" style="1" bestFit="1" customWidth="1"/>
    <col min="56" max="64" width="46.1796875" style="1" bestFit="1" customWidth="1"/>
    <col min="65" max="67" width="45.7265625" style="1" bestFit="1" customWidth="1"/>
    <col min="68" max="68" width="58.90625" style="1" bestFit="1" customWidth="1"/>
    <col min="69" max="69" width="43.26953125" style="1" bestFit="1" customWidth="1"/>
    <col min="70" max="70" width="45.36328125" style="1" bestFit="1" customWidth="1"/>
    <col min="71" max="71" width="45.26953125" style="1" bestFit="1" customWidth="1"/>
    <col min="72" max="72" width="55.453125" style="1" bestFit="1" customWidth="1"/>
    <col min="73" max="73" width="217.453125" style="1" bestFit="1" customWidth="1"/>
    <col min="74" max="74" width="65.08984375" style="1" bestFit="1" customWidth="1"/>
    <col min="75" max="83" width="117.26953125" style="1" bestFit="1" customWidth="1"/>
    <col min="84" max="86" width="118.26953125" style="1" bestFit="1" customWidth="1"/>
    <col min="87" max="87" width="120.7265625" style="1" bestFit="1" customWidth="1"/>
    <col min="88" max="88" width="76.6328125" style="1" bestFit="1" customWidth="1"/>
    <col min="89" max="89" width="100.26953125" style="1" bestFit="1" customWidth="1"/>
    <col min="90" max="90" width="84.36328125" style="1" bestFit="1" customWidth="1"/>
    <col min="91" max="91" width="98.6328125" style="1" bestFit="1" customWidth="1"/>
    <col min="92" max="92" width="81.90625" style="1" bestFit="1" customWidth="1"/>
    <col min="93" max="93" width="84.7265625" style="1" bestFit="1" customWidth="1"/>
    <col min="94" max="94" width="88.54296875" style="1" bestFit="1" customWidth="1"/>
    <col min="95" max="95" width="40.54296875" style="1" bestFit="1" customWidth="1"/>
    <col min="96" max="96" width="53.36328125" style="1" bestFit="1" customWidth="1"/>
    <col min="97" max="97" width="23.90625" style="1" bestFit="1" customWidth="1"/>
    <col min="98" max="98" width="24.7265625" style="1" bestFit="1" customWidth="1"/>
    <col min="99" max="99" width="51.90625" style="1" bestFit="1" customWidth="1"/>
    <col min="100" max="16384" width="8.90625" style="1"/>
  </cols>
  <sheetData>
    <row r="1" spans="1:99" s="6" customFormat="1" x14ac:dyDescent="0.35">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6" t="s">
        <v>15</v>
      </c>
      <c r="Q1" s="6" t="s">
        <v>16</v>
      </c>
      <c r="R1" s="6" t="s">
        <v>17</v>
      </c>
      <c r="S1" s="6" t="s">
        <v>18</v>
      </c>
      <c r="T1" s="6" t="s">
        <v>19</v>
      </c>
      <c r="U1" s="6" t="s">
        <v>20</v>
      </c>
      <c r="V1" s="6" t="s">
        <v>21</v>
      </c>
      <c r="W1" s="6" t="s">
        <v>22</v>
      </c>
      <c r="X1" s="6" t="s">
        <v>23</v>
      </c>
      <c r="Y1" s="6" t="s">
        <v>24</v>
      </c>
      <c r="Z1" s="6" t="s">
        <v>25</v>
      </c>
      <c r="AA1" s="6" t="s">
        <v>26</v>
      </c>
      <c r="AB1" s="6" t="s">
        <v>27</v>
      </c>
      <c r="AC1" s="6" t="s">
        <v>28</v>
      </c>
      <c r="AD1" s="6" t="s">
        <v>29</v>
      </c>
      <c r="AE1" s="6" t="s">
        <v>30</v>
      </c>
      <c r="AF1" s="6" t="s">
        <v>31</v>
      </c>
      <c r="AG1" s="6" t="s">
        <v>32</v>
      </c>
      <c r="AH1" s="6" t="s">
        <v>33</v>
      </c>
      <c r="AI1" s="6" t="s">
        <v>33</v>
      </c>
      <c r="AJ1" s="6" t="s">
        <v>34</v>
      </c>
      <c r="AK1" s="6" t="s">
        <v>34</v>
      </c>
      <c r="AL1" s="6" t="s">
        <v>33</v>
      </c>
      <c r="AM1" s="6" t="s">
        <v>34</v>
      </c>
      <c r="AN1" s="6" t="s">
        <v>34</v>
      </c>
      <c r="AO1" s="6" t="s">
        <v>34</v>
      </c>
      <c r="AP1" s="6" t="s">
        <v>34</v>
      </c>
      <c r="AQ1" s="6" t="s">
        <v>34</v>
      </c>
      <c r="AR1" s="6" t="s">
        <v>34</v>
      </c>
      <c r="AS1" s="6" t="s">
        <v>34</v>
      </c>
      <c r="AT1" s="6" t="s">
        <v>34</v>
      </c>
      <c r="AU1" s="6" t="s">
        <v>34</v>
      </c>
      <c r="AV1" s="6" t="s">
        <v>34</v>
      </c>
      <c r="AW1" s="6" t="s">
        <v>34</v>
      </c>
      <c r="AX1" s="6" t="s">
        <v>34</v>
      </c>
      <c r="AY1" s="6" t="s">
        <v>34</v>
      </c>
      <c r="AZ1" s="6" t="s">
        <v>34</v>
      </c>
      <c r="BA1" s="6" t="s">
        <v>33</v>
      </c>
      <c r="BB1" s="6" t="s">
        <v>33</v>
      </c>
      <c r="BC1" s="6" t="s">
        <v>33</v>
      </c>
      <c r="BD1" s="6" t="s">
        <v>34</v>
      </c>
      <c r="BE1" s="6" t="s">
        <v>34</v>
      </c>
      <c r="BF1" s="6" t="s">
        <v>34</v>
      </c>
      <c r="BG1" s="6" t="s">
        <v>34</v>
      </c>
      <c r="BH1" s="6" t="s">
        <v>34</v>
      </c>
      <c r="BI1" s="6" t="s">
        <v>34</v>
      </c>
      <c r="BJ1" s="6" t="s">
        <v>34</v>
      </c>
      <c r="BK1" s="6" t="s">
        <v>34</v>
      </c>
      <c r="BL1" s="6" t="s">
        <v>34</v>
      </c>
      <c r="BM1" s="6" t="s">
        <v>33</v>
      </c>
      <c r="BN1" s="6" t="s">
        <v>33</v>
      </c>
      <c r="BO1" s="6" t="s">
        <v>33</v>
      </c>
      <c r="BP1" s="6" t="s">
        <v>35</v>
      </c>
      <c r="BQ1" s="6" t="s">
        <v>36</v>
      </c>
      <c r="BR1" s="6" t="s">
        <v>37</v>
      </c>
      <c r="BS1" s="6" t="s">
        <v>38</v>
      </c>
      <c r="BT1" s="6" t="s">
        <v>39</v>
      </c>
      <c r="BU1" s="6" t="s">
        <v>40</v>
      </c>
      <c r="BV1" s="6" t="s">
        <v>41</v>
      </c>
      <c r="BW1" s="6" t="s">
        <v>42</v>
      </c>
      <c r="BX1" s="6" t="s">
        <v>43</v>
      </c>
      <c r="BY1" s="6" t="s">
        <v>44</v>
      </c>
      <c r="BZ1" s="6" t="s">
        <v>45</v>
      </c>
      <c r="CA1" s="6" t="s">
        <v>46</v>
      </c>
      <c r="CB1" s="6" t="s">
        <v>47</v>
      </c>
      <c r="CC1" s="6" t="s">
        <v>48</v>
      </c>
      <c r="CD1" s="6" t="s">
        <v>49</v>
      </c>
      <c r="CE1" s="6" t="s">
        <v>50</v>
      </c>
      <c r="CF1" s="6" t="s">
        <v>51</v>
      </c>
      <c r="CG1" s="6" t="s">
        <v>52</v>
      </c>
      <c r="CH1" s="6" t="s">
        <v>53</v>
      </c>
      <c r="CI1" s="6" t="s">
        <v>54</v>
      </c>
      <c r="CJ1" s="6" t="s">
        <v>55</v>
      </c>
      <c r="CK1" s="6" t="s">
        <v>56</v>
      </c>
      <c r="CL1" s="6" t="s">
        <v>57</v>
      </c>
      <c r="CM1" s="6" t="s">
        <v>58</v>
      </c>
      <c r="CN1" s="6" t="s">
        <v>59</v>
      </c>
      <c r="CO1" s="6" t="s">
        <v>60</v>
      </c>
      <c r="CP1" s="6" t="s">
        <v>61</v>
      </c>
      <c r="CQ1" s="6" t="s">
        <v>62</v>
      </c>
      <c r="CR1" s="6" t="s">
        <v>63</v>
      </c>
      <c r="CS1" s="6" t="s">
        <v>64</v>
      </c>
      <c r="CT1" s="6" t="s">
        <v>65</v>
      </c>
      <c r="CU1" s="6" t="s">
        <v>66</v>
      </c>
    </row>
    <row r="2" spans="1:99" x14ac:dyDescent="0.35">
      <c r="A2" s="1" t="s">
        <v>2669</v>
      </c>
      <c r="B2" s="1">
        <v>171144002</v>
      </c>
      <c r="C2" s="1">
        <v>0</v>
      </c>
      <c r="D2" s="1">
        <v>1</v>
      </c>
      <c r="E2" s="1">
        <v>0</v>
      </c>
      <c r="F2" s="1">
        <v>0</v>
      </c>
      <c r="G2" s="1">
        <v>0</v>
      </c>
      <c r="H2" s="1">
        <v>0</v>
      </c>
      <c r="I2" s="1">
        <v>0</v>
      </c>
      <c r="J2" s="1">
        <v>1</v>
      </c>
      <c r="K2" s="1">
        <v>1</v>
      </c>
      <c r="L2" s="1">
        <v>0</v>
      </c>
      <c r="M2" s="1">
        <v>0</v>
      </c>
      <c r="N2" s="1">
        <v>0</v>
      </c>
      <c r="O2" s="1">
        <v>0</v>
      </c>
      <c r="P2" s="1">
        <v>20</v>
      </c>
      <c r="Q2" s="1">
        <v>10</v>
      </c>
      <c r="R2" s="1">
        <v>10</v>
      </c>
      <c r="S2" s="1">
        <v>1</v>
      </c>
      <c r="T2" s="1">
        <v>1</v>
      </c>
      <c r="U2" s="1">
        <v>4</v>
      </c>
      <c r="V2" s="1">
        <v>3</v>
      </c>
      <c r="W2" s="1">
        <v>3</v>
      </c>
      <c r="X2" s="1">
        <v>4</v>
      </c>
      <c r="Y2" s="1">
        <v>4</v>
      </c>
      <c r="Z2" s="1">
        <v>4</v>
      </c>
      <c r="AA2" s="1">
        <v>4</v>
      </c>
      <c r="AC2" s="1">
        <v>1</v>
      </c>
      <c r="AD2" s="1">
        <v>2</v>
      </c>
      <c r="AF2" s="3">
        <v>7000000</v>
      </c>
      <c r="AG2" s="1">
        <v>11</v>
      </c>
      <c r="AR2" s="1" t="s">
        <v>118</v>
      </c>
      <c r="BP2" s="1">
        <v>3</v>
      </c>
      <c r="BQ2" s="1" t="s">
        <v>2670</v>
      </c>
      <c r="BR2" s="1" t="s">
        <v>2671</v>
      </c>
      <c r="BS2" s="1" t="s">
        <v>2672</v>
      </c>
      <c r="BT2" s="1" t="s">
        <v>79</v>
      </c>
      <c r="BU2" s="1">
        <v>1</v>
      </c>
      <c r="BV2" s="1">
        <v>1</v>
      </c>
      <c r="BW2" s="1">
        <v>1</v>
      </c>
      <c r="BX2" s="1">
        <v>0</v>
      </c>
      <c r="BY2" s="1">
        <v>0</v>
      </c>
      <c r="BZ2" s="1">
        <v>0</v>
      </c>
      <c r="CA2" s="1">
        <v>0</v>
      </c>
      <c r="CB2" s="1">
        <v>0</v>
      </c>
      <c r="CC2" s="1">
        <v>0</v>
      </c>
      <c r="CD2" s="1">
        <v>0</v>
      </c>
      <c r="CE2" s="1">
        <v>0</v>
      </c>
      <c r="CF2" s="1">
        <v>0</v>
      </c>
      <c r="CG2" s="1">
        <v>0</v>
      </c>
      <c r="CH2" s="1">
        <v>0</v>
      </c>
      <c r="CI2" s="1">
        <v>0</v>
      </c>
      <c r="CJ2" s="1">
        <v>4</v>
      </c>
      <c r="CK2" s="1">
        <v>4</v>
      </c>
      <c r="CL2" s="1">
        <v>4</v>
      </c>
      <c r="CM2" s="1">
        <v>4</v>
      </c>
      <c r="CN2" s="1">
        <v>4</v>
      </c>
      <c r="CO2" s="1">
        <v>4</v>
      </c>
      <c r="CP2" s="1">
        <v>4</v>
      </c>
      <c r="CU2" s="1">
        <v>1</v>
      </c>
    </row>
    <row r="3" spans="1:99" x14ac:dyDescent="0.35">
      <c r="A3" s="1" t="s">
        <v>2673</v>
      </c>
      <c r="B3" s="1">
        <v>171144004</v>
      </c>
      <c r="C3" s="1">
        <v>0</v>
      </c>
      <c r="D3" s="1">
        <v>0</v>
      </c>
      <c r="E3" s="1">
        <v>1</v>
      </c>
      <c r="F3" s="1">
        <v>0</v>
      </c>
      <c r="G3" s="1">
        <v>0</v>
      </c>
      <c r="H3" s="1">
        <v>0</v>
      </c>
      <c r="I3" s="1">
        <v>0</v>
      </c>
      <c r="J3" s="1">
        <v>0</v>
      </c>
      <c r="K3" s="1">
        <v>0</v>
      </c>
      <c r="L3" s="1">
        <v>0</v>
      </c>
      <c r="M3" s="1">
        <v>0</v>
      </c>
      <c r="N3" s="1">
        <v>0</v>
      </c>
      <c r="O3" s="1">
        <v>0</v>
      </c>
      <c r="P3" s="1">
        <v>0</v>
      </c>
      <c r="Q3" s="1">
        <v>3</v>
      </c>
      <c r="R3" s="1">
        <v>5</v>
      </c>
      <c r="S3" s="1">
        <v>3</v>
      </c>
      <c r="T3" s="1">
        <v>1</v>
      </c>
      <c r="U3" s="1">
        <v>4</v>
      </c>
      <c r="V3" s="1">
        <v>4</v>
      </c>
      <c r="W3" s="1">
        <v>3</v>
      </c>
      <c r="X3" s="1">
        <v>4</v>
      </c>
      <c r="Y3" s="1">
        <v>4</v>
      </c>
      <c r="Z3" s="1">
        <v>4</v>
      </c>
      <c r="AA3" s="1">
        <v>4</v>
      </c>
      <c r="AB3" s="1">
        <v>3</v>
      </c>
      <c r="AC3" s="1">
        <v>1</v>
      </c>
      <c r="AD3" s="1">
        <v>0</v>
      </c>
      <c r="AF3" s="3">
        <v>5000000</v>
      </c>
      <c r="AG3" s="1">
        <v>13</v>
      </c>
      <c r="AT3" s="1" t="s">
        <v>392</v>
      </c>
      <c r="BP3" s="1">
        <v>4</v>
      </c>
      <c r="BQ3" s="1" t="s">
        <v>2674</v>
      </c>
      <c r="BR3" s="1" t="s">
        <v>2675</v>
      </c>
      <c r="BS3" s="1" t="s">
        <v>2676</v>
      </c>
      <c r="BT3" s="1" t="s">
        <v>107</v>
      </c>
      <c r="BU3" s="1">
        <v>1</v>
      </c>
      <c r="BV3" s="1">
        <v>2</v>
      </c>
      <c r="BW3" s="1">
        <v>1</v>
      </c>
      <c r="BX3" s="1">
        <v>0</v>
      </c>
      <c r="BY3" s="1">
        <v>0</v>
      </c>
      <c r="BZ3" s="1">
        <v>0</v>
      </c>
      <c r="CA3" s="1">
        <v>0</v>
      </c>
      <c r="CB3" s="1">
        <v>0</v>
      </c>
      <c r="CC3" s="1">
        <v>0</v>
      </c>
      <c r="CD3" s="1">
        <v>0</v>
      </c>
      <c r="CE3" s="1">
        <v>0</v>
      </c>
      <c r="CF3" s="1">
        <v>0</v>
      </c>
      <c r="CG3" s="1">
        <v>0</v>
      </c>
      <c r="CH3" s="1">
        <v>0</v>
      </c>
      <c r="CI3" s="1">
        <v>0</v>
      </c>
      <c r="CJ3" s="1">
        <v>4</v>
      </c>
      <c r="CK3" s="1">
        <v>4</v>
      </c>
      <c r="CL3" s="1">
        <v>3</v>
      </c>
      <c r="CM3" s="1">
        <v>4</v>
      </c>
      <c r="CN3" s="1">
        <v>4</v>
      </c>
      <c r="CO3" s="1">
        <v>4</v>
      </c>
      <c r="CP3" s="1">
        <v>4</v>
      </c>
      <c r="CU3" s="1">
        <v>3</v>
      </c>
    </row>
    <row r="4" spans="1:99" x14ac:dyDescent="0.35">
      <c r="A4" s="1" t="s">
        <v>2677</v>
      </c>
      <c r="B4" s="1">
        <v>171144005</v>
      </c>
      <c r="C4" s="1">
        <v>0</v>
      </c>
      <c r="D4" s="1">
        <v>0</v>
      </c>
      <c r="E4" s="1">
        <v>0</v>
      </c>
      <c r="F4" s="1">
        <v>0</v>
      </c>
      <c r="G4" s="1">
        <v>0</v>
      </c>
      <c r="H4" s="1">
        <v>0</v>
      </c>
      <c r="I4" s="1">
        <v>1</v>
      </c>
      <c r="J4" s="1">
        <v>0</v>
      </c>
      <c r="K4" s="1">
        <v>0</v>
      </c>
      <c r="L4" s="1">
        <v>0</v>
      </c>
      <c r="M4" s="1">
        <v>0</v>
      </c>
      <c r="N4" s="1">
        <v>0</v>
      </c>
      <c r="O4" s="1">
        <v>0</v>
      </c>
      <c r="P4" s="1">
        <v>3</v>
      </c>
      <c r="Q4" s="1">
        <v>2</v>
      </c>
      <c r="R4" s="1">
        <v>2</v>
      </c>
      <c r="S4" s="1">
        <v>1</v>
      </c>
      <c r="T4" s="1">
        <v>1</v>
      </c>
      <c r="U4" s="1">
        <v>4</v>
      </c>
      <c r="V4" s="1">
        <v>4</v>
      </c>
      <c r="W4" s="1">
        <v>4</v>
      </c>
      <c r="X4" s="1">
        <v>4</v>
      </c>
      <c r="Y4" s="1">
        <v>4</v>
      </c>
      <c r="Z4" s="1">
        <v>4</v>
      </c>
      <c r="AA4" s="1">
        <v>4</v>
      </c>
      <c r="AC4" s="1">
        <v>1</v>
      </c>
      <c r="AD4" s="1">
        <v>1</v>
      </c>
      <c r="AF4" s="3">
        <v>8500000</v>
      </c>
      <c r="AG4" s="1">
        <v>11</v>
      </c>
      <c r="AR4" s="1" t="s">
        <v>118</v>
      </c>
      <c r="BP4" s="1">
        <v>4</v>
      </c>
      <c r="BQ4" s="1" t="s">
        <v>2678</v>
      </c>
      <c r="BR4" s="1" t="s">
        <v>2679</v>
      </c>
      <c r="BS4" s="1" t="s">
        <v>2680</v>
      </c>
      <c r="BT4" s="1" t="s">
        <v>73</v>
      </c>
      <c r="BU4" s="1">
        <v>2</v>
      </c>
      <c r="BV4" s="1">
        <v>2</v>
      </c>
      <c r="BW4" s="1">
        <v>1</v>
      </c>
      <c r="BX4" s="1">
        <v>0</v>
      </c>
      <c r="BY4" s="1">
        <v>0</v>
      </c>
      <c r="BZ4" s="1">
        <v>0</v>
      </c>
      <c r="CA4" s="1">
        <v>0</v>
      </c>
      <c r="CB4" s="1">
        <v>0</v>
      </c>
      <c r="CC4" s="1">
        <v>0</v>
      </c>
      <c r="CD4" s="1">
        <v>0</v>
      </c>
      <c r="CE4" s="1">
        <v>0</v>
      </c>
      <c r="CF4" s="1">
        <v>0</v>
      </c>
      <c r="CG4" s="1">
        <v>0</v>
      </c>
      <c r="CH4" s="1">
        <v>0</v>
      </c>
      <c r="CI4" s="1">
        <v>0</v>
      </c>
      <c r="CJ4" s="1">
        <v>4</v>
      </c>
      <c r="CK4" s="1">
        <v>4</v>
      </c>
      <c r="CL4" s="1">
        <v>4</v>
      </c>
      <c r="CM4" s="1">
        <v>4</v>
      </c>
      <c r="CN4" s="1">
        <v>4</v>
      </c>
      <c r="CO4" s="1">
        <v>4</v>
      </c>
      <c r="CP4" s="1">
        <v>4</v>
      </c>
      <c r="CU4" s="1">
        <v>1</v>
      </c>
    </row>
    <row r="5" spans="1:99" x14ac:dyDescent="0.35">
      <c r="A5" s="1" t="s">
        <v>2681</v>
      </c>
      <c r="B5" s="1">
        <v>171144006</v>
      </c>
      <c r="C5" s="1">
        <v>0</v>
      </c>
      <c r="D5" s="1">
        <v>1</v>
      </c>
      <c r="E5" s="1">
        <v>1</v>
      </c>
      <c r="F5" s="1">
        <v>0</v>
      </c>
      <c r="G5" s="1">
        <v>0</v>
      </c>
      <c r="H5" s="1">
        <v>0</v>
      </c>
      <c r="I5" s="1">
        <v>0</v>
      </c>
      <c r="J5" s="1">
        <v>0</v>
      </c>
      <c r="K5" s="1">
        <v>1</v>
      </c>
      <c r="L5" s="1">
        <v>0</v>
      </c>
      <c r="M5" s="1">
        <v>0</v>
      </c>
      <c r="N5" s="1">
        <v>0</v>
      </c>
      <c r="O5" s="1">
        <v>0</v>
      </c>
      <c r="P5" s="1">
        <v>0</v>
      </c>
      <c r="Q5" s="1">
        <v>6</v>
      </c>
      <c r="R5" s="1">
        <v>6</v>
      </c>
      <c r="S5" s="1">
        <v>1</v>
      </c>
      <c r="T5" s="1">
        <v>1</v>
      </c>
      <c r="U5" s="1">
        <v>4</v>
      </c>
      <c r="V5" s="1">
        <v>4</v>
      </c>
      <c r="W5" s="1">
        <v>3</v>
      </c>
      <c r="X5" s="1">
        <v>4</v>
      </c>
      <c r="Y5" s="1">
        <v>4</v>
      </c>
      <c r="Z5" s="1">
        <v>4</v>
      </c>
      <c r="AA5" s="1">
        <v>4</v>
      </c>
      <c r="AC5" s="1">
        <v>1</v>
      </c>
      <c r="AD5" s="1">
        <v>4</v>
      </c>
      <c r="AF5" s="3">
        <v>2500000</v>
      </c>
      <c r="AG5" s="1">
        <v>13</v>
      </c>
      <c r="AT5" s="1" t="s">
        <v>86</v>
      </c>
      <c r="BP5" s="1">
        <v>3</v>
      </c>
      <c r="BQ5" s="1" t="s">
        <v>2682</v>
      </c>
      <c r="BR5" s="1" t="s">
        <v>2683</v>
      </c>
      <c r="BT5" s="1" t="s">
        <v>107</v>
      </c>
      <c r="BU5" s="1">
        <v>1</v>
      </c>
      <c r="BV5" s="1">
        <v>2</v>
      </c>
      <c r="BW5" s="1">
        <v>1</v>
      </c>
      <c r="BX5" s="1">
        <v>0</v>
      </c>
      <c r="BY5" s="1">
        <v>0</v>
      </c>
      <c r="BZ5" s="1">
        <v>0</v>
      </c>
      <c r="CA5" s="1">
        <v>0</v>
      </c>
      <c r="CB5" s="1">
        <v>0</v>
      </c>
      <c r="CC5" s="1">
        <v>0</v>
      </c>
      <c r="CD5" s="1">
        <v>0</v>
      </c>
      <c r="CE5" s="1">
        <v>0</v>
      </c>
      <c r="CF5" s="1">
        <v>0</v>
      </c>
      <c r="CG5" s="1">
        <v>0</v>
      </c>
      <c r="CH5" s="1">
        <v>0</v>
      </c>
      <c r="CI5" s="1">
        <v>0</v>
      </c>
      <c r="CJ5" s="1">
        <v>4</v>
      </c>
      <c r="CK5" s="1">
        <v>4</v>
      </c>
      <c r="CL5" s="1">
        <v>3</v>
      </c>
      <c r="CM5" s="1">
        <v>4</v>
      </c>
      <c r="CN5" s="1">
        <v>4</v>
      </c>
      <c r="CO5" s="1">
        <v>4</v>
      </c>
      <c r="CP5" s="1">
        <v>4</v>
      </c>
      <c r="CU5" s="1">
        <v>1</v>
      </c>
    </row>
    <row r="6" spans="1:99" x14ac:dyDescent="0.35">
      <c r="A6" s="1" t="s">
        <v>2684</v>
      </c>
      <c r="B6" s="1">
        <v>171144008</v>
      </c>
      <c r="C6" s="1">
        <v>0</v>
      </c>
      <c r="D6" s="1">
        <v>0</v>
      </c>
      <c r="E6" s="1">
        <v>0</v>
      </c>
      <c r="F6" s="1">
        <v>0</v>
      </c>
      <c r="G6" s="1">
        <v>0</v>
      </c>
      <c r="H6" s="1">
        <v>0</v>
      </c>
      <c r="I6" s="1">
        <v>0</v>
      </c>
      <c r="J6" s="1">
        <v>1</v>
      </c>
      <c r="K6" s="1">
        <v>0</v>
      </c>
      <c r="L6" s="1">
        <v>0</v>
      </c>
      <c r="M6" s="1">
        <v>0</v>
      </c>
      <c r="N6" s="1">
        <v>0</v>
      </c>
      <c r="O6" s="1">
        <v>0</v>
      </c>
      <c r="P6" s="1">
        <v>6</v>
      </c>
      <c r="Q6" s="1">
        <v>6</v>
      </c>
      <c r="R6" s="1">
        <v>3</v>
      </c>
      <c r="S6" s="1">
        <v>1</v>
      </c>
      <c r="T6" s="1">
        <v>3</v>
      </c>
      <c r="U6" s="1">
        <v>4</v>
      </c>
      <c r="V6" s="1">
        <v>3</v>
      </c>
      <c r="W6" s="1">
        <v>2</v>
      </c>
      <c r="X6" s="1">
        <v>4</v>
      </c>
      <c r="Y6" s="1">
        <v>4</v>
      </c>
      <c r="Z6" s="1">
        <v>4</v>
      </c>
      <c r="AA6" s="1">
        <v>4</v>
      </c>
      <c r="AC6" s="1">
        <v>1</v>
      </c>
      <c r="AD6" s="1">
        <v>4</v>
      </c>
      <c r="AF6" s="3">
        <v>2200000</v>
      </c>
      <c r="AG6" s="1">
        <v>13</v>
      </c>
      <c r="AT6" s="1" t="s">
        <v>209</v>
      </c>
      <c r="BP6" s="1">
        <v>1</v>
      </c>
      <c r="BQ6" s="1" t="s">
        <v>2685</v>
      </c>
      <c r="BR6" s="1" t="s">
        <v>2686</v>
      </c>
      <c r="BS6" s="1" t="s">
        <v>2687</v>
      </c>
      <c r="BT6" s="1" t="s">
        <v>79</v>
      </c>
      <c r="BU6" s="1">
        <v>5</v>
      </c>
      <c r="BV6" s="1">
        <v>2</v>
      </c>
      <c r="BW6" s="1">
        <v>0</v>
      </c>
      <c r="BX6" s="1">
        <v>0</v>
      </c>
      <c r="BY6" s="1">
        <v>0</v>
      </c>
      <c r="BZ6" s="1">
        <v>0</v>
      </c>
      <c r="CA6" s="1">
        <v>0</v>
      </c>
      <c r="CB6" s="1">
        <v>0</v>
      </c>
      <c r="CC6" s="1">
        <v>0</v>
      </c>
      <c r="CD6" s="1">
        <v>0</v>
      </c>
      <c r="CE6" s="1">
        <v>0</v>
      </c>
      <c r="CF6" s="1">
        <v>1</v>
      </c>
      <c r="CG6" s="1">
        <v>0</v>
      </c>
      <c r="CH6" s="1">
        <v>0</v>
      </c>
      <c r="CI6" s="1">
        <v>0</v>
      </c>
      <c r="CJ6" s="1">
        <v>4</v>
      </c>
      <c r="CK6" s="1">
        <v>4</v>
      </c>
      <c r="CL6" s="1">
        <v>2</v>
      </c>
      <c r="CM6" s="1">
        <v>4</v>
      </c>
      <c r="CN6" s="1">
        <v>4</v>
      </c>
      <c r="CO6" s="1">
        <v>4</v>
      </c>
      <c r="CP6" s="1">
        <v>4</v>
      </c>
      <c r="CU6" s="1">
        <v>1</v>
      </c>
    </row>
    <row r="7" spans="1:99" x14ac:dyDescent="0.35">
      <c r="A7" s="1" t="s">
        <v>2688</v>
      </c>
      <c r="B7" s="1">
        <v>171144009</v>
      </c>
      <c r="C7" s="1">
        <v>1</v>
      </c>
      <c r="D7" s="1">
        <v>1</v>
      </c>
      <c r="E7" s="1">
        <v>0</v>
      </c>
      <c r="F7" s="1">
        <v>0</v>
      </c>
      <c r="G7" s="1">
        <v>0</v>
      </c>
      <c r="H7" s="1">
        <v>0</v>
      </c>
      <c r="I7" s="1">
        <v>0</v>
      </c>
      <c r="J7" s="1">
        <v>0</v>
      </c>
      <c r="K7" s="1">
        <v>0</v>
      </c>
      <c r="L7" s="1">
        <v>0</v>
      </c>
      <c r="M7" s="1">
        <v>0</v>
      </c>
      <c r="N7" s="1">
        <v>0</v>
      </c>
      <c r="O7" s="1">
        <v>0</v>
      </c>
      <c r="P7" s="1" t="s">
        <v>2689</v>
      </c>
      <c r="Q7" s="1">
        <v>7</v>
      </c>
      <c r="R7" s="1">
        <v>5</v>
      </c>
      <c r="S7" s="1">
        <v>1</v>
      </c>
      <c r="T7" s="1">
        <v>1</v>
      </c>
      <c r="U7" s="1">
        <v>4</v>
      </c>
      <c r="V7" s="1">
        <v>4</v>
      </c>
      <c r="W7" s="1">
        <v>3</v>
      </c>
      <c r="X7" s="1">
        <v>4</v>
      </c>
      <c r="Y7" s="1">
        <v>4</v>
      </c>
      <c r="Z7" s="1">
        <v>4</v>
      </c>
      <c r="AA7" s="1">
        <v>4</v>
      </c>
      <c r="AC7" s="1">
        <v>1</v>
      </c>
      <c r="AD7" s="1">
        <v>2</v>
      </c>
      <c r="AF7" s="3">
        <v>6000000</v>
      </c>
      <c r="AG7" s="1">
        <v>11</v>
      </c>
      <c r="AR7" s="1" t="s">
        <v>130</v>
      </c>
      <c r="BP7" s="1">
        <v>3</v>
      </c>
      <c r="BQ7" s="1" t="s">
        <v>2690</v>
      </c>
      <c r="BR7" s="1" t="s">
        <v>2691</v>
      </c>
      <c r="BS7" s="1" t="s">
        <v>2692</v>
      </c>
      <c r="BT7" s="1" t="s">
        <v>73</v>
      </c>
      <c r="BU7" s="1">
        <v>1</v>
      </c>
      <c r="BV7" s="1">
        <v>2</v>
      </c>
      <c r="BW7" s="1">
        <v>1</v>
      </c>
      <c r="BX7" s="1">
        <v>0</v>
      </c>
      <c r="BY7" s="1">
        <v>0</v>
      </c>
      <c r="BZ7" s="1">
        <v>0</v>
      </c>
      <c r="CA7" s="1">
        <v>0</v>
      </c>
      <c r="CB7" s="1">
        <v>0</v>
      </c>
      <c r="CC7" s="1">
        <v>0</v>
      </c>
      <c r="CD7" s="1">
        <v>0</v>
      </c>
      <c r="CE7" s="1">
        <v>0</v>
      </c>
      <c r="CF7" s="1">
        <v>0</v>
      </c>
      <c r="CG7" s="1">
        <v>0</v>
      </c>
      <c r="CH7" s="1">
        <v>0</v>
      </c>
      <c r="CI7" s="1">
        <v>0</v>
      </c>
      <c r="CJ7" s="1">
        <v>4</v>
      </c>
      <c r="CK7" s="1">
        <v>4</v>
      </c>
      <c r="CL7" s="1">
        <v>4</v>
      </c>
      <c r="CM7" s="1">
        <v>4</v>
      </c>
      <c r="CN7" s="1">
        <v>4</v>
      </c>
      <c r="CO7" s="1">
        <v>4</v>
      </c>
      <c r="CP7" s="1">
        <v>4</v>
      </c>
      <c r="CU7" s="1">
        <v>1</v>
      </c>
    </row>
    <row r="8" spans="1:99" x14ac:dyDescent="0.35">
      <c r="A8" s="1" t="s">
        <v>2693</v>
      </c>
      <c r="B8" s="1">
        <v>171144010</v>
      </c>
      <c r="C8" s="1">
        <v>0</v>
      </c>
      <c r="D8" s="1">
        <v>1</v>
      </c>
      <c r="E8" s="1">
        <v>0</v>
      </c>
      <c r="F8" s="1">
        <v>0</v>
      </c>
      <c r="G8" s="1">
        <v>0</v>
      </c>
      <c r="H8" s="1">
        <v>0</v>
      </c>
      <c r="I8" s="1">
        <v>0</v>
      </c>
      <c r="J8" s="1">
        <v>0</v>
      </c>
      <c r="K8" s="1">
        <v>1</v>
      </c>
      <c r="L8" s="1">
        <v>0</v>
      </c>
      <c r="M8" s="1">
        <v>0</v>
      </c>
      <c r="N8" s="1">
        <v>0</v>
      </c>
      <c r="O8" s="1">
        <v>0</v>
      </c>
      <c r="P8" s="1">
        <v>0</v>
      </c>
      <c r="Q8" s="1">
        <v>20</v>
      </c>
      <c r="R8" s="1">
        <v>15</v>
      </c>
      <c r="S8" s="1">
        <v>5</v>
      </c>
      <c r="T8" s="1">
        <v>1</v>
      </c>
      <c r="U8" s="1">
        <v>3</v>
      </c>
      <c r="V8" s="1">
        <v>3</v>
      </c>
      <c r="W8" s="1">
        <v>3</v>
      </c>
      <c r="X8" s="1">
        <v>3</v>
      </c>
      <c r="Y8" s="1">
        <v>3</v>
      </c>
      <c r="Z8" s="1">
        <v>3</v>
      </c>
      <c r="AA8" s="1">
        <v>3</v>
      </c>
      <c r="CU8" s="1">
        <v>4</v>
      </c>
    </row>
    <row r="9" spans="1:99" x14ac:dyDescent="0.35">
      <c r="A9" s="1" t="s">
        <v>2694</v>
      </c>
      <c r="B9" s="1">
        <v>171144011</v>
      </c>
      <c r="C9" s="1">
        <v>0</v>
      </c>
      <c r="D9" s="1">
        <v>1</v>
      </c>
      <c r="E9" s="1">
        <v>0</v>
      </c>
      <c r="F9" s="1">
        <v>0</v>
      </c>
      <c r="G9" s="1">
        <v>0</v>
      </c>
      <c r="H9" s="1">
        <v>0</v>
      </c>
      <c r="I9" s="1">
        <v>0</v>
      </c>
      <c r="J9" s="1">
        <v>0</v>
      </c>
      <c r="K9" s="1">
        <v>1</v>
      </c>
      <c r="L9" s="1">
        <v>0</v>
      </c>
      <c r="M9" s="1">
        <v>0</v>
      </c>
      <c r="N9" s="1">
        <v>0</v>
      </c>
      <c r="O9" s="1">
        <v>0</v>
      </c>
      <c r="P9" s="1">
        <v>7</v>
      </c>
      <c r="Q9" s="1">
        <v>5</v>
      </c>
      <c r="R9" s="1">
        <v>1</v>
      </c>
      <c r="S9" s="1">
        <v>3</v>
      </c>
      <c r="T9" s="1">
        <v>3</v>
      </c>
      <c r="U9" s="1">
        <v>4</v>
      </c>
      <c r="V9" s="1">
        <v>3</v>
      </c>
      <c r="W9" s="1">
        <v>3</v>
      </c>
      <c r="X9" s="1">
        <v>3</v>
      </c>
      <c r="Y9" s="1">
        <v>2</v>
      </c>
      <c r="Z9" s="1">
        <v>3</v>
      </c>
      <c r="AA9" s="1">
        <v>3</v>
      </c>
      <c r="AB9" s="1">
        <v>4</v>
      </c>
      <c r="AC9" s="1">
        <v>1</v>
      </c>
      <c r="AD9" s="1">
        <v>1</v>
      </c>
      <c r="AF9" s="3">
        <v>2500000</v>
      </c>
      <c r="AG9" s="1">
        <v>13</v>
      </c>
      <c r="AT9" s="1" t="s">
        <v>86</v>
      </c>
      <c r="BP9" s="1">
        <v>4</v>
      </c>
      <c r="BQ9" s="1" t="s">
        <v>2695</v>
      </c>
      <c r="BR9" s="1" t="s">
        <v>2696</v>
      </c>
      <c r="BS9" s="1" t="s">
        <v>2697</v>
      </c>
      <c r="BT9" s="1" t="s">
        <v>107</v>
      </c>
      <c r="BU9" s="1">
        <v>5</v>
      </c>
      <c r="BV9" s="1">
        <v>2</v>
      </c>
      <c r="BW9" s="1">
        <v>0</v>
      </c>
      <c r="BX9" s="1">
        <v>0</v>
      </c>
      <c r="BY9" s="1">
        <v>0</v>
      </c>
      <c r="BZ9" s="1">
        <v>0</v>
      </c>
      <c r="CA9" s="1">
        <v>0</v>
      </c>
      <c r="CB9" s="1">
        <v>0</v>
      </c>
      <c r="CC9" s="1">
        <v>0</v>
      </c>
      <c r="CD9" s="1">
        <v>1</v>
      </c>
      <c r="CE9" s="1">
        <v>0</v>
      </c>
      <c r="CF9" s="1">
        <v>0</v>
      </c>
      <c r="CG9" s="1">
        <v>0</v>
      </c>
      <c r="CH9" s="1">
        <v>0</v>
      </c>
      <c r="CI9" s="1">
        <v>0</v>
      </c>
      <c r="CJ9" s="1">
        <v>4</v>
      </c>
      <c r="CK9" s="1">
        <v>4</v>
      </c>
      <c r="CL9" s="1">
        <v>4</v>
      </c>
      <c r="CM9" s="1">
        <v>4</v>
      </c>
      <c r="CN9" s="1">
        <v>4</v>
      </c>
      <c r="CO9" s="1">
        <v>4</v>
      </c>
      <c r="CP9" s="1">
        <v>4</v>
      </c>
      <c r="CU9" s="1">
        <v>1</v>
      </c>
    </row>
    <row r="10" spans="1:99" x14ac:dyDescent="0.35">
      <c r="A10" s="1" t="s">
        <v>2698</v>
      </c>
      <c r="B10" s="1">
        <v>171144014</v>
      </c>
      <c r="C10" s="1">
        <v>0</v>
      </c>
      <c r="D10" s="1">
        <v>0</v>
      </c>
      <c r="E10" s="1">
        <v>1</v>
      </c>
      <c r="F10" s="1">
        <v>0</v>
      </c>
      <c r="G10" s="1">
        <v>0</v>
      </c>
      <c r="H10" s="1">
        <v>0</v>
      </c>
      <c r="I10" s="1">
        <v>0</v>
      </c>
      <c r="J10" s="1">
        <v>0</v>
      </c>
      <c r="K10" s="1">
        <v>1</v>
      </c>
      <c r="L10" s="1">
        <v>0</v>
      </c>
      <c r="M10" s="1">
        <v>0</v>
      </c>
      <c r="N10" s="1">
        <v>0</v>
      </c>
      <c r="O10" s="1">
        <v>0</v>
      </c>
      <c r="P10" s="1">
        <v>1</v>
      </c>
      <c r="Q10" s="1">
        <v>1</v>
      </c>
      <c r="R10" s="1">
        <v>1</v>
      </c>
      <c r="S10" s="1">
        <v>1</v>
      </c>
      <c r="T10" s="1">
        <v>1</v>
      </c>
      <c r="U10" s="1">
        <v>3</v>
      </c>
      <c r="V10" s="1">
        <v>4</v>
      </c>
      <c r="W10" s="1">
        <v>3</v>
      </c>
      <c r="X10" s="1">
        <v>4</v>
      </c>
      <c r="Y10" s="1">
        <v>3</v>
      </c>
      <c r="Z10" s="1">
        <v>4</v>
      </c>
      <c r="AA10" s="1">
        <v>4</v>
      </c>
      <c r="AC10" s="1">
        <v>2</v>
      </c>
      <c r="AE10" s="1">
        <v>3</v>
      </c>
      <c r="AF10" s="3">
        <v>6000000</v>
      </c>
      <c r="AG10" s="1">
        <v>21</v>
      </c>
      <c r="BB10" s="1" t="s">
        <v>2699</v>
      </c>
      <c r="BP10" s="1">
        <v>3</v>
      </c>
      <c r="BQ10" s="1" t="s">
        <v>2700</v>
      </c>
      <c r="BR10" s="1" t="s">
        <v>2701</v>
      </c>
      <c r="BS10" s="1" t="s">
        <v>2702</v>
      </c>
      <c r="BT10" s="1" t="s">
        <v>79</v>
      </c>
      <c r="BU10" s="1">
        <v>3</v>
      </c>
      <c r="BV10" s="1">
        <v>2</v>
      </c>
      <c r="BW10" s="1">
        <v>0</v>
      </c>
      <c r="BX10" s="1">
        <v>0</v>
      </c>
      <c r="BY10" s="1">
        <v>1</v>
      </c>
      <c r="BZ10" s="1">
        <v>0</v>
      </c>
      <c r="CA10" s="1">
        <v>0</v>
      </c>
      <c r="CB10" s="1">
        <v>1</v>
      </c>
      <c r="CC10" s="1">
        <v>1</v>
      </c>
      <c r="CD10" s="1">
        <v>1</v>
      </c>
      <c r="CE10" s="1">
        <v>0</v>
      </c>
      <c r="CF10" s="1">
        <v>0</v>
      </c>
      <c r="CG10" s="1">
        <v>0</v>
      </c>
      <c r="CH10" s="1">
        <v>0</v>
      </c>
      <c r="CI10" s="1">
        <v>0</v>
      </c>
      <c r="CJ10" s="1">
        <v>4</v>
      </c>
      <c r="CK10" s="1">
        <v>3</v>
      </c>
      <c r="CL10" s="1">
        <v>3</v>
      </c>
      <c r="CM10" s="1">
        <v>4</v>
      </c>
      <c r="CN10" s="1">
        <v>4</v>
      </c>
      <c r="CO10" s="1">
        <v>4</v>
      </c>
      <c r="CP10" s="1">
        <v>4</v>
      </c>
      <c r="CU10" s="1">
        <v>1</v>
      </c>
    </row>
    <row r="11" spans="1:99" x14ac:dyDescent="0.35">
      <c r="A11" s="1" t="s">
        <v>2703</v>
      </c>
      <c r="B11" s="1">
        <v>171144016</v>
      </c>
      <c r="C11" s="1">
        <v>0</v>
      </c>
      <c r="D11" s="1">
        <v>1</v>
      </c>
      <c r="E11" s="1">
        <v>0</v>
      </c>
      <c r="F11" s="1">
        <v>0</v>
      </c>
      <c r="G11" s="1">
        <v>0</v>
      </c>
      <c r="H11" s="1">
        <v>0</v>
      </c>
      <c r="I11" s="1">
        <v>0</v>
      </c>
      <c r="J11" s="1">
        <v>1</v>
      </c>
      <c r="K11" s="1">
        <v>1</v>
      </c>
      <c r="L11" s="1">
        <v>0</v>
      </c>
      <c r="M11" s="1">
        <v>0</v>
      </c>
      <c r="N11" s="1">
        <v>0</v>
      </c>
      <c r="O11" s="1">
        <v>0</v>
      </c>
      <c r="P11" s="1">
        <v>0</v>
      </c>
      <c r="Q11" s="1">
        <v>1</v>
      </c>
      <c r="R11" s="1">
        <v>1</v>
      </c>
      <c r="S11" s="1">
        <v>1</v>
      </c>
      <c r="T11" s="1">
        <v>1</v>
      </c>
      <c r="U11" s="1">
        <v>3</v>
      </c>
      <c r="V11" s="1">
        <v>3</v>
      </c>
      <c r="W11" s="1">
        <v>3</v>
      </c>
      <c r="X11" s="1">
        <v>3</v>
      </c>
      <c r="Y11" s="1">
        <v>3</v>
      </c>
      <c r="Z11" s="1">
        <v>2</v>
      </c>
      <c r="AA11" s="1">
        <v>2</v>
      </c>
      <c r="AC11" s="1">
        <v>2</v>
      </c>
      <c r="AE11" s="1">
        <v>1</v>
      </c>
      <c r="AF11" s="3">
        <v>4000000</v>
      </c>
      <c r="AG11" s="1">
        <v>11</v>
      </c>
      <c r="AR11" s="1" t="s">
        <v>239</v>
      </c>
      <c r="BP11" s="1">
        <v>3</v>
      </c>
      <c r="BQ11" s="1" t="s">
        <v>2704</v>
      </c>
      <c r="BR11" s="1" t="s">
        <v>2705</v>
      </c>
      <c r="BS11" s="1" t="s">
        <v>2706</v>
      </c>
      <c r="BT11" s="1" t="s">
        <v>79</v>
      </c>
      <c r="BU11" s="1">
        <v>1</v>
      </c>
      <c r="BV11" s="1">
        <v>2</v>
      </c>
      <c r="BW11" s="1">
        <v>1</v>
      </c>
      <c r="BX11" s="1">
        <v>0</v>
      </c>
      <c r="BY11" s="1">
        <v>0</v>
      </c>
      <c r="BZ11" s="1">
        <v>0</v>
      </c>
      <c r="CA11" s="1">
        <v>0</v>
      </c>
      <c r="CB11" s="1">
        <v>0</v>
      </c>
      <c r="CC11" s="1">
        <v>0</v>
      </c>
      <c r="CD11" s="1">
        <v>0</v>
      </c>
      <c r="CE11" s="1">
        <v>0</v>
      </c>
      <c r="CF11" s="1">
        <v>0</v>
      </c>
      <c r="CG11" s="1">
        <v>0</v>
      </c>
      <c r="CH11" s="1">
        <v>0</v>
      </c>
      <c r="CI11" s="1">
        <v>0</v>
      </c>
      <c r="CJ11" s="1">
        <v>3</v>
      </c>
      <c r="CK11" s="1">
        <v>3</v>
      </c>
      <c r="CL11" s="1">
        <v>2</v>
      </c>
      <c r="CM11" s="1">
        <v>2</v>
      </c>
      <c r="CN11" s="1">
        <v>3</v>
      </c>
      <c r="CO11" s="1">
        <v>3</v>
      </c>
      <c r="CP11" s="1">
        <v>3</v>
      </c>
      <c r="CU11" s="1">
        <v>1</v>
      </c>
    </row>
    <row r="12" spans="1:99" x14ac:dyDescent="0.35">
      <c r="A12" s="1" t="s">
        <v>2707</v>
      </c>
      <c r="B12" s="1">
        <v>171144017</v>
      </c>
      <c r="S12" s="1">
        <v>5</v>
      </c>
      <c r="T12" s="1">
        <v>1</v>
      </c>
      <c r="U12" s="1">
        <v>4</v>
      </c>
      <c r="V12" s="1">
        <v>4</v>
      </c>
      <c r="W12" s="1">
        <v>2</v>
      </c>
      <c r="X12" s="1">
        <v>4</v>
      </c>
      <c r="Y12" s="1">
        <v>4</v>
      </c>
      <c r="Z12" s="1">
        <v>4</v>
      </c>
      <c r="AA12" s="1">
        <v>4</v>
      </c>
      <c r="CU12" s="1">
        <v>2</v>
      </c>
    </row>
    <row r="13" spans="1:99" x14ac:dyDescent="0.35">
      <c r="A13" s="1" t="s">
        <v>2708</v>
      </c>
      <c r="B13" s="1">
        <v>171144018</v>
      </c>
      <c r="C13" s="1">
        <v>0</v>
      </c>
      <c r="D13" s="1">
        <v>0</v>
      </c>
      <c r="E13" s="1">
        <v>1</v>
      </c>
      <c r="F13" s="1">
        <v>0</v>
      </c>
      <c r="G13" s="1">
        <v>0</v>
      </c>
      <c r="H13" s="1">
        <v>0</v>
      </c>
      <c r="I13" s="1">
        <v>0</v>
      </c>
      <c r="J13" s="1">
        <v>1</v>
      </c>
      <c r="K13" s="1">
        <v>1</v>
      </c>
      <c r="L13" s="1">
        <v>0</v>
      </c>
      <c r="M13" s="1">
        <v>1</v>
      </c>
      <c r="N13" s="1">
        <v>1</v>
      </c>
      <c r="O13" s="1">
        <v>0</v>
      </c>
      <c r="P13" s="1">
        <v>1</v>
      </c>
      <c r="Q13" s="1">
        <v>1</v>
      </c>
      <c r="R13" s="1">
        <v>1</v>
      </c>
      <c r="S13" s="1">
        <v>5</v>
      </c>
      <c r="T13" s="1">
        <v>1</v>
      </c>
      <c r="U13" s="1">
        <v>4</v>
      </c>
      <c r="V13" s="1">
        <v>3</v>
      </c>
      <c r="W13" s="1">
        <v>2</v>
      </c>
      <c r="X13" s="1">
        <v>3</v>
      </c>
      <c r="Y13" s="1">
        <v>4</v>
      </c>
      <c r="Z13" s="1">
        <v>4</v>
      </c>
      <c r="AA13" s="1">
        <v>4</v>
      </c>
      <c r="CU13" s="1">
        <v>3</v>
      </c>
    </row>
    <row r="14" spans="1:99" x14ac:dyDescent="0.35">
      <c r="A14" s="1" t="s">
        <v>2709</v>
      </c>
      <c r="B14" s="1">
        <v>171144019</v>
      </c>
      <c r="C14" s="1">
        <v>0</v>
      </c>
      <c r="D14" s="1">
        <v>1</v>
      </c>
      <c r="E14" s="1">
        <v>0</v>
      </c>
      <c r="F14" s="1">
        <v>0</v>
      </c>
      <c r="G14" s="1">
        <v>0</v>
      </c>
      <c r="H14" s="1">
        <v>0</v>
      </c>
      <c r="I14" s="1">
        <v>0</v>
      </c>
      <c r="J14" s="1">
        <v>0</v>
      </c>
      <c r="K14" s="1">
        <v>1</v>
      </c>
      <c r="L14" s="1">
        <v>0</v>
      </c>
      <c r="M14" s="1">
        <v>0</v>
      </c>
      <c r="N14" s="1">
        <v>0</v>
      </c>
      <c r="O14" s="1">
        <v>0</v>
      </c>
      <c r="P14" s="1" t="s">
        <v>431</v>
      </c>
      <c r="Q14" s="1" t="s">
        <v>570</v>
      </c>
      <c r="R14" s="1">
        <v>5</v>
      </c>
      <c r="S14" s="1">
        <v>5</v>
      </c>
      <c r="T14" s="1">
        <v>3</v>
      </c>
      <c r="U14" s="1">
        <v>4</v>
      </c>
      <c r="V14" s="1">
        <v>4</v>
      </c>
      <c r="W14" s="1">
        <v>4</v>
      </c>
      <c r="X14" s="1">
        <v>4</v>
      </c>
      <c r="Y14" s="1">
        <v>4</v>
      </c>
      <c r="Z14" s="1">
        <v>4</v>
      </c>
      <c r="AA14" s="1">
        <v>4</v>
      </c>
    </row>
    <row r="15" spans="1:99" x14ac:dyDescent="0.35">
      <c r="A15" s="1" t="s">
        <v>2710</v>
      </c>
      <c r="B15" s="1">
        <v>171144020</v>
      </c>
      <c r="C15" s="1">
        <v>0</v>
      </c>
      <c r="D15" s="1">
        <v>0</v>
      </c>
      <c r="E15" s="1">
        <v>0</v>
      </c>
      <c r="F15" s="1">
        <v>0</v>
      </c>
      <c r="G15" s="1">
        <v>0</v>
      </c>
      <c r="H15" s="1">
        <v>0</v>
      </c>
      <c r="I15" s="1">
        <v>0</v>
      </c>
      <c r="J15" s="1">
        <v>0</v>
      </c>
      <c r="K15" s="1">
        <v>1</v>
      </c>
      <c r="L15" s="1">
        <v>0</v>
      </c>
      <c r="M15" s="1">
        <v>0</v>
      </c>
      <c r="N15" s="1">
        <v>0</v>
      </c>
      <c r="O15" s="1">
        <v>0</v>
      </c>
      <c r="P15" s="1">
        <v>0</v>
      </c>
      <c r="Q15" s="1">
        <v>5</v>
      </c>
      <c r="R15" s="1">
        <v>3</v>
      </c>
      <c r="S15" s="1">
        <v>1</v>
      </c>
      <c r="T15" s="1">
        <v>1</v>
      </c>
      <c r="U15" s="1">
        <v>3</v>
      </c>
      <c r="V15" s="1">
        <v>3</v>
      </c>
      <c r="W15" s="1">
        <v>2</v>
      </c>
      <c r="X15" s="1">
        <v>3</v>
      </c>
      <c r="Y15" s="1">
        <v>4</v>
      </c>
      <c r="Z15" s="1">
        <v>4</v>
      </c>
      <c r="AA15" s="1">
        <v>3</v>
      </c>
      <c r="AC15" s="1">
        <v>1</v>
      </c>
      <c r="AD15" s="1">
        <v>3</v>
      </c>
      <c r="AF15" s="3">
        <v>4000000</v>
      </c>
      <c r="AG15" s="1">
        <v>13</v>
      </c>
      <c r="AT15" s="1" t="s">
        <v>86</v>
      </c>
      <c r="BP15" s="1">
        <v>3</v>
      </c>
      <c r="BQ15" s="1" t="s">
        <v>2711</v>
      </c>
      <c r="BR15" s="1" t="s">
        <v>2712</v>
      </c>
      <c r="BS15" s="1" t="s">
        <v>2713</v>
      </c>
      <c r="BT15" s="1" t="s">
        <v>79</v>
      </c>
      <c r="BU15" s="1">
        <v>1</v>
      </c>
      <c r="BV15" s="1">
        <v>2</v>
      </c>
      <c r="BW15" s="1">
        <v>1</v>
      </c>
      <c r="BX15" s="1">
        <v>0</v>
      </c>
      <c r="BY15" s="1">
        <v>0</v>
      </c>
      <c r="BZ15" s="1">
        <v>0</v>
      </c>
      <c r="CA15" s="1">
        <v>0</v>
      </c>
      <c r="CB15" s="1">
        <v>0</v>
      </c>
      <c r="CC15" s="1">
        <v>0</v>
      </c>
      <c r="CD15" s="1">
        <v>0</v>
      </c>
      <c r="CE15" s="1">
        <v>0</v>
      </c>
      <c r="CF15" s="1">
        <v>0</v>
      </c>
      <c r="CG15" s="1">
        <v>0</v>
      </c>
      <c r="CH15" s="1">
        <v>0</v>
      </c>
      <c r="CI15" s="1">
        <v>0</v>
      </c>
      <c r="CJ15" s="1">
        <v>4</v>
      </c>
      <c r="CK15" s="1">
        <v>4</v>
      </c>
      <c r="CL15" s="1">
        <v>4</v>
      </c>
      <c r="CM15" s="1">
        <v>4</v>
      </c>
      <c r="CN15" s="1">
        <v>4</v>
      </c>
      <c r="CO15" s="1">
        <v>4</v>
      </c>
      <c r="CP15" s="1">
        <v>4</v>
      </c>
      <c r="CU15" s="1">
        <v>1</v>
      </c>
    </row>
    <row r="16" spans="1:99" x14ac:dyDescent="0.35">
      <c r="A16" s="1" t="s">
        <v>2714</v>
      </c>
      <c r="B16" s="1">
        <v>171144021</v>
      </c>
      <c r="C16" s="1">
        <v>1</v>
      </c>
      <c r="D16" s="1">
        <v>1</v>
      </c>
      <c r="E16" s="1">
        <v>1</v>
      </c>
      <c r="F16" s="1">
        <v>0</v>
      </c>
      <c r="G16" s="1">
        <v>0</v>
      </c>
      <c r="H16" s="1">
        <v>0</v>
      </c>
      <c r="I16" s="1">
        <v>0</v>
      </c>
      <c r="J16" s="1">
        <v>1</v>
      </c>
      <c r="K16" s="1">
        <v>1</v>
      </c>
      <c r="L16" s="1">
        <v>0</v>
      </c>
      <c r="M16" s="1">
        <v>0</v>
      </c>
      <c r="N16" s="1">
        <v>0</v>
      </c>
      <c r="O16" s="1">
        <v>0</v>
      </c>
      <c r="P16" s="1">
        <v>10</v>
      </c>
      <c r="Q16" s="1">
        <v>2</v>
      </c>
      <c r="R16" s="1">
        <v>1</v>
      </c>
      <c r="S16" s="1">
        <v>4</v>
      </c>
      <c r="T16" s="1">
        <v>1</v>
      </c>
      <c r="U16" s="1">
        <v>4</v>
      </c>
      <c r="V16" s="1">
        <v>3</v>
      </c>
      <c r="W16" s="1">
        <v>4</v>
      </c>
      <c r="X16" s="1">
        <v>4</v>
      </c>
      <c r="Y16" s="1">
        <v>4</v>
      </c>
      <c r="Z16" s="1">
        <v>4</v>
      </c>
      <c r="AA16" s="1">
        <v>4</v>
      </c>
      <c r="CQ16" s="1">
        <v>1</v>
      </c>
      <c r="CR16" s="1" t="s">
        <v>172</v>
      </c>
      <c r="CS16" s="1" t="s">
        <v>2715</v>
      </c>
      <c r="CT16" s="5">
        <v>44436</v>
      </c>
      <c r="CU16" s="1">
        <v>2</v>
      </c>
    </row>
    <row r="17" spans="1:99" x14ac:dyDescent="0.35">
      <c r="A17" s="1" t="s">
        <v>2716</v>
      </c>
      <c r="B17" s="1">
        <v>171144022</v>
      </c>
      <c r="C17" s="1">
        <v>0</v>
      </c>
      <c r="D17" s="1">
        <v>1</v>
      </c>
      <c r="E17" s="1">
        <v>1</v>
      </c>
      <c r="F17" s="1">
        <v>0</v>
      </c>
      <c r="G17" s="1">
        <v>0</v>
      </c>
      <c r="H17" s="1">
        <v>0</v>
      </c>
      <c r="I17" s="1">
        <v>0</v>
      </c>
      <c r="J17" s="1">
        <v>0</v>
      </c>
      <c r="K17" s="1">
        <v>1</v>
      </c>
      <c r="L17" s="1">
        <v>0</v>
      </c>
      <c r="M17" s="1">
        <v>0</v>
      </c>
      <c r="N17" s="1">
        <v>0</v>
      </c>
      <c r="O17" s="1">
        <v>0</v>
      </c>
      <c r="P17" s="1">
        <v>20</v>
      </c>
      <c r="Q17" s="1">
        <v>2</v>
      </c>
      <c r="R17" s="1">
        <v>1</v>
      </c>
      <c r="S17" s="1">
        <v>1</v>
      </c>
      <c r="T17" s="1">
        <v>1</v>
      </c>
      <c r="U17" s="1">
        <v>3</v>
      </c>
      <c r="V17" s="1">
        <v>3</v>
      </c>
      <c r="W17" s="1">
        <v>3</v>
      </c>
      <c r="X17" s="1">
        <v>3</v>
      </c>
      <c r="Y17" s="1">
        <v>2</v>
      </c>
      <c r="Z17" s="1">
        <v>3</v>
      </c>
      <c r="AA17" s="1">
        <v>3</v>
      </c>
      <c r="AC17" s="1">
        <v>2</v>
      </c>
      <c r="AE17" s="1">
        <v>8</v>
      </c>
      <c r="AF17" s="3">
        <v>3500000</v>
      </c>
      <c r="AG17" s="1">
        <v>13</v>
      </c>
      <c r="AT17" s="1" t="s">
        <v>86</v>
      </c>
      <c r="BP17" s="1">
        <v>3</v>
      </c>
      <c r="BQ17" s="1" t="s">
        <v>2717</v>
      </c>
      <c r="BR17" s="1" t="s">
        <v>2718</v>
      </c>
      <c r="BS17" s="1" t="s">
        <v>2719</v>
      </c>
      <c r="BT17" s="1" t="s">
        <v>79</v>
      </c>
      <c r="BU17" s="1">
        <v>2</v>
      </c>
      <c r="BV17" s="1">
        <v>2</v>
      </c>
      <c r="BW17" s="1">
        <v>1</v>
      </c>
      <c r="BX17" s="1">
        <v>0</v>
      </c>
      <c r="BY17" s="1">
        <v>0</v>
      </c>
      <c r="BZ17" s="1">
        <v>0</v>
      </c>
      <c r="CA17" s="1">
        <v>0</v>
      </c>
      <c r="CB17" s="1">
        <v>0</v>
      </c>
      <c r="CC17" s="1">
        <v>0</v>
      </c>
      <c r="CD17" s="1">
        <v>0</v>
      </c>
      <c r="CE17" s="1">
        <v>0</v>
      </c>
      <c r="CF17" s="1">
        <v>0</v>
      </c>
      <c r="CG17" s="1">
        <v>0</v>
      </c>
      <c r="CH17" s="1">
        <v>0</v>
      </c>
      <c r="CI17" s="1">
        <v>0</v>
      </c>
      <c r="CJ17" s="1">
        <v>4</v>
      </c>
      <c r="CK17" s="1">
        <v>3</v>
      </c>
      <c r="CL17" s="1">
        <v>2</v>
      </c>
      <c r="CM17" s="1">
        <v>3</v>
      </c>
      <c r="CN17" s="1">
        <v>4</v>
      </c>
      <c r="CO17" s="1">
        <v>4</v>
      </c>
      <c r="CP17" s="1">
        <v>3</v>
      </c>
      <c r="CU17" s="1">
        <v>2</v>
      </c>
    </row>
    <row r="18" spans="1:99" x14ac:dyDescent="0.35">
      <c r="A18" s="1" t="s">
        <v>2720</v>
      </c>
      <c r="B18" s="1">
        <v>171144023</v>
      </c>
      <c r="C18" s="1">
        <v>0</v>
      </c>
      <c r="D18" s="1">
        <v>0</v>
      </c>
      <c r="E18" s="1">
        <v>0</v>
      </c>
      <c r="F18" s="1">
        <v>0</v>
      </c>
      <c r="G18" s="1">
        <v>0</v>
      </c>
      <c r="H18" s="1">
        <v>0</v>
      </c>
      <c r="I18" s="1">
        <v>1</v>
      </c>
      <c r="J18" s="1">
        <v>0</v>
      </c>
      <c r="K18" s="1">
        <v>1</v>
      </c>
      <c r="L18" s="1">
        <v>0</v>
      </c>
      <c r="M18" s="1">
        <v>0</v>
      </c>
      <c r="N18" s="1">
        <v>0</v>
      </c>
      <c r="O18" s="1">
        <v>0</v>
      </c>
      <c r="P18" s="1">
        <v>3</v>
      </c>
      <c r="Q18" s="1">
        <v>3</v>
      </c>
      <c r="R18" s="1">
        <v>1</v>
      </c>
      <c r="S18" s="1">
        <v>1</v>
      </c>
      <c r="T18" s="1">
        <v>1</v>
      </c>
      <c r="U18" s="1">
        <v>4</v>
      </c>
      <c r="V18" s="1">
        <v>3</v>
      </c>
      <c r="W18" s="1">
        <v>3</v>
      </c>
      <c r="X18" s="1">
        <v>3</v>
      </c>
      <c r="Y18" s="1">
        <v>4</v>
      </c>
      <c r="Z18" s="1">
        <v>4</v>
      </c>
      <c r="AA18" s="1">
        <v>4</v>
      </c>
      <c r="AC18" s="1">
        <v>1</v>
      </c>
      <c r="AD18" s="1">
        <v>1</v>
      </c>
      <c r="AE18" s="1">
        <v>1</v>
      </c>
      <c r="AF18" s="3">
        <v>5800000</v>
      </c>
      <c r="AG18" s="1">
        <v>16</v>
      </c>
      <c r="AW18" s="1" t="s">
        <v>2721</v>
      </c>
      <c r="BP18" s="1">
        <v>6</v>
      </c>
      <c r="BQ18" s="1" t="s">
        <v>2722</v>
      </c>
      <c r="BR18" s="1" t="s">
        <v>2723</v>
      </c>
      <c r="BS18" s="1" t="s">
        <v>2724</v>
      </c>
      <c r="BT18" s="1" t="s">
        <v>79</v>
      </c>
      <c r="BU18" s="1">
        <v>3</v>
      </c>
      <c r="BV18" s="1">
        <v>2</v>
      </c>
      <c r="BW18" s="1">
        <v>0</v>
      </c>
      <c r="BX18" s="1">
        <v>0</v>
      </c>
      <c r="BY18" s="1">
        <v>1</v>
      </c>
      <c r="BZ18" s="1">
        <v>0</v>
      </c>
      <c r="CA18" s="1">
        <v>0</v>
      </c>
      <c r="CB18" s="1">
        <v>0</v>
      </c>
      <c r="CC18" s="1">
        <v>0</v>
      </c>
      <c r="CD18" s="1">
        <v>1</v>
      </c>
      <c r="CE18" s="1">
        <v>0</v>
      </c>
      <c r="CF18" s="1">
        <v>0</v>
      </c>
      <c r="CG18" s="1">
        <v>1</v>
      </c>
      <c r="CH18" s="1">
        <v>1</v>
      </c>
      <c r="CI18" s="1">
        <v>0</v>
      </c>
      <c r="CJ18" s="1">
        <v>4</v>
      </c>
      <c r="CK18" s="1">
        <v>4</v>
      </c>
      <c r="CL18" s="1">
        <v>4</v>
      </c>
      <c r="CM18" s="1">
        <v>4</v>
      </c>
      <c r="CN18" s="1">
        <v>4</v>
      </c>
      <c r="CO18" s="1">
        <v>4</v>
      </c>
      <c r="CP18" s="1">
        <v>4</v>
      </c>
      <c r="CU18" s="1">
        <v>4</v>
      </c>
    </row>
    <row r="19" spans="1:99" x14ac:dyDescent="0.35">
      <c r="A19" s="1" t="s">
        <v>2725</v>
      </c>
      <c r="B19" s="1">
        <v>171144025</v>
      </c>
      <c r="C19" s="1">
        <v>0</v>
      </c>
      <c r="D19" s="1">
        <v>1</v>
      </c>
      <c r="E19" s="1">
        <v>0</v>
      </c>
      <c r="F19" s="1">
        <v>0</v>
      </c>
      <c r="G19" s="1">
        <v>0</v>
      </c>
      <c r="H19" s="1">
        <v>0</v>
      </c>
      <c r="I19" s="1">
        <v>0</v>
      </c>
      <c r="J19" s="1">
        <v>1</v>
      </c>
      <c r="K19" s="1">
        <v>1</v>
      </c>
      <c r="L19" s="1">
        <v>0</v>
      </c>
      <c r="M19" s="1">
        <v>0</v>
      </c>
      <c r="N19" s="1">
        <v>0</v>
      </c>
      <c r="O19" s="1">
        <v>0</v>
      </c>
      <c r="P19" s="1">
        <v>30</v>
      </c>
      <c r="Q19" s="1">
        <v>25</v>
      </c>
      <c r="R19" s="1">
        <v>15</v>
      </c>
      <c r="S19" s="1">
        <v>1</v>
      </c>
      <c r="T19" s="1">
        <v>1</v>
      </c>
      <c r="U19" s="1">
        <v>4</v>
      </c>
      <c r="V19" s="1">
        <v>4</v>
      </c>
      <c r="W19" s="1">
        <v>4</v>
      </c>
      <c r="X19" s="1">
        <v>4</v>
      </c>
      <c r="Y19" s="1">
        <v>3</v>
      </c>
      <c r="Z19" s="1">
        <v>4</v>
      </c>
      <c r="AA19" s="1">
        <v>4</v>
      </c>
      <c r="AC19" s="1">
        <v>1</v>
      </c>
      <c r="AD19" s="1">
        <v>4</v>
      </c>
      <c r="AF19" s="3">
        <v>2500000</v>
      </c>
      <c r="AG19" s="1">
        <v>13</v>
      </c>
      <c r="AT19" s="1" t="s">
        <v>86</v>
      </c>
      <c r="BP19" s="1">
        <v>3</v>
      </c>
      <c r="BQ19" s="1" t="s">
        <v>2726</v>
      </c>
      <c r="BR19" s="1" t="s">
        <v>2727</v>
      </c>
      <c r="BT19" s="1" t="s">
        <v>79</v>
      </c>
      <c r="BU19" s="1">
        <v>3</v>
      </c>
      <c r="BV19" s="1">
        <v>3</v>
      </c>
      <c r="BW19" s="1">
        <v>0</v>
      </c>
      <c r="BX19" s="1">
        <v>0</v>
      </c>
      <c r="BY19" s="1">
        <v>1</v>
      </c>
      <c r="BZ19" s="1">
        <v>0</v>
      </c>
      <c r="CA19" s="1">
        <v>1</v>
      </c>
      <c r="CB19" s="1">
        <v>0</v>
      </c>
      <c r="CC19" s="1">
        <v>1</v>
      </c>
      <c r="CD19" s="1">
        <v>1</v>
      </c>
      <c r="CE19" s="1">
        <v>1</v>
      </c>
      <c r="CF19" s="1">
        <v>1</v>
      </c>
      <c r="CG19" s="1">
        <v>0</v>
      </c>
      <c r="CH19" s="1">
        <v>0</v>
      </c>
      <c r="CI19" s="1">
        <v>0</v>
      </c>
      <c r="CJ19" s="1">
        <v>4</v>
      </c>
      <c r="CK19" s="1">
        <v>4</v>
      </c>
      <c r="CL19" s="1">
        <v>4</v>
      </c>
      <c r="CM19" s="1">
        <v>4</v>
      </c>
      <c r="CN19" s="1">
        <v>4</v>
      </c>
      <c r="CO19" s="1">
        <v>4</v>
      </c>
      <c r="CP19" s="1">
        <v>4</v>
      </c>
      <c r="CU19" s="1">
        <v>1</v>
      </c>
    </row>
    <row r="20" spans="1:99" x14ac:dyDescent="0.35">
      <c r="A20" s="1" t="s">
        <v>2728</v>
      </c>
      <c r="B20" s="1">
        <v>171144026</v>
      </c>
      <c r="C20" s="1">
        <v>0</v>
      </c>
      <c r="D20" s="1">
        <v>1</v>
      </c>
      <c r="E20" s="1">
        <v>1</v>
      </c>
      <c r="F20" s="1">
        <v>0</v>
      </c>
      <c r="G20" s="1">
        <v>0</v>
      </c>
      <c r="H20" s="1">
        <v>0</v>
      </c>
      <c r="I20" s="1">
        <v>0</v>
      </c>
      <c r="J20" s="1">
        <v>1</v>
      </c>
      <c r="K20" s="1">
        <v>1</v>
      </c>
      <c r="L20" s="1">
        <v>0</v>
      </c>
      <c r="M20" s="1">
        <v>0</v>
      </c>
      <c r="N20" s="1">
        <v>0</v>
      </c>
      <c r="O20" s="1">
        <v>0</v>
      </c>
      <c r="P20" s="1">
        <v>2</v>
      </c>
      <c r="Q20" s="1">
        <v>5</v>
      </c>
      <c r="R20" s="1">
        <v>5</v>
      </c>
      <c r="S20" s="1">
        <v>5</v>
      </c>
      <c r="T20" s="1">
        <v>1</v>
      </c>
      <c r="U20" s="1">
        <v>4</v>
      </c>
      <c r="V20" s="1">
        <v>3</v>
      </c>
      <c r="W20" s="1">
        <v>3</v>
      </c>
      <c r="X20" s="1">
        <v>4</v>
      </c>
      <c r="Y20" s="1">
        <v>4</v>
      </c>
      <c r="Z20" s="1">
        <v>4</v>
      </c>
      <c r="AA20" s="1">
        <v>4</v>
      </c>
      <c r="CU20" s="1">
        <v>4</v>
      </c>
    </row>
    <row r="21" spans="1:99" x14ac:dyDescent="0.35">
      <c r="A21" s="1" t="s">
        <v>2729</v>
      </c>
      <c r="B21" s="1">
        <v>171144027</v>
      </c>
      <c r="C21" s="1">
        <v>1</v>
      </c>
      <c r="D21" s="1">
        <v>1</v>
      </c>
      <c r="E21" s="1">
        <v>0</v>
      </c>
      <c r="F21" s="1">
        <v>0</v>
      </c>
      <c r="G21" s="1">
        <v>0</v>
      </c>
      <c r="H21" s="1">
        <v>1</v>
      </c>
      <c r="I21" s="1">
        <v>0</v>
      </c>
      <c r="J21" s="1">
        <v>0</v>
      </c>
      <c r="K21" s="1">
        <v>1</v>
      </c>
      <c r="L21" s="1">
        <v>0</v>
      </c>
      <c r="M21" s="1">
        <v>0</v>
      </c>
      <c r="N21" s="1">
        <v>0</v>
      </c>
      <c r="O21" s="1">
        <v>0</v>
      </c>
      <c r="P21" s="1">
        <v>100</v>
      </c>
      <c r="Q21" s="1">
        <v>20</v>
      </c>
      <c r="R21" s="1">
        <v>5</v>
      </c>
      <c r="S21" s="1">
        <v>1</v>
      </c>
      <c r="T21" s="1">
        <v>1</v>
      </c>
      <c r="U21" s="1">
        <v>4</v>
      </c>
      <c r="V21" s="1">
        <v>3</v>
      </c>
      <c r="W21" s="1">
        <v>3</v>
      </c>
      <c r="X21" s="1">
        <v>3</v>
      </c>
      <c r="Y21" s="1">
        <v>3</v>
      </c>
      <c r="Z21" s="1">
        <v>4</v>
      </c>
      <c r="AA21" s="1">
        <v>4</v>
      </c>
      <c r="AC21" s="1">
        <v>1</v>
      </c>
      <c r="AD21" s="1">
        <v>6</v>
      </c>
      <c r="AF21" s="3">
        <v>6000000</v>
      </c>
      <c r="AG21" s="1">
        <v>13</v>
      </c>
      <c r="AT21" s="1" t="s">
        <v>86</v>
      </c>
      <c r="BP21" s="1">
        <v>6</v>
      </c>
      <c r="BQ21" s="1" t="s">
        <v>775</v>
      </c>
      <c r="BR21" s="1" t="s">
        <v>2730</v>
      </c>
      <c r="BS21" s="1" t="s">
        <v>4332</v>
      </c>
      <c r="BT21" s="1" t="s">
        <v>79</v>
      </c>
      <c r="BU21" s="1">
        <v>4</v>
      </c>
      <c r="BV21" s="1">
        <v>2</v>
      </c>
      <c r="BW21" s="1">
        <v>0</v>
      </c>
      <c r="BX21" s="1">
        <v>1</v>
      </c>
      <c r="BY21" s="1">
        <v>0</v>
      </c>
      <c r="BZ21" s="1">
        <v>0</v>
      </c>
      <c r="CA21" s="1">
        <v>0</v>
      </c>
      <c r="CB21" s="1">
        <v>1</v>
      </c>
      <c r="CC21" s="1">
        <v>1</v>
      </c>
      <c r="CD21" s="1">
        <v>0</v>
      </c>
      <c r="CE21" s="1">
        <v>0</v>
      </c>
      <c r="CF21" s="1">
        <v>0</v>
      </c>
      <c r="CG21" s="1">
        <v>0</v>
      </c>
      <c r="CH21" s="1">
        <v>0</v>
      </c>
      <c r="CI21" s="1">
        <v>0</v>
      </c>
      <c r="CJ21" s="1">
        <v>4</v>
      </c>
      <c r="CK21" s="1">
        <v>3</v>
      </c>
      <c r="CL21" s="1">
        <v>4</v>
      </c>
      <c r="CM21" s="1">
        <v>4</v>
      </c>
      <c r="CN21" s="1">
        <v>4</v>
      </c>
      <c r="CO21" s="1">
        <v>4</v>
      </c>
      <c r="CP21" s="1">
        <v>4</v>
      </c>
      <c r="CU21" s="1">
        <v>1</v>
      </c>
    </row>
    <row r="22" spans="1:99" x14ac:dyDescent="0.35">
      <c r="A22" s="1" t="s">
        <v>2731</v>
      </c>
      <c r="B22" s="1">
        <v>171144028</v>
      </c>
      <c r="C22" s="1">
        <v>1</v>
      </c>
      <c r="D22" s="1">
        <v>1</v>
      </c>
      <c r="E22" s="1">
        <v>0</v>
      </c>
      <c r="F22" s="1">
        <v>0</v>
      </c>
      <c r="G22" s="1">
        <v>0</v>
      </c>
      <c r="H22" s="1">
        <v>0</v>
      </c>
      <c r="I22" s="1">
        <v>0</v>
      </c>
      <c r="J22" s="1">
        <v>0</v>
      </c>
      <c r="K22" s="1">
        <v>0</v>
      </c>
      <c r="L22" s="1">
        <v>0</v>
      </c>
      <c r="M22" s="1">
        <v>0</v>
      </c>
      <c r="N22" s="1">
        <v>0</v>
      </c>
      <c r="O22" s="1">
        <v>0</v>
      </c>
      <c r="P22" s="1" t="s">
        <v>463</v>
      </c>
      <c r="Q22" s="1" t="s">
        <v>712</v>
      </c>
      <c r="R22" s="1" t="s">
        <v>712</v>
      </c>
      <c r="S22" s="1">
        <v>1</v>
      </c>
      <c r="T22" s="1">
        <v>1</v>
      </c>
      <c r="U22" s="1">
        <v>3</v>
      </c>
      <c r="V22" s="1">
        <v>3</v>
      </c>
      <c r="W22" s="1">
        <v>4</v>
      </c>
      <c r="X22" s="1">
        <v>4</v>
      </c>
      <c r="Y22" s="1">
        <v>3</v>
      </c>
      <c r="Z22" s="1">
        <v>3</v>
      </c>
      <c r="AA22" s="1">
        <v>3</v>
      </c>
      <c r="AC22" s="1">
        <v>2</v>
      </c>
      <c r="AE22" s="1">
        <v>7</v>
      </c>
      <c r="AF22" s="3">
        <v>5000000</v>
      </c>
      <c r="AG22" s="1">
        <v>20</v>
      </c>
      <c r="BA22" s="1" t="s">
        <v>2732</v>
      </c>
      <c r="BP22" s="1">
        <v>3</v>
      </c>
      <c r="BQ22" s="1" t="s">
        <v>2733</v>
      </c>
      <c r="BR22" s="1" t="s">
        <v>2734</v>
      </c>
      <c r="BT22" s="1" t="s">
        <v>79</v>
      </c>
      <c r="BU22" s="1">
        <v>4</v>
      </c>
      <c r="BV22" s="1">
        <v>2</v>
      </c>
      <c r="BW22" s="1">
        <v>0</v>
      </c>
      <c r="BX22" s="1">
        <v>1</v>
      </c>
      <c r="BY22" s="1">
        <v>0</v>
      </c>
      <c r="BZ22" s="1">
        <v>0</v>
      </c>
      <c r="CA22" s="1">
        <v>0</v>
      </c>
      <c r="CB22" s="1">
        <v>0</v>
      </c>
      <c r="CC22" s="1">
        <v>0</v>
      </c>
      <c r="CD22" s="1">
        <v>0</v>
      </c>
      <c r="CE22" s="1">
        <v>0</v>
      </c>
      <c r="CF22" s="1">
        <v>0</v>
      </c>
      <c r="CG22" s="1">
        <v>0</v>
      </c>
      <c r="CH22" s="1">
        <v>1</v>
      </c>
      <c r="CI22" s="1">
        <v>0</v>
      </c>
      <c r="CJ22" s="1">
        <v>4</v>
      </c>
      <c r="CK22" s="1">
        <v>2</v>
      </c>
      <c r="CL22" s="1">
        <v>3</v>
      </c>
      <c r="CM22" s="1">
        <v>3</v>
      </c>
      <c r="CN22" s="1">
        <v>4</v>
      </c>
      <c r="CO22" s="1">
        <v>4</v>
      </c>
      <c r="CP22" s="1">
        <v>3</v>
      </c>
      <c r="CU22" s="1">
        <v>1</v>
      </c>
    </row>
    <row r="23" spans="1:99" x14ac:dyDescent="0.35">
      <c r="A23" s="1" t="s">
        <v>2735</v>
      </c>
      <c r="B23" s="1">
        <v>171144030</v>
      </c>
      <c r="C23" s="1">
        <v>0</v>
      </c>
      <c r="D23" s="1">
        <v>0</v>
      </c>
      <c r="E23" s="1">
        <v>0</v>
      </c>
      <c r="F23" s="1">
        <v>0</v>
      </c>
      <c r="G23" s="1">
        <v>0</v>
      </c>
      <c r="H23" s="1">
        <v>0</v>
      </c>
      <c r="I23" s="1">
        <v>0</v>
      </c>
      <c r="J23" s="1">
        <v>0</v>
      </c>
      <c r="K23" s="1">
        <v>0</v>
      </c>
      <c r="L23" s="1">
        <v>0</v>
      </c>
      <c r="M23" s="1">
        <v>0</v>
      </c>
      <c r="N23" s="1">
        <v>0</v>
      </c>
      <c r="O23" s="1" t="s">
        <v>2736</v>
      </c>
      <c r="P23" s="1">
        <v>1</v>
      </c>
      <c r="Q23" s="1">
        <v>1</v>
      </c>
      <c r="R23" s="1">
        <v>1</v>
      </c>
      <c r="S23" s="1">
        <v>1</v>
      </c>
      <c r="T23" s="1">
        <v>3</v>
      </c>
      <c r="U23" s="1">
        <v>3</v>
      </c>
      <c r="V23" s="1">
        <v>3</v>
      </c>
      <c r="W23" s="1">
        <v>3</v>
      </c>
      <c r="X23" s="1">
        <v>3</v>
      </c>
      <c r="Y23" s="1">
        <v>3</v>
      </c>
      <c r="Z23" s="1">
        <v>3</v>
      </c>
      <c r="AA23" s="1">
        <v>3</v>
      </c>
      <c r="AC23" s="1">
        <v>1</v>
      </c>
      <c r="AD23" s="1">
        <v>0</v>
      </c>
      <c r="AF23" s="3">
        <v>3750000</v>
      </c>
      <c r="AG23" s="1">
        <v>13</v>
      </c>
      <c r="AT23" s="1" t="s">
        <v>93</v>
      </c>
      <c r="BP23" s="1">
        <v>3</v>
      </c>
      <c r="BQ23" s="1" t="s">
        <v>2737</v>
      </c>
      <c r="BR23" s="1" t="s">
        <v>2738</v>
      </c>
      <c r="BS23" s="1" t="s">
        <v>2739</v>
      </c>
      <c r="BT23" s="1" t="s">
        <v>79</v>
      </c>
      <c r="BU23" s="1">
        <v>3</v>
      </c>
      <c r="BV23" s="1">
        <v>2</v>
      </c>
      <c r="BW23" s="1">
        <v>1</v>
      </c>
      <c r="BX23" s="1">
        <v>0</v>
      </c>
      <c r="BY23" s="1">
        <v>0</v>
      </c>
      <c r="BZ23" s="1">
        <v>0</v>
      </c>
      <c r="CA23" s="1">
        <v>0</v>
      </c>
      <c r="CB23" s="1">
        <v>0</v>
      </c>
      <c r="CC23" s="1">
        <v>0</v>
      </c>
      <c r="CD23" s="1">
        <v>0</v>
      </c>
      <c r="CE23" s="1">
        <v>0</v>
      </c>
      <c r="CF23" s="1">
        <v>0</v>
      </c>
      <c r="CG23" s="1">
        <v>0</v>
      </c>
      <c r="CH23" s="1">
        <v>1</v>
      </c>
      <c r="CI23" s="1">
        <v>0</v>
      </c>
      <c r="CJ23" s="1">
        <v>4</v>
      </c>
      <c r="CK23" s="1">
        <v>4</v>
      </c>
      <c r="CL23" s="1">
        <v>4</v>
      </c>
      <c r="CM23" s="1">
        <v>4</v>
      </c>
      <c r="CN23" s="1">
        <v>4</v>
      </c>
      <c r="CO23" s="1">
        <v>4</v>
      </c>
      <c r="CP23" s="1">
        <v>4</v>
      </c>
      <c r="CU23" s="1">
        <v>1</v>
      </c>
    </row>
    <row r="24" spans="1:99" x14ac:dyDescent="0.35">
      <c r="A24" s="1" t="s">
        <v>2740</v>
      </c>
      <c r="B24" s="1">
        <v>171144031</v>
      </c>
      <c r="C24" s="1">
        <v>0</v>
      </c>
      <c r="D24" s="1">
        <v>1</v>
      </c>
      <c r="E24" s="1">
        <v>0</v>
      </c>
      <c r="F24" s="1">
        <v>0</v>
      </c>
      <c r="G24" s="1">
        <v>0</v>
      </c>
      <c r="H24" s="1">
        <v>0</v>
      </c>
      <c r="I24" s="1">
        <v>0</v>
      </c>
      <c r="J24" s="1">
        <v>0</v>
      </c>
      <c r="K24" s="1">
        <v>1</v>
      </c>
      <c r="L24" s="1">
        <v>0</v>
      </c>
      <c r="M24" s="1">
        <v>0</v>
      </c>
      <c r="N24" s="1">
        <v>0</v>
      </c>
      <c r="O24" s="1">
        <v>0</v>
      </c>
      <c r="P24" s="1">
        <v>10</v>
      </c>
      <c r="Q24" s="1">
        <v>6</v>
      </c>
      <c r="R24" s="1">
        <v>5</v>
      </c>
      <c r="S24" s="1">
        <v>1</v>
      </c>
      <c r="T24" s="1">
        <v>1</v>
      </c>
      <c r="U24" s="1">
        <v>4</v>
      </c>
      <c r="V24" s="1">
        <v>4</v>
      </c>
      <c r="W24" s="1">
        <v>4</v>
      </c>
      <c r="X24" s="1">
        <v>4</v>
      </c>
      <c r="Y24" s="1">
        <v>4</v>
      </c>
      <c r="Z24" s="1">
        <v>4</v>
      </c>
      <c r="AA24" s="1">
        <v>4</v>
      </c>
      <c r="AC24" s="1">
        <v>1</v>
      </c>
      <c r="AD24" s="1">
        <v>6</v>
      </c>
      <c r="AF24" s="3">
        <v>3500000</v>
      </c>
      <c r="AG24" s="1">
        <v>13</v>
      </c>
      <c r="AT24" s="1" t="s">
        <v>829</v>
      </c>
      <c r="BP24" s="1">
        <v>4</v>
      </c>
      <c r="BQ24" s="1" t="s">
        <v>2741</v>
      </c>
      <c r="BR24" s="1" t="s">
        <v>2742</v>
      </c>
      <c r="BS24" s="1" t="s">
        <v>2743</v>
      </c>
      <c r="BT24" s="1" t="s">
        <v>79</v>
      </c>
      <c r="BU24" s="1">
        <v>3</v>
      </c>
      <c r="BV24" s="1">
        <v>2</v>
      </c>
      <c r="BW24" s="1">
        <v>1</v>
      </c>
      <c r="BX24" s="1">
        <v>0</v>
      </c>
      <c r="BY24" s="1">
        <v>0</v>
      </c>
      <c r="BZ24" s="1">
        <v>0</v>
      </c>
      <c r="CA24" s="1">
        <v>0</v>
      </c>
      <c r="CB24" s="1">
        <v>0</v>
      </c>
      <c r="CC24" s="1">
        <v>0</v>
      </c>
      <c r="CD24" s="1">
        <v>0</v>
      </c>
      <c r="CE24" s="1">
        <v>0</v>
      </c>
      <c r="CF24" s="1">
        <v>0</v>
      </c>
      <c r="CG24" s="1">
        <v>0</v>
      </c>
      <c r="CH24" s="1">
        <v>0</v>
      </c>
      <c r="CI24" s="1">
        <v>0</v>
      </c>
      <c r="CJ24" s="1">
        <v>4</v>
      </c>
      <c r="CK24" s="1">
        <v>4</v>
      </c>
      <c r="CL24" s="1">
        <v>4</v>
      </c>
      <c r="CM24" s="1">
        <v>4</v>
      </c>
      <c r="CN24" s="1">
        <v>4</v>
      </c>
      <c r="CO24" s="1">
        <v>4</v>
      </c>
      <c r="CP24" s="1">
        <v>4</v>
      </c>
      <c r="CU24" s="1">
        <v>4</v>
      </c>
    </row>
    <row r="25" spans="1:99" x14ac:dyDescent="0.35">
      <c r="A25" s="1" t="s">
        <v>3797</v>
      </c>
      <c r="B25" s="1">
        <v>171144001</v>
      </c>
    </row>
    <row r="26" spans="1:99" x14ac:dyDescent="0.35">
      <c r="A26" s="1" t="s">
        <v>3798</v>
      </c>
      <c r="B26" s="1">
        <v>171144003</v>
      </c>
    </row>
    <row r="27" spans="1:99" x14ac:dyDescent="0.35">
      <c r="A27" s="1" t="s">
        <v>3799</v>
      </c>
      <c r="B27" s="1">
        <v>171144007</v>
      </c>
    </row>
    <row r="28" spans="1:99" x14ac:dyDescent="0.35">
      <c r="A28" s="1" t="s">
        <v>3800</v>
      </c>
      <c r="B28" s="1">
        <v>171144012</v>
      </c>
    </row>
    <row r="29" spans="1:99" x14ac:dyDescent="0.35">
      <c r="A29" s="1" t="s">
        <v>3801</v>
      </c>
      <c r="B29" s="1">
        <v>171144015</v>
      </c>
    </row>
    <row r="30" spans="1:99" x14ac:dyDescent="0.35">
      <c r="A30" s="1" t="s">
        <v>3802</v>
      </c>
      <c r="B30" s="1">
        <v>171144029</v>
      </c>
    </row>
    <row r="31" spans="1:99" x14ac:dyDescent="0.35">
      <c r="A31" s="1" t="s">
        <v>3803</v>
      </c>
      <c r="B31" s="1">
        <v>171144032</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579075-7684-44A0-9EFC-2CB5BF270271}">
  <dimension ref="A1:CU30"/>
  <sheetViews>
    <sheetView topLeftCell="T1" zoomScale="55" zoomScaleNormal="55" workbookViewId="0">
      <pane ySplit="1" topLeftCell="A2" activePane="bottomLeft" state="frozen"/>
      <selection pane="bottomLeft" activeCell="T1" sqref="T1"/>
    </sheetView>
  </sheetViews>
  <sheetFormatPr defaultColWidth="8.90625" defaultRowHeight="14.5" x14ac:dyDescent="0.35"/>
  <cols>
    <col min="1" max="1" width="29.6328125" style="1" bestFit="1" customWidth="1"/>
    <col min="2" max="2" width="10" style="1" customWidth="1"/>
    <col min="3" max="9" width="64.08984375" style="1" bestFit="1" customWidth="1"/>
    <col min="10" max="14" width="65.08984375" style="1" bestFit="1" customWidth="1"/>
    <col min="15" max="15" width="67.54296875" style="1" bestFit="1" customWidth="1"/>
    <col min="16" max="16" width="110" style="1" bestFit="1" customWidth="1"/>
    <col min="17" max="17" width="63.90625" style="1" bestFit="1" customWidth="1"/>
    <col min="18" max="18" width="73" style="1" bestFit="1" customWidth="1"/>
    <col min="19" max="19" width="25" style="1" bestFit="1" customWidth="1"/>
    <col min="20" max="20" width="41.26953125" style="1" bestFit="1" customWidth="1"/>
    <col min="21" max="21" width="67.08984375" style="1" bestFit="1" customWidth="1"/>
    <col min="22" max="22" width="90.453125" style="1" bestFit="1" customWidth="1"/>
    <col min="23" max="23" width="74.90625" style="1" bestFit="1" customWidth="1"/>
    <col min="24" max="24" width="89.36328125" style="1" bestFit="1" customWidth="1"/>
    <col min="25" max="25" width="72.453125" style="1" bestFit="1" customWidth="1"/>
    <col min="26" max="26" width="75.1796875" style="1" bestFit="1" customWidth="1"/>
    <col min="27" max="27" width="79" style="1" bestFit="1" customWidth="1"/>
    <col min="28" max="28" width="43.08984375" style="1" bestFit="1" customWidth="1"/>
    <col min="29" max="29" width="73.1796875" style="1" bestFit="1" customWidth="1"/>
    <col min="30" max="30" width="43.36328125" style="1" bestFit="1" customWidth="1"/>
    <col min="31" max="31" width="50.54296875" style="1" bestFit="1" customWidth="1"/>
    <col min="32" max="32" width="120.26953125" style="1" bestFit="1" customWidth="1"/>
    <col min="33" max="33" width="39.08984375" style="1" bestFit="1" customWidth="1"/>
    <col min="34" max="35" width="45.7265625" style="1" bestFit="1" customWidth="1"/>
    <col min="36" max="37" width="46.1796875" style="1" bestFit="1" customWidth="1"/>
    <col min="38" max="38" width="45.7265625" style="1" bestFit="1" customWidth="1"/>
    <col min="39" max="52" width="46.1796875" style="1" bestFit="1" customWidth="1"/>
    <col min="53" max="55" width="45.7265625" style="1" bestFit="1" customWidth="1"/>
    <col min="56" max="64" width="46.1796875" style="1" bestFit="1" customWidth="1"/>
    <col min="65" max="67" width="45.7265625" style="1" bestFit="1" customWidth="1"/>
    <col min="68" max="68" width="58.90625" style="1" bestFit="1" customWidth="1"/>
    <col min="69" max="69" width="43.26953125" style="1" bestFit="1" customWidth="1"/>
    <col min="70" max="70" width="45.36328125" style="1" bestFit="1" customWidth="1"/>
    <col min="71" max="71" width="45.26953125" style="1" bestFit="1" customWidth="1"/>
    <col min="72" max="72" width="55.453125" style="1" bestFit="1" customWidth="1"/>
    <col min="73" max="73" width="217.453125" style="1" bestFit="1" customWidth="1"/>
    <col min="74" max="74" width="65.08984375" style="1" bestFit="1" customWidth="1"/>
    <col min="75" max="83" width="117.26953125" style="1" bestFit="1" customWidth="1"/>
    <col min="84" max="86" width="118.26953125" style="1" bestFit="1" customWidth="1"/>
    <col min="87" max="87" width="120.7265625" style="1" bestFit="1" customWidth="1"/>
    <col min="88" max="88" width="76.6328125" style="1" bestFit="1" customWidth="1"/>
    <col min="89" max="89" width="100.26953125" style="1" bestFit="1" customWidth="1"/>
    <col min="90" max="90" width="84.36328125" style="1" bestFit="1" customWidth="1"/>
    <col min="91" max="91" width="98.6328125" style="1" bestFit="1" customWidth="1"/>
    <col min="92" max="92" width="81.90625" style="1" bestFit="1" customWidth="1"/>
    <col min="93" max="93" width="84.7265625" style="1" bestFit="1" customWidth="1"/>
    <col min="94" max="94" width="88.54296875" style="1" bestFit="1" customWidth="1"/>
    <col min="95" max="95" width="40.54296875" style="1" bestFit="1" customWidth="1"/>
    <col min="96" max="96" width="53.36328125" style="1" bestFit="1" customWidth="1"/>
    <col min="97" max="97" width="23.90625" style="1" bestFit="1" customWidth="1"/>
    <col min="98" max="98" width="24.7265625" style="1" bestFit="1" customWidth="1"/>
    <col min="99" max="99" width="51.90625" style="1" bestFit="1" customWidth="1"/>
    <col min="100" max="16384" width="8.90625" style="1"/>
  </cols>
  <sheetData>
    <row r="1" spans="1:99" s="6" customFormat="1" x14ac:dyDescent="0.35">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6" t="s">
        <v>15</v>
      </c>
      <c r="Q1" s="6" t="s">
        <v>16</v>
      </c>
      <c r="R1" s="6" t="s">
        <v>17</v>
      </c>
      <c r="S1" s="6" t="s">
        <v>18</v>
      </c>
      <c r="T1" s="6" t="s">
        <v>19</v>
      </c>
      <c r="U1" s="6" t="s">
        <v>20</v>
      </c>
      <c r="V1" s="6" t="s">
        <v>21</v>
      </c>
      <c r="W1" s="6" t="s">
        <v>22</v>
      </c>
      <c r="X1" s="6" t="s">
        <v>23</v>
      </c>
      <c r="Y1" s="6" t="s">
        <v>24</v>
      </c>
      <c r="Z1" s="6" t="s">
        <v>25</v>
      </c>
      <c r="AA1" s="6" t="s">
        <v>26</v>
      </c>
      <c r="AB1" s="6" t="s">
        <v>27</v>
      </c>
      <c r="AC1" s="6" t="s">
        <v>28</v>
      </c>
      <c r="AD1" s="6" t="s">
        <v>29</v>
      </c>
      <c r="AE1" s="6" t="s">
        <v>30</v>
      </c>
      <c r="AF1" s="6" t="s">
        <v>31</v>
      </c>
      <c r="AG1" s="6" t="s">
        <v>32</v>
      </c>
      <c r="AH1" s="6" t="s">
        <v>33</v>
      </c>
      <c r="AI1" s="6" t="s">
        <v>33</v>
      </c>
      <c r="AJ1" s="6" t="s">
        <v>34</v>
      </c>
      <c r="AK1" s="6" t="s">
        <v>34</v>
      </c>
      <c r="AL1" s="6" t="s">
        <v>33</v>
      </c>
      <c r="AM1" s="6" t="s">
        <v>34</v>
      </c>
      <c r="AN1" s="6" t="s">
        <v>34</v>
      </c>
      <c r="AO1" s="6" t="s">
        <v>34</v>
      </c>
      <c r="AP1" s="6" t="s">
        <v>34</v>
      </c>
      <c r="AQ1" s="6" t="s">
        <v>34</v>
      </c>
      <c r="AR1" s="6" t="s">
        <v>34</v>
      </c>
      <c r="AS1" s="6" t="s">
        <v>34</v>
      </c>
      <c r="AT1" s="6" t="s">
        <v>34</v>
      </c>
      <c r="AU1" s="6" t="s">
        <v>34</v>
      </c>
      <c r="AV1" s="6" t="s">
        <v>34</v>
      </c>
      <c r="AW1" s="6" t="s">
        <v>34</v>
      </c>
      <c r="AX1" s="6" t="s">
        <v>34</v>
      </c>
      <c r="AY1" s="6" t="s">
        <v>34</v>
      </c>
      <c r="AZ1" s="6" t="s">
        <v>34</v>
      </c>
      <c r="BA1" s="6" t="s">
        <v>33</v>
      </c>
      <c r="BB1" s="6" t="s">
        <v>33</v>
      </c>
      <c r="BC1" s="6" t="s">
        <v>33</v>
      </c>
      <c r="BD1" s="6" t="s">
        <v>34</v>
      </c>
      <c r="BE1" s="6" t="s">
        <v>34</v>
      </c>
      <c r="BF1" s="6" t="s">
        <v>34</v>
      </c>
      <c r="BG1" s="6" t="s">
        <v>34</v>
      </c>
      <c r="BH1" s="6" t="s">
        <v>34</v>
      </c>
      <c r="BI1" s="6" t="s">
        <v>34</v>
      </c>
      <c r="BJ1" s="6" t="s">
        <v>34</v>
      </c>
      <c r="BK1" s="6" t="s">
        <v>34</v>
      </c>
      <c r="BL1" s="6" t="s">
        <v>34</v>
      </c>
      <c r="BM1" s="6" t="s">
        <v>33</v>
      </c>
      <c r="BN1" s="6" t="s">
        <v>33</v>
      </c>
      <c r="BO1" s="6" t="s">
        <v>33</v>
      </c>
      <c r="BP1" s="6" t="s">
        <v>35</v>
      </c>
      <c r="BQ1" s="6" t="s">
        <v>36</v>
      </c>
      <c r="BR1" s="6" t="s">
        <v>37</v>
      </c>
      <c r="BS1" s="6" t="s">
        <v>38</v>
      </c>
      <c r="BT1" s="6" t="s">
        <v>39</v>
      </c>
      <c r="BU1" s="6" t="s">
        <v>40</v>
      </c>
      <c r="BV1" s="6" t="s">
        <v>41</v>
      </c>
      <c r="BW1" s="6" t="s">
        <v>42</v>
      </c>
      <c r="BX1" s="6" t="s">
        <v>43</v>
      </c>
      <c r="BY1" s="6" t="s">
        <v>44</v>
      </c>
      <c r="BZ1" s="6" t="s">
        <v>45</v>
      </c>
      <c r="CA1" s="6" t="s">
        <v>46</v>
      </c>
      <c r="CB1" s="6" t="s">
        <v>47</v>
      </c>
      <c r="CC1" s="6" t="s">
        <v>48</v>
      </c>
      <c r="CD1" s="6" t="s">
        <v>49</v>
      </c>
      <c r="CE1" s="6" t="s">
        <v>50</v>
      </c>
      <c r="CF1" s="6" t="s">
        <v>51</v>
      </c>
      <c r="CG1" s="6" t="s">
        <v>52</v>
      </c>
      <c r="CH1" s="6" t="s">
        <v>53</v>
      </c>
      <c r="CI1" s="6" t="s">
        <v>54</v>
      </c>
      <c r="CJ1" s="6" t="s">
        <v>55</v>
      </c>
      <c r="CK1" s="6" t="s">
        <v>56</v>
      </c>
      <c r="CL1" s="6" t="s">
        <v>57</v>
      </c>
      <c r="CM1" s="6" t="s">
        <v>58</v>
      </c>
      <c r="CN1" s="6" t="s">
        <v>59</v>
      </c>
      <c r="CO1" s="6" t="s">
        <v>60</v>
      </c>
      <c r="CP1" s="6" t="s">
        <v>61</v>
      </c>
      <c r="CQ1" s="6" t="s">
        <v>62</v>
      </c>
      <c r="CR1" s="6" t="s">
        <v>63</v>
      </c>
      <c r="CS1" s="6" t="s">
        <v>64</v>
      </c>
      <c r="CT1" s="6" t="s">
        <v>65</v>
      </c>
      <c r="CU1" s="6" t="s">
        <v>66</v>
      </c>
    </row>
    <row r="2" spans="1:99" x14ac:dyDescent="0.35">
      <c r="A2" s="1" t="s">
        <v>2744</v>
      </c>
      <c r="B2" s="1">
        <v>171344001</v>
      </c>
      <c r="C2" s="1">
        <v>0</v>
      </c>
      <c r="D2" s="1">
        <v>1</v>
      </c>
      <c r="E2" s="1">
        <v>0</v>
      </c>
      <c r="F2" s="1">
        <v>0</v>
      </c>
      <c r="G2" s="1">
        <v>0</v>
      </c>
      <c r="H2" s="1">
        <v>0</v>
      </c>
      <c r="I2" s="1">
        <v>0</v>
      </c>
      <c r="J2" s="1">
        <v>0</v>
      </c>
      <c r="K2" s="1">
        <v>1</v>
      </c>
      <c r="L2" s="1">
        <v>0</v>
      </c>
      <c r="M2" s="1">
        <v>0</v>
      </c>
      <c r="N2" s="1">
        <v>0</v>
      </c>
      <c r="O2" s="1">
        <v>0</v>
      </c>
      <c r="P2" s="1">
        <v>3</v>
      </c>
      <c r="Q2" s="1">
        <v>3</v>
      </c>
      <c r="R2" s="1">
        <v>2</v>
      </c>
      <c r="S2" s="1">
        <v>1</v>
      </c>
      <c r="T2" s="1">
        <v>1</v>
      </c>
      <c r="U2" s="1">
        <v>4</v>
      </c>
      <c r="V2" s="1">
        <v>3</v>
      </c>
      <c r="W2" s="1">
        <v>3</v>
      </c>
      <c r="X2" s="1">
        <v>4</v>
      </c>
      <c r="Y2" s="1">
        <v>4</v>
      </c>
      <c r="Z2" s="1">
        <v>4</v>
      </c>
      <c r="AA2" s="1">
        <v>4</v>
      </c>
      <c r="AC2" s="1">
        <v>1</v>
      </c>
      <c r="AD2" s="1">
        <v>2</v>
      </c>
      <c r="AE2" s="1">
        <v>2</v>
      </c>
      <c r="AF2" s="3">
        <v>9000000</v>
      </c>
      <c r="AG2" s="1">
        <v>11</v>
      </c>
      <c r="AR2" s="1" t="s">
        <v>130</v>
      </c>
      <c r="BP2" s="1">
        <v>6</v>
      </c>
      <c r="BQ2" s="1" t="s">
        <v>2745</v>
      </c>
      <c r="BT2" s="1" t="s">
        <v>79</v>
      </c>
      <c r="BU2" s="1">
        <v>1</v>
      </c>
      <c r="BV2" s="1">
        <v>2</v>
      </c>
      <c r="BW2" s="1">
        <v>1</v>
      </c>
      <c r="BX2" s="1">
        <v>0</v>
      </c>
      <c r="BY2" s="1">
        <v>0</v>
      </c>
      <c r="BZ2" s="1">
        <v>0</v>
      </c>
      <c r="CA2" s="1">
        <v>0</v>
      </c>
      <c r="CB2" s="1">
        <v>0</v>
      </c>
      <c r="CC2" s="1">
        <v>0</v>
      </c>
      <c r="CD2" s="1">
        <v>0</v>
      </c>
      <c r="CE2" s="1">
        <v>0</v>
      </c>
      <c r="CF2" s="1">
        <v>0</v>
      </c>
      <c r="CG2" s="1">
        <v>0</v>
      </c>
      <c r="CH2" s="1">
        <v>0</v>
      </c>
      <c r="CI2" s="1">
        <v>0</v>
      </c>
      <c r="CJ2" s="1">
        <v>4</v>
      </c>
      <c r="CK2" s="1">
        <v>4</v>
      </c>
      <c r="CL2" s="1">
        <v>4</v>
      </c>
      <c r="CM2" s="1">
        <v>4</v>
      </c>
      <c r="CN2" s="1">
        <v>4</v>
      </c>
      <c r="CO2" s="1">
        <v>4</v>
      </c>
      <c r="CP2" s="1">
        <v>4</v>
      </c>
      <c r="CU2" s="1">
        <v>1</v>
      </c>
    </row>
    <row r="3" spans="1:99" x14ac:dyDescent="0.35">
      <c r="A3" s="1" t="s">
        <v>2746</v>
      </c>
      <c r="B3" s="1">
        <v>171344002</v>
      </c>
      <c r="C3" s="1">
        <v>0</v>
      </c>
      <c r="D3" s="1">
        <v>1</v>
      </c>
      <c r="E3" s="1">
        <v>0</v>
      </c>
      <c r="F3" s="1">
        <v>0</v>
      </c>
      <c r="G3" s="1">
        <v>0</v>
      </c>
      <c r="H3" s="1">
        <v>0</v>
      </c>
      <c r="I3" s="1">
        <v>0</v>
      </c>
      <c r="J3" s="1">
        <v>0</v>
      </c>
      <c r="K3" s="1">
        <v>0</v>
      </c>
      <c r="L3" s="1">
        <v>0</v>
      </c>
      <c r="M3" s="1">
        <v>0</v>
      </c>
      <c r="N3" s="1">
        <v>0</v>
      </c>
      <c r="O3" s="1">
        <v>0</v>
      </c>
      <c r="P3" s="1">
        <v>5</v>
      </c>
      <c r="Q3" s="1">
        <v>1</v>
      </c>
      <c r="R3" s="1">
        <v>1</v>
      </c>
      <c r="S3" s="1">
        <v>1</v>
      </c>
      <c r="T3" s="1">
        <v>1</v>
      </c>
      <c r="U3" s="1">
        <v>4</v>
      </c>
      <c r="V3" s="1">
        <v>3</v>
      </c>
      <c r="W3" s="1">
        <v>2</v>
      </c>
      <c r="X3" s="1">
        <v>4</v>
      </c>
      <c r="Y3" s="1">
        <v>3</v>
      </c>
      <c r="Z3" s="1">
        <v>3</v>
      </c>
      <c r="AA3" s="1">
        <v>4</v>
      </c>
      <c r="AC3" s="1">
        <v>2</v>
      </c>
      <c r="AE3" s="1">
        <v>2</v>
      </c>
      <c r="AF3" s="3">
        <v>9500000</v>
      </c>
      <c r="AG3" s="1">
        <v>11</v>
      </c>
      <c r="AR3" s="1" t="s">
        <v>118</v>
      </c>
      <c r="BP3" s="1">
        <v>3</v>
      </c>
      <c r="BQ3" s="1" t="s">
        <v>2747</v>
      </c>
      <c r="BR3" s="1" t="s">
        <v>2748</v>
      </c>
      <c r="BT3" s="1" t="s">
        <v>107</v>
      </c>
      <c r="BU3" s="1">
        <v>3</v>
      </c>
      <c r="BV3" s="1">
        <v>2</v>
      </c>
      <c r="BW3" s="1">
        <v>0</v>
      </c>
      <c r="BX3" s="1">
        <v>0</v>
      </c>
      <c r="BY3" s="1">
        <v>1</v>
      </c>
      <c r="BZ3" s="1">
        <v>1</v>
      </c>
      <c r="CA3" s="1">
        <v>0</v>
      </c>
      <c r="CB3" s="1">
        <v>1</v>
      </c>
      <c r="CC3" s="1">
        <v>1</v>
      </c>
      <c r="CD3" s="1">
        <v>1</v>
      </c>
      <c r="CE3" s="1">
        <v>1</v>
      </c>
      <c r="CF3" s="1">
        <v>0</v>
      </c>
      <c r="CG3" s="1">
        <v>1</v>
      </c>
      <c r="CH3" s="1">
        <v>1</v>
      </c>
      <c r="CI3" s="1">
        <v>0</v>
      </c>
      <c r="CJ3" s="1">
        <v>4</v>
      </c>
      <c r="CK3" s="1">
        <v>3</v>
      </c>
      <c r="CL3" s="1">
        <v>2</v>
      </c>
      <c r="CM3" s="1">
        <v>4</v>
      </c>
      <c r="CN3" s="1">
        <v>4</v>
      </c>
      <c r="CO3" s="1">
        <v>4</v>
      </c>
      <c r="CP3" s="1">
        <v>4</v>
      </c>
      <c r="CU3" s="1">
        <v>1</v>
      </c>
    </row>
    <row r="4" spans="1:99" x14ac:dyDescent="0.35">
      <c r="A4" s="1" t="s">
        <v>2749</v>
      </c>
      <c r="B4" s="1">
        <v>171344003</v>
      </c>
      <c r="C4" s="1">
        <v>0</v>
      </c>
      <c r="D4" s="1">
        <v>1</v>
      </c>
      <c r="E4" s="1">
        <v>0</v>
      </c>
      <c r="F4" s="1">
        <v>0</v>
      </c>
      <c r="G4" s="1">
        <v>0</v>
      </c>
      <c r="H4" s="1">
        <v>0</v>
      </c>
      <c r="I4" s="1">
        <v>0</v>
      </c>
      <c r="J4" s="1">
        <v>1</v>
      </c>
      <c r="K4" s="1">
        <v>1</v>
      </c>
      <c r="L4" s="1">
        <v>0</v>
      </c>
      <c r="M4" s="1">
        <v>0</v>
      </c>
      <c r="N4" s="1">
        <v>0</v>
      </c>
      <c r="O4" s="1">
        <v>0</v>
      </c>
      <c r="P4" s="1">
        <v>10</v>
      </c>
      <c r="Q4" s="1">
        <v>4</v>
      </c>
      <c r="R4" s="1">
        <v>4</v>
      </c>
      <c r="S4" s="1">
        <v>1</v>
      </c>
      <c r="T4" s="1">
        <v>1</v>
      </c>
      <c r="U4" s="1">
        <v>4</v>
      </c>
      <c r="V4" s="1">
        <v>3</v>
      </c>
      <c r="W4" s="1">
        <v>3</v>
      </c>
      <c r="X4" s="1">
        <v>4</v>
      </c>
      <c r="Y4" s="1">
        <v>4</v>
      </c>
      <c r="Z4" s="1">
        <v>4</v>
      </c>
      <c r="AA4" s="1">
        <v>4</v>
      </c>
      <c r="AC4" s="1">
        <v>1</v>
      </c>
      <c r="AD4" s="1">
        <v>0</v>
      </c>
      <c r="AE4" s="1">
        <v>0</v>
      </c>
      <c r="AF4" s="3">
        <v>6000000</v>
      </c>
      <c r="AG4" s="1">
        <v>11</v>
      </c>
      <c r="AR4" s="1" t="s">
        <v>130</v>
      </c>
      <c r="BP4" s="1">
        <v>3</v>
      </c>
      <c r="BQ4" s="1" t="s">
        <v>2750</v>
      </c>
      <c r="BR4" s="1" t="s">
        <v>2751</v>
      </c>
      <c r="BS4" s="1" t="s">
        <v>2752</v>
      </c>
      <c r="BT4" s="1" t="s">
        <v>73</v>
      </c>
      <c r="BU4" s="1">
        <v>1</v>
      </c>
      <c r="BV4" s="1">
        <v>2</v>
      </c>
      <c r="BW4" s="1">
        <v>1</v>
      </c>
      <c r="BX4" s="1">
        <v>0</v>
      </c>
      <c r="BY4" s="1">
        <v>0</v>
      </c>
      <c r="BZ4" s="1">
        <v>0</v>
      </c>
      <c r="CA4" s="1">
        <v>0</v>
      </c>
      <c r="CB4" s="1">
        <v>0</v>
      </c>
      <c r="CC4" s="1">
        <v>0</v>
      </c>
      <c r="CD4" s="1">
        <v>0</v>
      </c>
      <c r="CE4" s="1">
        <v>0</v>
      </c>
      <c r="CF4" s="1">
        <v>0</v>
      </c>
      <c r="CG4" s="1">
        <v>0</v>
      </c>
      <c r="CH4" s="1">
        <v>0</v>
      </c>
      <c r="CI4" s="1">
        <v>0</v>
      </c>
      <c r="CJ4" s="1">
        <v>4</v>
      </c>
      <c r="CK4" s="1">
        <v>3</v>
      </c>
      <c r="CL4" s="1">
        <v>4</v>
      </c>
      <c r="CM4" s="1">
        <v>4</v>
      </c>
      <c r="CN4" s="1">
        <v>4</v>
      </c>
      <c r="CO4" s="1">
        <v>4</v>
      </c>
      <c r="CP4" s="1">
        <v>4</v>
      </c>
      <c r="CU4" s="1">
        <v>1</v>
      </c>
    </row>
    <row r="5" spans="1:99" x14ac:dyDescent="0.35">
      <c r="A5" s="1" t="s">
        <v>2753</v>
      </c>
      <c r="B5" s="1">
        <v>171344004</v>
      </c>
      <c r="C5" s="1">
        <v>0</v>
      </c>
      <c r="D5" s="1">
        <v>1</v>
      </c>
      <c r="E5" s="1">
        <v>0</v>
      </c>
      <c r="F5" s="1">
        <v>0</v>
      </c>
      <c r="G5" s="1">
        <v>0</v>
      </c>
      <c r="H5" s="1">
        <v>0</v>
      </c>
      <c r="I5" s="1">
        <v>1</v>
      </c>
      <c r="J5" s="1">
        <v>0</v>
      </c>
      <c r="K5" s="1">
        <v>1</v>
      </c>
      <c r="L5" s="1">
        <v>0</v>
      </c>
      <c r="M5" s="1">
        <v>0</v>
      </c>
      <c r="N5" s="1">
        <v>0</v>
      </c>
      <c r="O5" s="1">
        <v>0</v>
      </c>
      <c r="P5" s="1" t="s">
        <v>1988</v>
      </c>
      <c r="Q5" s="1">
        <v>15</v>
      </c>
      <c r="R5" s="1">
        <v>8</v>
      </c>
      <c r="S5" s="1">
        <v>1</v>
      </c>
      <c r="T5" s="1">
        <v>1</v>
      </c>
      <c r="U5" s="1">
        <v>4</v>
      </c>
      <c r="V5" s="1">
        <v>3</v>
      </c>
      <c r="W5" s="1">
        <v>3</v>
      </c>
      <c r="X5" s="1">
        <v>4</v>
      </c>
      <c r="Y5" s="1">
        <v>3</v>
      </c>
      <c r="Z5" s="1">
        <v>4</v>
      </c>
      <c r="AA5" s="1">
        <v>3</v>
      </c>
      <c r="AC5" s="1">
        <v>1</v>
      </c>
      <c r="AD5" s="1">
        <v>4</v>
      </c>
      <c r="AE5" s="1">
        <v>4</v>
      </c>
      <c r="AF5" s="3">
        <v>5000000</v>
      </c>
      <c r="AG5" s="1">
        <v>11</v>
      </c>
      <c r="AR5" s="1" t="s">
        <v>130</v>
      </c>
      <c r="BP5" s="1">
        <v>3</v>
      </c>
      <c r="BQ5" s="1" t="s">
        <v>2754</v>
      </c>
      <c r="BR5" s="1" t="s">
        <v>2755</v>
      </c>
      <c r="BS5" s="1" t="s">
        <v>2756</v>
      </c>
      <c r="BT5" s="1" t="s">
        <v>79</v>
      </c>
      <c r="BU5" s="1">
        <v>3</v>
      </c>
      <c r="BV5" s="1">
        <v>3</v>
      </c>
      <c r="BW5" s="1">
        <v>0</v>
      </c>
      <c r="BX5" s="1">
        <v>0</v>
      </c>
      <c r="BY5" s="1">
        <v>0</v>
      </c>
      <c r="BZ5" s="1">
        <v>0</v>
      </c>
      <c r="CA5" s="1">
        <v>0</v>
      </c>
      <c r="CB5" s="1">
        <v>0</v>
      </c>
      <c r="CC5" s="1">
        <v>1</v>
      </c>
      <c r="CD5" s="1">
        <v>1</v>
      </c>
      <c r="CE5" s="1">
        <v>0</v>
      </c>
      <c r="CF5" s="1">
        <v>1</v>
      </c>
      <c r="CG5" s="1">
        <v>0</v>
      </c>
      <c r="CH5" s="1">
        <v>0</v>
      </c>
      <c r="CI5" s="1">
        <v>0</v>
      </c>
      <c r="CJ5" s="1">
        <v>4</v>
      </c>
      <c r="CK5" s="1">
        <v>3</v>
      </c>
      <c r="CL5" s="1">
        <v>2</v>
      </c>
      <c r="CM5" s="1">
        <v>4</v>
      </c>
      <c r="CN5" s="1">
        <v>4</v>
      </c>
      <c r="CO5" s="1">
        <v>4</v>
      </c>
      <c r="CP5" s="1">
        <v>4</v>
      </c>
      <c r="CU5" s="1">
        <v>1</v>
      </c>
    </row>
    <row r="6" spans="1:99" x14ac:dyDescent="0.35">
      <c r="A6" s="1" t="s">
        <v>2757</v>
      </c>
      <c r="B6" s="1">
        <v>171344007</v>
      </c>
      <c r="C6" s="1">
        <v>0</v>
      </c>
      <c r="D6" s="1">
        <v>1</v>
      </c>
      <c r="E6" s="1">
        <v>0</v>
      </c>
      <c r="F6" s="1">
        <v>0</v>
      </c>
      <c r="G6" s="1">
        <v>0</v>
      </c>
      <c r="H6" s="1">
        <v>0</v>
      </c>
      <c r="I6" s="1">
        <v>0</v>
      </c>
      <c r="J6" s="1">
        <v>0</v>
      </c>
      <c r="K6" s="1">
        <v>0</v>
      </c>
      <c r="L6" s="1">
        <v>0</v>
      </c>
      <c r="M6" s="1">
        <v>0</v>
      </c>
      <c r="N6" s="1">
        <v>0</v>
      </c>
      <c r="O6" s="1">
        <v>0</v>
      </c>
      <c r="P6" s="1">
        <v>35</v>
      </c>
      <c r="Q6" s="1">
        <v>9</v>
      </c>
      <c r="R6" s="1">
        <v>7</v>
      </c>
      <c r="S6" s="1">
        <v>1</v>
      </c>
      <c r="T6" s="1">
        <v>1</v>
      </c>
      <c r="U6" s="1">
        <v>4</v>
      </c>
      <c r="V6" s="1">
        <v>3</v>
      </c>
      <c r="W6" s="1">
        <v>4</v>
      </c>
      <c r="X6" s="1">
        <v>3</v>
      </c>
      <c r="Y6" s="1">
        <v>3</v>
      </c>
      <c r="Z6" s="1">
        <v>4</v>
      </c>
      <c r="AA6" s="1">
        <v>4</v>
      </c>
      <c r="AC6" s="1">
        <v>1</v>
      </c>
      <c r="AD6" s="1">
        <v>1</v>
      </c>
      <c r="AE6" s="1">
        <v>1</v>
      </c>
      <c r="AF6" s="3">
        <v>5000000</v>
      </c>
      <c r="AG6" s="1">
        <v>11</v>
      </c>
      <c r="AR6" s="1" t="s">
        <v>130</v>
      </c>
      <c r="BP6" s="1">
        <v>3</v>
      </c>
      <c r="BQ6" s="1" t="s">
        <v>2758</v>
      </c>
      <c r="BR6" s="1" t="s">
        <v>2759</v>
      </c>
      <c r="BS6" s="1" t="s">
        <v>4333</v>
      </c>
      <c r="BT6" s="1" t="s">
        <v>79</v>
      </c>
      <c r="BU6" s="1">
        <v>1</v>
      </c>
      <c r="BV6" s="1">
        <v>2</v>
      </c>
      <c r="BW6" s="1">
        <v>1</v>
      </c>
      <c r="BX6" s="1">
        <v>0</v>
      </c>
      <c r="BY6" s="1">
        <v>0</v>
      </c>
      <c r="BZ6" s="1">
        <v>0</v>
      </c>
      <c r="CA6" s="1">
        <v>0</v>
      </c>
      <c r="CB6" s="1">
        <v>0</v>
      </c>
      <c r="CC6" s="1">
        <v>0</v>
      </c>
      <c r="CD6" s="1">
        <v>0</v>
      </c>
      <c r="CE6" s="1">
        <v>0</v>
      </c>
      <c r="CF6" s="1">
        <v>0</v>
      </c>
      <c r="CG6" s="1">
        <v>0</v>
      </c>
      <c r="CH6" s="1">
        <v>0</v>
      </c>
      <c r="CI6" s="1">
        <v>0</v>
      </c>
      <c r="CJ6" s="1">
        <v>4</v>
      </c>
      <c r="CK6" s="1">
        <v>4</v>
      </c>
      <c r="CL6" s="1">
        <v>4</v>
      </c>
      <c r="CM6" s="1">
        <v>4</v>
      </c>
      <c r="CN6" s="1">
        <v>4</v>
      </c>
      <c r="CO6" s="1">
        <v>4</v>
      </c>
      <c r="CP6" s="1">
        <v>4</v>
      </c>
      <c r="CU6" s="1">
        <v>1</v>
      </c>
    </row>
    <row r="7" spans="1:99" x14ac:dyDescent="0.35">
      <c r="A7" s="1" t="s">
        <v>2760</v>
      </c>
      <c r="B7" s="1">
        <v>171344008</v>
      </c>
      <c r="C7" s="1">
        <v>0</v>
      </c>
      <c r="D7" s="1">
        <v>1</v>
      </c>
      <c r="E7" s="1">
        <v>0</v>
      </c>
      <c r="F7" s="1">
        <v>0</v>
      </c>
      <c r="G7" s="1">
        <v>0</v>
      </c>
      <c r="H7" s="1">
        <v>0</v>
      </c>
      <c r="I7" s="1">
        <v>0</v>
      </c>
      <c r="J7" s="1">
        <v>0</v>
      </c>
      <c r="K7" s="1">
        <v>1</v>
      </c>
      <c r="L7" s="1">
        <v>0</v>
      </c>
      <c r="M7" s="1">
        <v>1</v>
      </c>
      <c r="N7" s="1">
        <v>0</v>
      </c>
      <c r="O7" s="1">
        <v>0</v>
      </c>
      <c r="P7" s="1">
        <v>10</v>
      </c>
      <c r="Q7" s="1">
        <v>4</v>
      </c>
      <c r="R7" s="1">
        <v>3</v>
      </c>
      <c r="S7" s="1">
        <v>1</v>
      </c>
      <c r="T7" s="1">
        <v>1</v>
      </c>
      <c r="U7" s="1">
        <v>3</v>
      </c>
      <c r="V7" s="1">
        <v>3</v>
      </c>
      <c r="W7" s="1">
        <v>3</v>
      </c>
      <c r="X7" s="1">
        <v>3</v>
      </c>
      <c r="Y7" s="1">
        <v>3</v>
      </c>
      <c r="Z7" s="1">
        <v>3</v>
      </c>
      <c r="AA7" s="1">
        <v>3</v>
      </c>
      <c r="AC7" s="1">
        <v>1</v>
      </c>
      <c r="AD7" s="1">
        <v>2</v>
      </c>
      <c r="AF7" s="3">
        <v>5000000</v>
      </c>
      <c r="AG7" s="1">
        <v>13</v>
      </c>
      <c r="AT7" s="1" t="s">
        <v>86</v>
      </c>
      <c r="BP7" s="1" t="s">
        <v>78</v>
      </c>
      <c r="BT7" s="1" t="s">
        <v>79</v>
      </c>
      <c r="BU7" s="1">
        <v>1</v>
      </c>
      <c r="BV7" s="1">
        <v>1</v>
      </c>
      <c r="BW7" s="1">
        <v>1</v>
      </c>
      <c r="BX7" s="1">
        <v>0</v>
      </c>
      <c r="BY7" s="1">
        <v>0</v>
      </c>
      <c r="BZ7" s="1">
        <v>0</v>
      </c>
      <c r="CA7" s="1">
        <v>0</v>
      </c>
      <c r="CB7" s="1">
        <v>0</v>
      </c>
      <c r="CC7" s="1">
        <v>0</v>
      </c>
      <c r="CD7" s="1">
        <v>0</v>
      </c>
      <c r="CE7" s="1">
        <v>0</v>
      </c>
      <c r="CF7" s="1">
        <v>0</v>
      </c>
      <c r="CG7" s="1">
        <v>0</v>
      </c>
      <c r="CH7" s="1">
        <v>0</v>
      </c>
      <c r="CI7" s="1">
        <v>0</v>
      </c>
      <c r="CJ7" s="1">
        <v>3</v>
      </c>
      <c r="CK7" s="1">
        <v>3</v>
      </c>
      <c r="CL7" s="1">
        <v>3</v>
      </c>
      <c r="CM7" s="1">
        <v>3</v>
      </c>
      <c r="CN7" s="1">
        <v>3</v>
      </c>
      <c r="CO7" s="1">
        <v>3</v>
      </c>
      <c r="CP7" s="1">
        <v>3</v>
      </c>
      <c r="CU7" s="1">
        <v>2</v>
      </c>
    </row>
    <row r="8" spans="1:99" x14ac:dyDescent="0.35">
      <c r="A8" s="1" t="s">
        <v>2761</v>
      </c>
      <c r="B8" s="1">
        <v>171344009</v>
      </c>
      <c r="C8" s="1">
        <v>0</v>
      </c>
      <c r="D8" s="1">
        <v>1</v>
      </c>
      <c r="E8" s="1">
        <v>0</v>
      </c>
      <c r="F8" s="1">
        <v>0</v>
      </c>
      <c r="G8" s="1">
        <v>0</v>
      </c>
      <c r="H8" s="1">
        <v>0</v>
      </c>
      <c r="I8" s="1">
        <v>0</v>
      </c>
      <c r="J8" s="1">
        <v>0</v>
      </c>
      <c r="K8" s="1">
        <v>1</v>
      </c>
      <c r="L8" s="1">
        <v>0</v>
      </c>
      <c r="M8" s="1">
        <v>0</v>
      </c>
      <c r="N8" s="1">
        <v>0</v>
      </c>
      <c r="O8" s="1">
        <v>0</v>
      </c>
      <c r="P8" s="1">
        <v>20</v>
      </c>
      <c r="Q8" s="1">
        <v>11</v>
      </c>
      <c r="R8" s="1">
        <v>5</v>
      </c>
      <c r="S8" s="1">
        <v>1</v>
      </c>
      <c r="T8" s="1">
        <v>1</v>
      </c>
      <c r="U8" s="1">
        <v>3</v>
      </c>
      <c r="V8" s="1">
        <v>3</v>
      </c>
      <c r="W8" s="1">
        <v>3</v>
      </c>
      <c r="X8" s="1">
        <v>4</v>
      </c>
      <c r="Y8" s="1">
        <v>4</v>
      </c>
      <c r="Z8" s="1">
        <v>3</v>
      </c>
      <c r="AA8" s="1">
        <v>3</v>
      </c>
      <c r="AC8" s="1">
        <v>2</v>
      </c>
      <c r="AE8" s="1">
        <v>10</v>
      </c>
      <c r="AF8" s="3">
        <v>5500000</v>
      </c>
      <c r="AG8" s="1">
        <v>11</v>
      </c>
      <c r="AR8" s="1" t="s">
        <v>144</v>
      </c>
      <c r="BP8" s="1">
        <v>3</v>
      </c>
      <c r="BQ8" s="1" t="s">
        <v>2762</v>
      </c>
      <c r="BR8" s="1" t="s">
        <v>2763</v>
      </c>
      <c r="BT8" s="1" t="s">
        <v>79</v>
      </c>
      <c r="BU8" s="1">
        <v>3</v>
      </c>
      <c r="BV8" s="1">
        <v>2</v>
      </c>
      <c r="BW8" s="1">
        <v>1</v>
      </c>
      <c r="BX8" s="1">
        <v>0</v>
      </c>
      <c r="BY8" s="1">
        <v>0</v>
      </c>
      <c r="BZ8" s="1">
        <v>0</v>
      </c>
      <c r="CA8" s="1">
        <v>0</v>
      </c>
      <c r="CB8" s="1">
        <v>0</v>
      </c>
      <c r="CC8" s="1">
        <v>0</v>
      </c>
      <c r="CD8" s="1">
        <v>0</v>
      </c>
      <c r="CE8" s="1">
        <v>0</v>
      </c>
      <c r="CF8" s="1">
        <v>0</v>
      </c>
      <c r="CG8" s="1">
        <v>0</v>
      </c>
      <c r="CH8" s="1">
        <v>0</v>
      </c>
      <c r="CI8" s="1">
        <v>0</v>
      </c>
      <c r="CJ8" s="1">
        <v>4</v>
      </c>
      <c r="CK8" s="1">
        <v>4</v>
      </c>
      <c r="CL8" s="1">
        <v>3</v>
      </c>
      <c r="CM8" s="1">
        <v>4</v>
      </c>
      <c r="CN8" s="1">
        <v>4</v>
      </c>
      <c r="CO8" s="1">
        <v>4</v>
      </c>
      <c r="CP8" s="1">
        <v>4</v>
      </c>
      <c r="CU8" s="1">
        <v>3</v>
      </c>
    </row>
    <row r="9" spans="1:99" x14ac:dyDescent="0.35">
      <c r="A9" s="1" t="s">
        <v>2764</v>
      </c>
      <c r="B9" s="1">
        <v>171344010</v>
      </c>
      <c r="S9" s="1">
        <v>1</v>
      </c>
      <c r="T9" s="1">
        <v>1</v>
      </c>
      <c r="U9" s="1">
        <v>3</v>
      </c>
      <c r="V9" s="1">
        <v>2</v>
      </c>
      <c r="W9" s="1">
        <v>3</v>
      </c>
      <c r="X9" s="1">
        <v>3</v>
      </c>
      <c r="Y9" s="1">
        <v>4</v>
      </c>
      <c r="Z9" s="1">
        <v>4</v>
      </c>
      <c r="AA9" s="1">
        <v>4</v>
      </c>
      <c r="AC9" s="1">
        <v>1</v>
      </c>
      <c r="AD9" s="1">
        <v>1</v>
      </c>
      <c r="AE9" s="1">
        <v>1</v>
      </c>
      <c r="AF9" s="3">
        <v>3500000</v>
      </c>
      <c r="AG9" s="1">
        <v>13</v>
      </c>
      <c r="AT9" s="1" t="s">
        <v>86</v>
      </c>
      <c r="BP9" s="1">
        <v>2</v>
      </c>
      <c r="BQ9" s="1" t="s">
        <v>2765</v>
      </c>
      <c r="BR9" s="1" t="s">
        <v>2766</v>
      </c>
      <c r="BS9" s="1" t="s">
        <v>2767</v>
      </c>
      <c r="BT9" s="1" t="s">
        <v>79</v>
      </c>
      <c r="BU9" s="1">
        <v>5</v>
      </c>
      <c r="BV9" s="1">
        <v>1</v>
      </c>
      <c r="BW9" s="1">
        <v>0</v>
      </c>
      <c r="BX9" s="1">
        <v>0</v>
      </c>
      <c r="BY9" s="1">
        <v>1</v>
      </c>
      <c r="BZ9" s="1">
        <v>1</v>
      </c>
      <c r="CA9" s="1">
        <v>1</v>
      </c>
      <c r="CB9" s="1">
        <v>0</v>
      </c>
      <c r="CC9" s="1">
        <v>0</v>
      </c>
      <c r="CD9" s="1">
        <v>1</v>
      </c>
      <c r="CE9" s="1">
        <v>1</v>
      </c>
      <c r="CF9" s="1">
        <v>0</v>
      </c>
      <c r="CG9" s="1">
        <v>0</v>
      </c>
      <c r="CH9" s="1">
        <v>0</v>
      </c>
      <c r="CI9" s="1">
        <v>0</v>
      </c>
      <c r="CJ9" s="1">
        <v>4</v>
      </c>
      <c r="CK9" s="1">
        <v>4</v>
      </c>
      <c r="CL9" s="1">
        <v>4</v>
      </c>
      <c r="CM9" s="1">
        <v>4</v>
      </c>
      <c r="CN9" s="1">
        <v>4</v>
      </c>
      <c r="CO9" s="1">
        <v>4</v>
      </c>
      <c r="CP9" s="1">
        <v>4</v>
      </c>
      <c r="CU9" s="1">
        <v>1</v>
      </c>
    </row>
    <row r="10" spans="1:99" x14ac:dyDescent="0.35">
      <c r="A10" s="1" t="s">
        <v>2768</v>
      </c>
      <c r="B10" s="1">
        <v>171344012</v>
      </c>
      <c r="C10" s="1">
        <v>0</v>
      </c>
      <c r="D10" s="1">
        <v>1</v>
      </c>
      <c r="E10" s="1">
        <v>0</v>
      </c>
      <c r="F10" s="1">
        <v>0</v>
      </c>
      <c r="G10" s="1">
        <v>0</v>
      </c>
      <c r="H10" s="1">
        <v>0</v>
      </c>
      <c r="I10" s="1">
        <v>0</v>
      </c>
      <c r="J10" s="1">
        <v>0</v>
      </c>
      <c r="K10" s="1">
        <v>0</v>
      </c>
      <c r="L10" s="1">
        <v>0</v>
      </c>
      <c r="M10" s="1">
        <v>0</v>
      </c>
      <c r="N10" s="1">
        <v>0</v>
      </c>
      <c r="O10" s="1">
        <v>0</v>
      </c>
      <c r="P10" s="1">
        <v>138</v>
      </c>
      <c r="Q10" s="1">
        <v>5</v>
      </c>
      <c r="R10" s="1">
        <v>3</v>
      </c>
      <c r="S10" s="1">
        <v>1</v>
      </c>
      <c r="T10" s="1">
        <v>1</v>
      </c>
      <c r="U10" s="1">
        <v>3</v>
      </c>
      <c r="V10" s="1">
        <v>2</v>
      </c>
      <c r="W10" s="1">
        <v>2</v>
      </c>
      <c r="X10" s="1">
        <v>3</v>
      </c>
      <c r="Y10" s="1">
        <v>3</v>
      </c>
      <c r="Z10" s="1">
        <v>2</v>
      </c>
      <c r="AA10" s="1">
        <v>4</v>
      </c>
      <c r="AC10" s="1">
        <v>1</v>
      </c>
      <c r="AD10" s="1">
        <v>4</v>
      </c>
      <c r="AE10" s="1">
        <v>4</v>
      </c>
      <c r="AF10" s="3">
        <v>5450000</v>
      </c>
      <c r="AG10" s="1">
        <v>11</v>
      </c>
      <c r="AR10" s="1" t="s">
        <v>118</v>
      </c>
      <c r="BP10" s="1">
        <v>3</v>
      </c>
      <c r="BQ10" s="1" t="s">
        <v>2769</v>
      </c>
      <c r="BR10" s="1" t="s">
        <v>2770</v>
      </c>
      <c r="BS10" s="1" t="s">
        <v>2771</v>
      </c>
      <c r="BT10" s="1" t="s">
        <v>107</v>
      </c>
      <c r="BU10" s="1">
        <v>1</v>
      </c>
      <c r="BV10" s="1">
        <v>3</v>
      </c>
      <c r="BW10" s="1">
        <v>1</v>
      </c>
      <c r="BX10" s="1">
        <v>0</v>
      </c>
      <c r="BY10" s="1">
        <v>0</v>
      </c>
      <c r="BZ10" s="1">
        <v>0</v>
      </c>
      <c r="CA10" s="1">
        <v>0</v>
      </c>
      <c r="CB10" s="1">
        <v>0</v>
      </c>
      <c r="CC10" s="1">
        <v>0</v>
      </c>
      <c r="CD10" s="1">
        <v>0</v>
      </c>
      <c r="CE10" s="1">
        <v>0</v>
      </c>
      <c r="CF10" s="1">
        <v>0</v>
      </c>
      <c r="CG10" s="1">
        <v>0</v>
      </c>
      <c r="CH10" s="1">
        <v>0</v>
      </c>
      <c r="CI10" s="1">
        <v>0</v>
      </c>
      <c r="CJ10" s="1">
        <v>4</v>
      </c>
      <c r="CK10" s="1">
        <v>4</v>
      </c>
      <c r="CL10" s="1">
        <v>3</v>
      </c>
      <c r="CM10" s="1">
        <v>4</v>
      </c>
      <c r="CN10" s="1">
        <v>4</v>
      </c>
      <c r="CO10" s="1">
        <v>4</v>
      </c>
      <c r="CP10" s="1">
        <v>4</v>
      </c>
      <c r="CU10" s="1">
        <v>1</v>
      </c>
    </row>
    <row r="11" spans="1:99" x14ac:dyDescent="0.35">
      <c r="A11" s="1" t="s">
        <v>2772</v>
      </c>
      <c r="B11" s="1">
        <v>171344013</v>
      </c>
      <c r="C11" s="1">
        <v>0</v>
      </c>
      <c r="D11" s="1">
        <v>1</v>
      </c>
      <c r="E11" s="1">
        <v>1</v>
      </c>
      <c r="F11" s="1">
        <v>0</v>
      </c>
      <c r="G11" s="1">
        <v>0</v>
      </c>
      <c r="H11" s="1">
        <v>0</v>
      </c>
      <c r="I11" s="1">
        <v>0</v>
      </c>
      <c r="J11" s="1">
        <v>0</v>
      </c>
      <c r="K11" s="1">
        <v>0</v>
      </c>
      <c r="L11" s="1">
        <v>0</v>
      </c>
      <c r="M11" s="1">
        <v>0</v>
      </c>
      <c r="N11" s="1">
        <v>0</v>
      </c>
      <c r="O11" s="1">
        <v>0</v>
      </c>
      <c r="P11" s="1">
        <v>10</v>
      </c>
      <c r="Q11" s="1">
        <v>8</v>
      </c>
      <c r="R11" s="1" t="s">
        <v>186</v>
      </c>
      <c r="S11" s="1">
        <v>1</v>
      </c>
      <c r="T11" s="1">
        <v>1</v>
      </c>
      <c r="U11" s="1">
        <v>4</v>
      </c>
      <c r="V11" s="1">
        <v>3</v>
      </c>
      <c r="W11" s="1">
        <v>3</v>
      </c>
      <c r="X11" s="1">
        <v>4</v>
      </c>
      <c r="Y11" s="1">
        <v>4</v>
      </c>
      <c r="Z11" s="1">
        <v>4</v>
      </c>
      <c r="AA11" s="1">
        <v>4</v>
      </c>
      <c r="AC11" s="1">
        <v>1</v>
      </c>
      <c r="AD11" s="1">
        <v>0</v>
      </c>
      <c r="AE11" s="1">
        <v>0</v>
      </c>
      <c r="AF11" s="3">
        <v>8000000</v>
      </c>
      <c r="AG11" s="1">
        <v>11</v>
      </c>
      <c r="AR11" s="1" t="s">
        <v>118</v>
      </c>
      <c r="BP11" s="1">
        <v>3</v>
      </c>
      <c r="BQ11" s="1" t="s">
        <v>2773</v>
      </c>
      <c r="BR11" s="1" t="s">
        <v>2774</v>
      </c>
      <c r="BT11" s="1" t="s">
        <v>79</v>
      </c>
      <c r="BU11" s="1">
        <v>5</v>
      </c>
      <c r="BV11" s="1">
        <v>2</v>
      </c>
      <c r="BW11" s="1">
        <v>0</v>
      </c>
      <c r="BX11" s="1">
        <v>0</v>
      </c>
      <c r="BY11" s="1">
        <v>1</v>
      </c>
      <c r="BZ11" s="1">
        <v>0</v>
      </c>
      <c r="CA11" s="1">
        <v>0</v>
      </c>
      <c r="CB11" s="1">
        <v>1</v>
      </c>
      <c r="CC11" s="1">
        <v>0</v>
      </c>
      <c r="CD11" s="1">
        <v>1</v>
      </c>
      <c r="CE11" s="1">
        <v>0</v>
      </c>
      <c r="CF11" s="1">
        <v>0</v>
      </c>
      <c r="CG11" s="1">
        <v>0</v>
      </c>
      <c r="CH11" s="1">
        <v>0</v>
      </c>
      <c r="CI11" s="1">
        <v>0</v>
      </c>
      <c r="CJ11" s="1">
        <v>4</v>
      </c>
      <c r="CK11" s="1">
        <v>2</v>
      </c>
      <c r="CL11" s="1">
        <v>4</v>
      </c>
      <c r="CM11" s="1">
        <v>4</v>
      </c>
      <c r="CN11" s="1">
        <v>4</v>
      </c>
      <c r="CO11" s="1">
        <v>4</v>
      </c>
      <c r="CP11" s="1">
        <v>4</v>
      </c>
      <c r="CU11" s="1">
        <v>1</v>
      </c>
    </row>
    <row r="12" spans="1:99" x14ac:dyDescent="0.35">
      <c r="A12" s="1" t="s">
        <v>2775</v>
      </c>
      <c r="B12" s="1">
        <v>171344014</v>
      </c>
      <c r="C12" s="1">
        <v>0</v>
      </c>
      <c r="D12" s="1">
        <v>1</v>
      </c>
      <c r="E12" s="1">
        <v>1</v>
      </c>
      <c r="F12" s="1">
        <v>0</v>
      </c>
      <c r="G12" s="1">
        <v>0</v>
      </c>
      <c r="H12" s="1">
        <v>1</v>
      </c>
      <c r="I12" s="1">
        <v>0</v>
      </c>
      <c r="J12" s="1">
        <v>1</v>
      </c>
      <c r="K12" s="1">
        <v>0</v>
      </c>
      <c r="L12" s="1">
        <v>0</v>
      </c>
      <c r="M12" s="1">
        <v>0</v>
      </c>
      <c r="N12" s="1">
        <v>0</v>
      </c>
      <c r="O12" s="1">
        <v>0</v>
      </c>
      <c r="P12" s="1">
        <v>80</v>
      </c>
      <c r="Q12" s="1">
        <v>15</v>
      </c>
      <c r="R12" s="1">
        <v>8</v>
      </c>
      <c r="S12" s="1">
        <v>1</v>
      </c>
      <c r="T12" s="1">
        <v>1</v>
      </c>
      <c r="U12" s="1">
        <v>4</v>
      </c>
      <c r="V12" s="1">
        <v>3</v>
      </c>
      <c r="W12" s="1">
        <v>2</v>
      </c>
      <c r="X12" s="1">
        <v>3</v>
      </c>
      <c r="Y12" s="1">
        <v>3</v>
      </c>
      <c r="Z12" s="1">
        <v>4</v>
      </c>
      <c r="AA12" s="1">
        <v>3</v>
      </c>
      <c r="AC12" s="1">
        <v>1</v>
      </c>
      <c r="AD12" s="1">
        <v>0</v>
      </c>
      <c r="AE12" s="1">
        <v>0</v>
      </c>
      <c r="AF12" s="3">
        <v>7000000</v>
      </c>
      <c r="AG12" s="1">
        <v>11</v>
      </c>
      <c r="AR12" s="1" t="s">
        <v>118</v>
      </c>
      <c r="BP12" s="1">
        <v>3</v>
      </c>
      <c r="BQ12" s="1" t="s">
        <v>2776</v>
      </c>
      <c r="BR12" s="1" t="s">
        <v>2777</v>
      </c>
      <c r="BS12" s="1" t="s">
        <v>2778</v>
      </c>
      <c r="BT12" s="1" t="s">
        <v>73</v>
      </c>
      <c r="BU12" s="1">
        <v>2</v>
      </c>
      <c r="BV12" s="1">
        <v>2</v>
      </c>
      <c r="BW12" s="1">
        <v>1</v>
      </c>
      <c r="BX12" s="1">
        <v>0</v>
      </c>
      <c r="BY12" s="1">
        <v>0</v>
      </c>
      <c r="BZ12" s="1">
        <v>0</v>
      </c>
      <c r="CA12" s="1">
        <v>0</v>
      </c>
      <c r="CB12" s="1">
        <v>0</v>
      </c>
      <c r="CC12" s="1">
        <v>0</v>
      </c>
      <c r="CD12" s="1">
        <v>0</v>
      </c>
      <c r="CE12" s="1">
        <v>0</v>
      </c>
      <c r="CF12" s="1">
        <v>0</v>
      </c>
      <c r="CG12" s="1">
        <v>0</v>
      </c>
      <c r="CH12" s="1">
        <v>0</v>
      </c>
      <c r="CI12" s="1">
        <v>0</v>
      </c>
      <c r="CJ12" s="1">
        <v>4</v>
      </c>
      <c r="CK12" s="1">
        <v>3</v>
      </c>
      <c r="CL12" s="1">
        <v>4</v>
      </c>
      <c r="CM12" s="1">
        <v>4</v>
      </c>
      <c r="CN12" s="1">
        <v>4</v>
      </c>
      <c r="CO12" s="1">
        <v>3</v>
      </c>
      <c r="CP12" s="1">
        <v>3</v>
      </c>
      <c r="CU12" s="1">
        <v>1</v>
      </c>
    </row>
    <row r="13" spans="1:99" x14ac:dyDescent="0.35">
      <c r="A13" s="1" t="s">
        <v>2779</v>
      </c>
      <c r="B13" s="1">
        <v>171344015</v>
      </c>
      <c r="C13" s="1">
        <v>0</v>
      </c>
      <c r="D13" s="1">
        <v>0</v>
      </c>
      <c r="E13" s="1">
        <v>0</v>
      </c>
      <c r="F13" s="1">
        <v>0</v>
      </c>
      <c r="G13" s="1">
        <v>0</v>
      </c>
      <c r="H13" s="1">
        <v>0</v>
      </c>
      <c r="I13" s="1">
        <v>0</v>
      </c>
      <c r="J13" s="1">
        <v>0</v>
      </c>
      <c r="K13" s="1">
        <v>1</v>
      </c>
      <c r="L13" s="1">
        <v>0</v>
      </c>
      <c r="M13" s="1">
        <v>0</v>
      </c>
      <c r="N13" s="1">
        <v>0</v>
      </c>
      <c r="O13" s="1">
        <v>0</v>
      </c>
      <c r="P13" s="1" t="s">
        <v>2780</v>
      </c>
      <c r="Q13" s="1">
        <v>2</v>
      </c>
      <c r="R13" s="1">
        <v>2</v>
      </c>
      <c r="S13" s="1">
        <v>1</v>
      </c>
      <c r="T13" s="1">
        <v>1</v>
      </c>
      <c r="U13" s="1">
        <v>4</v>
      </c>
      <c r="V13" s="1">
        <v>2</v>
      </c>
      <c r="W13" s="1">
        <v>3</v>
      </c>
      <c r="X13" s="1">
        <v>3</v>
      </c>
      <c r="Y13" s="1">
        <v>2</v>
      </c>
      <c r="Z13" s="1">
        <v>4</v>
      </c>
      <c r="AA13" s="1">
        <v>2</v>
      </c>
      <c r="AC13" s="1">
        <v>1</v>
      </c>
      <c r="AD13" s="1">
        <v>1</v>
      </c>
      <c r="AE13" s="1">
        <v>1</v>
      </c>
      <c r="AF13" s="3">
        <v>6000000</v>
      </c>
      <c r="AG13" s="1">
        <v>11</v>
      </c>
      <c r="AR13" s="1" t="s">
        <v>118</v>
      </c>
      <c r="BP13" s="1">
        <v>3</v>
      </c>
      <c r="BQ13" s="1" t="s">
        <v>1184</v>
      </c>
      <c r="BR13" s="1" t="s">
        <v>2751</v>
      </c>
      <c r="BS13" s="1" t="s">
        <v>2781</v>
      </c>
      <c r="BT13" s="1" t="s">
        <v>79</v>
      </c>
      <c r="BU13" s="1">
        <v>2</v>
      </c>
      <c r="BV13" s="1">
        <v>2</v>
      </c>
      <c r="BW13" s="1">
        <v>1</v>
      </c>
      <c r="BX13" s="1">
        <v>0</v>
      </c>
      <c r="BY13" s="1">
        <v>0</v>
      </c>
      <c r="BZ13" s="1">
        <v>0</v>
      </c>
      <c r="CA13" s="1">
        <v>0</v>
      </c>
      <c r="CB13" s="1">
        <v>0</v>
      </c>
      <c r="CC13" s="1">
        <v>0</v>
      </c>
      <c r="CD13" s="1">
        <v>0</v>
      </c>
      <c r="CE13" s="1">
        <v>0</v>
      </c>
      <c r="CF13" s="1">
        <v>0</v>
      </c>
      <c r="CG13" s="1">
        <v>0</v>
      </c>
      <c r="CH13" s="1">
        <v>0</v>
      </c>
      <c r="CI13" s="1">
        <v>0</v>
      </c>
      <c r="CJ13" s="1">
        <v>4</v>
      </c>
      <c r="CK13" s="1">
        <v>4</v>
      </c>
      <c r="CL13" s="1">
        <v>3</v>
      </c>
      <c r="CM13" s="1">
        <v>4</v>
      </c>
      <c r="CN13" s="1">
        <v>3</v>
      </c>
      <c r="CO13" s="1">
        <v>4</v>
      </c>
      <c r="CP13" s="1">
        <v>4</v>
      </c>
      <c r="CU13" s="1">
        <v>1</v>
      </c>
    </row>
    <row r="14" spans="1:99" x14ac:dyDescent="0.35">
      <c r="A14" s="1" t="s">
        <v>2782</v>
      </c>
      <c r="B14" s="1">
        <v>171344016</v>
      </c>
      <c r="C14" s="1">
        <v>0</v>
      </c>
      <c r="D14" s="1">
        <v>1</v>
      </c>
      <c r="E14" s="1">
        <v>0</v>
      </c>
      <c r="F14" s="1">
        <v>0</v>
      </c>
      <c r="G14" s="1">
        <v>0</v>
      </c>
      <c r="H14" s="1">
        <v>0</v>
      </c>
      <c r="I14" s="1">
        <v>0</v>
      </c>
      <c r="J14" s="1">
        <v>1</v>
      </c>
      <c r="K14" s="1">
        <v>1</v>
      </c>
      <c r="L14" s="1">
        <v>0</v>
      </c>
      <c r="M14" s="1">
        <v>0</v>
      </c>
      <c r="N14" s="1">
        <v>0</v>
      </c>
      <c r="O14" s="1">
        <v>0</v>
      </c>
      <c r="P14" s="1">
        <v>20</v>
      </c>
      <c r="Q14" s="1">
        <v>6</v>
      </c>
      <c r="R14" s="1">
        <v>6</v>
      </c>
      <c r="S14" s="1">
        <v>1</v>
      </c>
      <c r="T14" s="1">
        <v>1</v>
      </c>
      <c r="U14" s="1">
        <v>3</v>
      </c>
      <c r="V14" s="1">
        <v>4</v>
      </c>
      <c r="W14" s="1">
        <v>3</v>
      </c>
      <c r="X14" s="1">
        <v>3</v>
      </c>
      <c r="Y14" s="1">
        <v>4</v>
      </c>
      <c r="Z14" s="1">
        <v>4</v>
      </c>
      <c r="AA14" s="1">
        <v>4</v>
      </c>
      <c r="AC14" s="1">
        <v>2</v>
      </c>
      <c r="AE14" s="1">
        <v>1</v>
      </c>
      <c r="AF14" s="3">
        <v>7600000</v>
      </c>
      <c r="AG14" s="1">
        <v>11</v>
      </c>
      <c r="AR14" s="1" t="s">
        <v>144</v>
      </c>
      <c r="BP14" s="1">
        <v>3</v>
      </c>
      <c r="BQ14" s="1" t="s">
        <v>2783</v>
      </c>
      <c r="BR14" s="1" t="s">
        <v>2784</v>
      </c>
      <c r="BS14" s="1" t="s">
        <v>2785</v>
      </c>
      <c r="BT14" s="1" t="s">
        <v>73</v>
      </c>
      <c r="BU14" s="1">
        <v>1</v>
      </c>
      <c r="BV14" s="1">
        <v>2</v>
      </c>
      <c r="BW14" s="1">
        <v>1</v>
      </c>
      <c r="BX14" s="1">
        <v>0</v>
      </c>
      <c r="BY14" s="1">
        <v>0</v>
      </c>
      <c r="BZ14" s="1">
        <v>0</v>
      </c>
      <c r="CA14" s="1">
        <v>0</v>
      </c>
      <c r="CB14" s="1">
        <v>0</v>
      </c>
      <c r="CC14" s="1">
        <v>0</v>
      </c>
      <c r="CD14" s="1">
        <v>0</v>
      </c>
      <c r="CE14" s="1">
        <v>0</v>
      </c>
      <c r="CF14" s="1">
        <v>0</v>
      </c>
      <c r="CG14" s="1">
        <v>0</v>
      </c>
      <c r="CH14" s="1">
        <v>0</v>
      </c>
      <c r="CI14" s="1">
        <v>0</v>
      </c>
      <c r="CJ14" s="1">
        <v>4</v>
      </c>
      <c r="CK14" s="1">
        <v>3</v>
      </c>
      <c r="CL14" s="1">
        <v>2</v>
      </c>
      <c r="CM14" s="1">
        <v>3</v>
      </c>
      <c r="CN14" s="1">
        <v>4</v>
      </c>
      <c r="CO14" s="1">
        <v>4</v>
      </c>
      <c r="CP14" s="1">
        <v>4</v>
      </c>
      <c r="CU14" s="1">
        <v>1</v>
      </c>
    </row>
    <row r="15" spans="1:99" x14ac:dyDescent="0.35">
      <c r="A15" s="1" t="s">
        <v>2786</v>
      </c>
      <c r="B15" s="1">
        <v>171344017</v>
      </c>
      <c r="C15" s="1">
        <v>0</v>
      </c>
      <c r="D15" s="1">
        <v>0</v>
      </c>
      <c r="E15" s="1">
        <v>0</v>
      </c>
      <c r="F15" s="1">
        <v>0</v>
      </c>
      <c r="G15" s="1">
        <v>0</v>
      </c>
      <c r="H15" s="1">
        <v>0</v>
      </c>
      <c r="I15" s="1">
        <v>0</v>
      </c>
      <c r="J15" s="1">
        <v>1</v>
      </c>
      <c r="K15" s="1">
        <v>0</v>
      </c>
      <c r="L15" s="1">
        <v>0</v>
      </c>
      <c r="M15" s="1">
        <v>0</v>
      </c>
      <c r="N15" s="1">
        <v>1</v>
      </c>
      <c r="O15" s="1">
        <v>0</v>
      </c>
      <c r="P15" s="1">
        <v>100</v>
      </c>
      <c r="Q15" s="1">
        <v>15</v>
      </c>
      <c r="R15" s="1">
        <v>7</v>
      </c>
      <c r="S15" s="1">
        <v>1</v>
      </c>
      <c r="T15" s="1">
        <v>1</v>
      </c>
      <c r="U15" s="1">
        <v>3</v>
      </c>
      <c r="V15" s="1">
        <v>4</v>
      </c>
      <c r="W15" s="1">
        <v>3</v>
      </c>
      <c r="X15" s="1">
        <v>4</v>
      </c>
      <c r="Y15" s="1">
        <v>3</v>
      </c>
      <c r="Z15" s="1">
        <v>3</v>
      </c>
      <c r="AA15" s="1">
        <v>4</v>
      </c>
      <c r="AC15" s="1">
        <v>1</v>
      </c>
      <c r="AD15" s="1">
        <v>1</v>
      </c>
      <c r="AE15" s="1">
        <v>1</v>
      </c>
      <c r="AF15" s="3">
        <v>5000000</v>
      </c>
      <c r="AG15" s="1">
        <v>11</v>
      </c>
      <c r="AR15" s="1" t="s">
        <v>130</v>
      </c>
      <c r="BP15" s="1">
        <v>3</v>
      </c>
      <c r="BQ15" s="1" t="s">
        <v>2787</v>
      </c>
      <c r="BR15" s="1" t="s">
        <v>2788</v>
      </c>
      <c r="BT15" s="1" t="s">
        <v>79</v>
      </c>
      <c r="BU15" s="1">
        <v>2</v>
      </c>
      <c r="BV15" s="1">
        <v>3</v>
      </c>
      <c r="BW15" s="1">
        <v>0</v>
      </c>
      <c r="BX15" s="1">
        <v>0</v>
      </c>
      <c r="BY15" s="1">
        <v>0</v>
      </c>
      <c r="BZ15" s="1">
        <v>0</v>
      </c>
      <c r="CA15" s="1">
        <v>0</v>
      </c>
      <c r="CB15" s="1">
        <v>0</v>
      </c>
      <c r="CC15" s="1">
        <v>0</v>
      </c>
      <c r="CD15" s="1">
        <v>0</v>
      </c>
      <c r="CE15" s="1">
        <v>1</v>
      </c>
      <c r="CF15" s="1">
        <v>0</v>
      </c>
      <c r="CG15" s="1">
        <v>1</v>
      </c>
      <c r="CH15" s="1">
        <v>0</v>
      </c>
      <c r="CI15" s="1" t="s">
        <v>2789</v>
      </c>
      <c r="CJ15" s="1">
        <v>4</v>
      </c>
      <c r="CK15" s="1">
        <v>4</v>
      </c>
      <c r="CL15" s="1">
        <v>4</v>
      </c>
      <c r="CM15" s="1">
        <v>4</v>
      </c>
      <c r="CN15" s="1">
        <v>4</v>
      </c>
      <c r="CO15" s="1">
        <v>4</v>
      </c>
      <c r="CP15" s="1">
        <v>4</v>
      </c>
      <c r="CU15" s="1">
        <v>1</v>
      </c>
    </row>
    <row r="16" spans="1:99" x14ac:dyDescent="0.35">
      <c r="A16" s="1" t="s">
        <v>2790</v>
      </c>
      <c r="B16" s="1">
        <v>171344018</v>
      </c>
      <c r="C16" s="1">
        <v>0</v>
      </c>
      <c r="D16" s="1">
        <v>1</v>
      </c>
      <c r="E16" s="1">
        <v>0</v>
      </c>
      <c r="F16" s="1">
        <v>0</v>
      </c>
      <c r="G16" s="1">
        <v>0</v>
      </c>
      <c r="H16" s="1">
        <v>0</v>
      </c>
      <c r="I16" s="1">
        <v>1</v>
      </c>
      <c r="J16" s="1">
        <v>0</v>
      </c>
      <c r="K16" s="1">
        <v>1</v>
      </c>
      <c r="L16" s="1">
        <v>0</v>
      </c>
      <c r="M16" s="1">
        <v>0</v>
      </c>
      <c r="N16" s="1">
        <v>0</v>
      </c>
      <c r="P16" s="1" t="s">
        <v>463</v>
      </c>
      <c r="Q16" s="1">
        <v>6</v>
      </c>
      <c r="R16" s="1">
        <v>4</v>
      </c>
      <c r="S16" s="1">
        <v>1</v>
      </c>
      <c r="T16" s="1">
        <v>1</v>
      </c>
      <c r="U16" s="1">
        <v>4</v>
      </c>
      <c r="V16" s="1">
        <v>3</v>
      </c>
      <c r="W16" s="1">
        <v>3</v>
      </c>
      <c r="X16" s="1">
        <v>4</v>
      </c>
      <c r="Y16" s="1">
        <v>4</v>
      </c>
      <c r="Z16" s="1">
        <v>3</v>
      </c>
      <c r="AA16" s="1">
        <v>4</v>
      </c>
      <c r="AC16" s="1">
        <v>1</v>
      </c>
      <c r="AD16" s="1">
        <v>1</v>
      </c>
      <c r="AF16" s="3">
        <v>5696000</v>
      </c>
      <c r="AG16" s="1">
        <v>11</v>
      </c>
      <c r="AR16" s="1" t="s">
        <v>130</v>
      </c>
      <c r="BP16" s="1">
        <v>3</v>
      </c>
      <c r="BQ16" s="1" t="s">
        <v>2758</v>
      </c>
      <c r="BR16" s="1" t="s">
        <v>2791</v>
      </c>
      <c r="BS16" s="1" t="s">
        <v>4334</v>
      </c>
      <c r="BT16" s="1" t="s">
        <v>73</v>
      </c>
      <c r="BU16" s="1">
        <v>4</v>
      </c>
      <c r="BV16" s="1">
        <v>2</v>
      </c>
      <c r="BW16" s="1">
        <v>0</v>
      </c>
      <c r="BX16" s="1">
        <v>1</v>
      </c>
      <c r="BY16" s="1">
        <v>1</v>
      </c>
      <c r="BZ16" s="1">
        <v>0</v>
      </c>
      <c r="CA16" s="1">
        <v>0</v>
      </c>
      <c r="CB16" s="1">
        <v>0</v>
      </c>
      <c r="CC16" s="1">
        <v>0</v>
      </c>
      <c r="CD16" s="1">
        <v>0</v>
      </c>
      <c r="CE16" s="1">
        <v>0</v>
      </c>
      <c r="CF16" s="1">
        <v>0</v>
      </c>
      <c r="CG16" s="1">
        <v>0</v>
      </c>
      <c r="CH16" s="1">
        <v>1</v>
      </c>
      <c r="CJ16" s="1">
        <v>4</v>
      </c>
      <c r="CK16" s="1">
        <v>3</v>
      </c>
      <c r="CL16" s="1">
        <v>3</v>
      </c>
      <c r="CM16" s="1">
        <v>4</v>
      </c>
      <c r="CN16" s="1">
        <v>4</v>
      </c>
      <c r="CO16" s="1">
        <v>3</v>
      </c>
      <c r="CP16" s="1">
        <v>4</v>
      </c>
      <c r="CU16" s="1">
        <v>1</v>
      </c>
    </row>
    <row r="17" spans="1:99" x14ac:dyDescent="0.35">
      <c r="A17" s="1" t="s">
        <v>2792</v>
      </c>
      <c r="B17" s="1">
        <v>171344019</v>
      </c>
      <c r="C17" s="1">
        <v>1</v>
      </c>
      <c r="D17" s="1">
        <v>1</v>
      </c>
      <c r="E17" s="1">
        <v>0</v>
      </c>
      <c r="F17" s="1">
        <v>0</v>
      </c>
      <c r="G17" s="1">
        <v>0</v>
      </c>
      <c r="H17" s="1">
        <v>0</v>
      </c>
      <c r="I17" s="1">
        <v>0</v>
      </c>
      <c r="J17" s="1">
        <v>0</v>
      </c>
      <c r="K17" s="1">
        <v>1</v>
      </c>
      <c r="L17" s="1">
        <v>0</v>
      </c>
      <c r="M17" s="1">
        <v>0</v>
      </c>
      <c r="N17" s="1">
        <v>0</v>
      </c>
      <c r="O17" s="1">
        <v>0</v>
      </c>
      <c r="P17" s="1">
        <v>10</v>
      </c>
      <c r="Q17" s="1">
        <v>4</v>
      </c>
      <c r="R17" s="1">
        <v>1</v>
      </c>
      <c r="S17" s="1">
        <v>1</v>
      </c>
      <c r="T17" s="1">
        <v>3</v>
      </c>
      <c r="U17" s="1">
        <v>3</v>
      </c>
      <c r="V17" s="1">
        <v>3</v>
      </c>
      <c r="W17" s="1">
        <v>2</v>
      </c>
      <c r="X17" s="1">
        <v>3</v>
      </c>
      <c r="Y17" s="1">
        <v>2</v>
      </c>
      <c r="Z17" s="1">
        <v>3</v>
      </c>
      <c r="AA17" s="1">
        <v>2</v>
      </c>
      <c r="AC17" s="1">
        <v>1</v>
      </c>
      <c r="AD17" s="1">
        <v>1</v>
      </c>
      <c r="AE17" s="1">
        <v>1</v>
      </c>
      <c r="AF17" s="3">
        <v>6000000</v>
      </c>
      <c r="AG17" s="1">
        <v>11</v>
      </c>
      <c r="AR17" s="1" t="s">
        <v>130</v>
      </c>
      <c r="BP17" s="1">
        <v>7</v>
      </c>
      <c r="BQ17" s="1" t="s">
        <v>2793</v>
      </c>
      <c r="BR17" s="1" t="s">
        <v>2794</v>
      </c>
      <c r="BS17" s="1" t="s">
        <v>2795</v>
      </c>
      <c r="BT17" s="1" t="s">
        <v>73</v>
      </c>
      <c r="BU17" s="1">
        <v>3</v>
      </c>
      <c r="BV17" s="1">
        <v>2</v>
      </c>
      <c r="BW17" s="1">
        <v>1</v>
      </c>
      <c r="BX17" s="1">
        <v>0</v>
      </c>
      <c r="BY17" s="1">
        <v>0</v>
      </c>
      <c r="BZ17" s="1">
        <v>0</v>
      </c>
      <c r="CA17" s="1">
        <v>0</v>
      </c>
      <c r="CB17" s="1">
        <v>0</v>
      </c>
      <c r="CC17" s="1">
        <v>0</v>
      </c>
      <c r="CD17" s="1">
        <v>0</v>
      </c>
      <c r="CE17" s="1">
        <v>0</v>
      </c>
      <c r="CF17" s="1">
        <v>0</v>
      </c>
      <c r="CG17" s="1">
        <v>0</v>
      </c>
      <c r="CH17" s="1">
        <v>0</v>
      </c>
      <c r="CI17" s="1">
        <v>0</v>
      </c>
      <c r="CJ17" s="1">
        <v>4</v>
      </c>
      <c r="CK17" s="1">
        <v>4</v>
      </c>
      <c r="CL17" s="1">
        <v>4</v>
      </c>
      <c r="CM17" s="1">
        <v>4</v>
      </c>
      <c r="CN17" s="1">
        <v>4</v>
      </c>
      <c r="CO17" s="1">
        <v>4</v>
      </c>
      <c r="CP17" s="1">
        <v>4</v>
      </c>
      <c r="CU17" s="1">
        <v>1</v>
      </c>
    </row>
    <row r="18" spans="1:99" x14ac:dyDescent="0.35">
      <c r="A18" s="1" t="s">
        <v>2796</v>
      </c>
      <c r="B18" s="1">
        <v>171344020</v>
      </c>
      <c r="C18" s="1">
        <v>1</v>
      </c>
      <c r="D18" s="1">
        <v>1</v>
      </c>
      <c r="E18" s="1">
        <v>0</v>
      </c>
      <c r="F18" s="1">
        <v>0</v>
      </c>
      <c r="G18" s="1">
        <v>0</v>
      </c>
      <c r="H18" s="1">
        <v>1</v>
      </c>
      <c r="I18" s="1">
        <v>1</v>
      </c>
      <c r="J18" s="1">
        <v>1</v>
      </c>
      <c r="K18" s="1">
        <v>1</v>
      </c>
      <c r="L18" s="1">
        <v>0</v>
      </c>
      <c r="M18" s="1">
        <v>0</v>
      </c>
      <c r="N18" s="1">
        <v>0</v>
      </c>
      <c r="O18" s="1">
        <v>0</v>
      </c>
      <c r="P18" s="1">
        <v>100</v>
      </c>
      <c r="Q18" s="1">
        <v>20</v>
      </c>
      <c r="R18" s="1">
        <v>8</v>
      </c>
      <c r="S18" s="1">
        <v>1</v>
      </c>
      <c r="T18" s="1">
        <v>3</v>
      </c>
      <c r="U18" s="1">
        <v>3</v>
      </c>
      <c r="V18" s="1">
        <v>3</v>
      </c>
      <c r="W18" s="1">
        <v>3</v>
      </c>
      <c r="X18" s="1">
        <v>3</v>
      </c>
      <c r="Y18" s="1">
        <v>3</v>
      </c>
      <c r="Z18" s="1">
        <v>3</v>
      </c>
      <c r="AA18" s="1">
        <v>3</v>
      </c>
      <c r="AC18" s="1">
        <v>1</v>
      </c>
      <c r="AD18" s="1">
        <v>5</v>
      </c>
      <c r="AF18" s="3">
        <v>5700000</v>
      </c>
      <c r="AG18" s="1">
        <v>11</v>
      </c>
      <c r="AR18" s="1" t="s">
        <v>130</v>
      </c>
      <c r="BP18" s="1">
        <v>3</v>
      </c>
      <c r="BQ18" s="1" t="s">
        <v>2797</v>
      </c>
      <c r="BR18" s="1" t="s">
        <v>2798</v>
      </c>
      <c r="BT18" s="1" t="s">
        <v>73</v>
      </c>
      <c r="BU18" s="1">
        <v>1</v>
      </c>
      <c r="BV18" s="1">
        <v>2</v>
      </c>
      <c r="BW18" s="1">
        <v>0</v>
      </c>
      <c r="BX18" s="1">
        <v>0</v>
      </c>
      <c r="BY18" s="1">
        <v>0</v>
      </c>
      <c r="BZ18" s="1">
        <v>0</v>
      </c>
      <c r="CA18" s="1">
        <v>0</v>
      </c>
      <c r="CB18" s="1">
        <v>0</v>
      </c>
      <c r="CC18" s="1">
        <v>0</v>
      </c>
      <c r="CD18" s="1">
        <v>0</v>
      </c>
      <c r="CE18" s="1">
        <v>0</v>
      </c>
      <c r="CF18" s="1">
        <v>0</v>
      </c>
      <c r="CG18" s="1">
        <v>0</v>
      </c>
      <c r="CH18" s="1">
        <v>0</v>
      </c>
      <c r="CI18" s="1" t="s">
        <v>78</v>
      </c>
      <c r="CJ18" s="1">
        <v>4</v>
      </c>
      <c r="CK18" s="1">
        <v>4</v>
      </c>
      <c r="CL18" s="1">
        <v>4</v>
      </c>
      <c r="CM18" s="1">
        <v>4</v>
      </c>
      <c r="CN18" s="1">
        <v>4</v>
      </c>
      <c r="CO18" s="1">
        <v>4</v>
      </c>
      <c r="CP18" s="1">
        <v>4</v>
      </c>
      <c r="CU18" s="1">
        <v>1</v>
      </c>
    </row>
    <row r="19" spans="1:99" x14ac:dyDescent="0.35">
      <c r="A19" s="1" t="s">
        <v>2799</v>
      </c>
      <c r="B19" s="1">
        <v>171344021</v>
      </c>
      <c r="C19" s="1">
        <v>0</v>
      </c>
      <c r="D19" s="1">
        <v>0</v>
      </c>
      <c r="E19" s="1">
        <v>1</v>
      </c>
      <c r="F19" s="1">
        <v>0</v>
      </c>
      <c r="G19" s="1">
        <v>0</v>
      </c>
      <c r="H19" s="1">
        <v>0</v>
      </c>
      <c r="I19" s="1">
        <v>0</v>
      </c>
      <c r="J19" s="1">
        <v>1</v>
      </c>
      <c r="K19" s="1">
        <v>0</v>
      </c>
      <c r="L19" s="1">
        <v>0</v>
      </c>
      <c r="M19" s="1">
        <v>0</v>
      </c>
      <c r="N19" s="1">
        <v>0</v>
      </c>
      <c r="O19" s="1">
        <v>0</v>
      </c>
      <c r="P19" s="1">
        <v>2</v>
      </c>
      <c r="Q19" s="1">
        <v>2</v>
      </c>
      <c r="R19" s="1">
        <v>1</v>
      </c>
      <c r="S19" s="1">
        <v>1</v>
      </c>
      <c r="T19" s="1">
        <v>3</v>
      </c>
      <c r="U19" s="1">
        <v>4</v>
      </c>
      <c r="V19" s="1">
        <v>4</v>
      </c>
      <c r="W19" s="1">
        <v>3</v>
      </c>
      <c r="X19" s="1">
        <v>4</v>
      </c>
      <c r="Y19" s="1">
        <v>4</v>
      </c>
      <c r="Z19" s="1">
        <v>4</v>
      </c>
      <c r="AA19" s="1">
        <v>1</v>
      </c>
      <c r="AC19" s="1">
        <v>1</v>
      </c>
      <c r="AD19" s="1">
        <v>0</v>
      </c>
      <c r="AE19" s="1">
        <v>0</v>
      </c>
      <c r="AF19" s="3">
        <v>6000000</v>
      </c>
      <c r="AG19" s="1">
        <v>11</v>
      </c>
      <c r="AR19" s="1" t="s">
        <v>130</v>
      </c>
      <c r="BP19" s="1">
        <v>3</v>
      </c>
      <c r="BQ19" s="1" t="s">
        <v>2800</v>
      </c>
      <c r="BR19" s="1" t="s">
        <v>2801</v>
      </c>
      <c r="BS19" s="1" t="s">
        <v>2802</v>
      </c>
      <c r="BT19" s="1" t="s">
        <v>79</v>
      </c>
      <c r="BU19" s="1">
        <v>1</v>
      </c>
      <c r="BV19" s="1">
        <v>2</v>
      </c>
      <c r="BW19" s="1">
        <v>0</v>
      </c>
      <c r="BX19" s="1">
        <v>0</v>
      </c>
      <c r="BY19" s="1">
        <v>0</v>
      </c>
      <c r="BZ19" s="1">
        <v>0</v>
      </c>
      <c r="CA19" s="1">
        <v>0</v>
      </c>
      <c r="CB19" s="1">
        <v>0</v>
      </c>
      <c r="CC19" s="1">
        <v>1</v>
      </c>
      <c r="CD19" s="1">
        <v>1</v>
      </c>
      <c r="CE19" s="1">
        <v>1</v>
      </c>
      <c r="CF19" s="1">
        <v>0</v>
      </c>
      <c r="CG19" s="1">
        <v>0</v>
      </c>
      <c r="CH19" s="1">
        <v>0</v>
      </c>
      <c r="CI19" s="1">
        <v>0</v>
      </c>
      <c r="CJ19" s="1">
        <v>4</v>
      </c>
      <c r="CK19" s="1">
        <v>4</v>
      </c>
      <c r="CL19" s="1">
        <v>4</v>
      </c>
      <c r="CM19" s="1">
        <v>4</v>
      </c>
      <c r="CN19" s="1">
        <v>4</v>
      </c>
      <c r="CO19" s="1">
        <v>4</v>
      </c>
      <c r="CP19" s="1">
        <v>4</v>
      </c>
      <c r="CU19" s="1">
        <v>1</v>
      </c>
    </row>
    <row r="20" spans="1:99" x14ac:dyDescent="0.35">
      <c r="A20" s="1" t="s">
        <v>2803</v>
      </c>
      <c r="B20" s="1">
        <v>171344022</v>
      </c>
      <c r="C20" s="1">
        <v>0</v>
      </c>
      <c r="D20" s="1">
        <v>0</v>
      </c>
      <c r="E20" s="1">
        <v>0</v>
      </c>
      <c r="F20" s="1">
        <v>0</v>
      </c>
      <c r="G20" s="1">
        <v>0</v>
      </c>
      <c r="H20" s="1">
        <v>0</v>
      </c>
      <c r="I20" s="1">
        <v>0</v>
      </c>
      <c r="J20" s="1">
        <v>0</v>
      </c>
      <c r="K20" s="1">
        <v>0</v>
      </c>
      <c r="L20" s="1">
        <v>0</v>
      </c>
      <c r="M20" s="1">
        <v>0</v>
      </c>
      <c r="N20" s="1">
        <v>0</v>
      </c>
      <c r="O20" s="1" t="s">
        <v>2804</v>
      </c>
      <c r="P20" s="1">
        <v>2</v>
      </c>
      <c r="Q20" s="1">
        <v>2</v>
      </c>
      <c r="R20" s="1">
        <v>1</v>
      </c>
      <c r="S20" s="1">
        <v>1</v>
      </c>
      <c r="T20" s="1">
        <v>1</v>
      </c>
      <c r="U20" s="1">
        <v>4</v>
      </c>
      <c r="V20" s="1">
        <v>3</v>
      </c>
      <c r="W20" s="1">
        <v>4</v>
      </c>
      <c r="X20" s="1">
        <v>4</v>
      </c>
      <c r="Y20" s="1">
        <v>4</v>
      </c>
      <c r="Z20" s="1">
        <v>4</v>
      </c>
      <c r="AA20" s="1">
        <v>4</v>
      </c>
      <c r="AC20" s="1">
        <v>1</v>
      </c>
      <c r="AD20" s="1">
        <v>4</v>
      </c>
      <c r="AE20" s="1">
        <v>4</v>
      </c>
      <c r="AF20" s="3">
        <v>6300000</v>
      </c>
      <c r="AG20" s="1">
        <v>11</v>
      </c>
      <c r="AR20" s="1" t="s">
        <v>222</v>
      </c>
      <c r="BP20" s="1">
        <v>3</v>
      </c>
      <c r="BQ20" s="1" t="s">
        <v>2805</v>
      </c>
      <c r="BR20" s="1" t="s">
        <v>2806</v>
      </c>
      <c r="BT20" s="1" t="s">
        <v>79</v>
      </c>
      <c r="BU20" s="1">
        <v>2</v>
      </c>
      <c r="BV20" s="1">
        <v>2</v>
      </c>
      <c r="BW20" s="1">
        <v>0</v>
      </c>
      <c r="BX20" s="1">
        <v>0</v>
      </c>
      <c r="BY20" s="1">
        <v>0</v>
      </c>
      <c r="BZ20" s="1">
        <v>1</v>
      </c>
      <c r="CA20" s="1">
        <v>0</v>
      </c>
      <c r="CB20" s="1">
        <v>0</v>
      </c>
      <c r="CC20" s="1">
        <v>0</v>
      </c>
      <c r="CD20" s="1">
        <v>0</v>
      </c>
      <c r="CE20" s="1">
        <v>0</v>
      </c>
      <c r="CF20" s="1">
        <v>0</v>
      </c>
      <c r="CG20" s="1">
        <v>0</v>
      </c>
      <c r="CH20" s="1">
        <v>0</v>
      </c>
      <c r="CI20" s="1">
        <v>0</v>
      </c>
      <c r="CJ20" s="1">
        <v>4</v>
      </c>
      <c r="CK20" s="1">
        <v>4</v>
      </c>
      <c r="CL20" s="1">
        <v>3</v>
      </c>
      <c r="CM20" s="1">
        <v>4</v>
      </c>
      <c r="CN20" s="1">
        <v>4</v>
      </c>
      <c r="CO20" s="1">
        <v>4</v>
      </c>
      <c r="CP20" s="1">
        <v>4</v>
      </c>
      <c r="CU20" s="1">
        <v>1</v>
      </c>
    </row>
    <row r="21" spans="1:99" x14ac:dyDescent="0.35">
      <c r="A21" s="1" t="s">
        <v>2807</v>
      </c>
      <c r="B21" s="1">
        <v>171344023</v>
      </c>
      <c r="C21" s="1">
        <v>0</v>
      </c>
      <c r="D21" s="1">
        <v>1</v>
      </c>
      <c r="E21" s="1">
        <v>1</v>
      </c>
      <c r="F21" s="1">
        <v>0</v>
      </c>
      <c r="G21" s="1">
        <v>0</v>
      </c>
      <c r="H21" s="1">
        <v>0</v>
      </c>
      <c r="I21" s="1">
        <v>0</v>
      </c>
      <c r="J21" s="1">
        <v>1</v>
      </c>
      <c r="K21" s="1">
        <v>1</v>
      </c>
      <c r="L21" s="1">
        <v>0</v>
      </c>
      <c r="M21" s="1">
        <v>0</v>
      </c>
      <c r="N21" s="1">
        <v>0</v>
      </c>
      <c r="O21" s="1">
        <v>0</v>
      </c>
      <c r="P21" s="1">
        <v>76</v>
      </c>
      <c r="Q21" s="1">
        <v>17</v>
      </c>
      <c r="R21" s="1">
        <v>8</v>
      </c>
      <c r="S21" s="1">
        <v>1</v>
      </c>
      <c r="T21" s="1">
        <v>1</v>
      </c>
      <c r="U21" s="1">
        <v>4</v>
      </c>
      <c r="V21" s="1">
        <v>3</v>
      </c>
      <c r="W21" s="1">
        <v>3</v>
      </c>
      <c r="X21" s="1">
        <v>3</v>
      </c>
      <c r="Y21" s="1">
        <v>4</v>
      </c>
      <c r="Z21" s="1">
        <v>4</v>
      </c>
      <c r="AA21" s="1">
        <v>4</v>
      </c>
      <c r="AC21" s="1">
        <v>1</v>
      </c>
      <c r="AD21" s="1">
        <v>5</v>
      </c>
      <c r="AF21" s="3">
        <v>6000000</v>
      </c>
      <c r="AG21" s="1">
        <v>11</v>
      </c>
      <c r="AR21" s="1" t="s">
        <v>130</v>
      </c>
      <c r="BP21" s="1">
        <v>3</v>
      </c>
      <c r="BQ21" s="1" t="s">
        <v>2808</v>
      </c>
      <c r="BR21" s="1" t="s">
        <v>2809</v>
      </c>
      <c r="BT21" s="1" t="s">
        <v>73</v>
      </c>
      <c r="BU21" s="1">
        <v>1</v>
      </c>
      <c r="BV21" s="1">
        <v>2</v>
      </c>
      <c r="BW21" s="1">
        <v>1</v>
      </c>
      <c r="BX21" s="1">
        <v>0</v>
      </c>
      <c r="BY21" s="1">
        <v>1</v>
      </c>
      <c r="BZ21" s="1">
        <v>0</v>
      </c>
      <c r="CA21" s="1">
        <v>0</v>
      </c>
      <c r="CB21" s="1">
        <v>0</v>
      </c>
      <c r="CC21" s="1">
        <v>0</v>
      </c>
      <c r="CD21" s="1">
        <v>0</v>
      </c>
      <c r="CE21" s="1">
        <v>0</v>
      </c>
      <c r="CF21" s="1">
        <v>0</v>
      </c>
      <c r="CG21" s="1">
        <v>0</v>
      </c>
      <c r="CH21" s="1">
        <v>0</v>
      </c>
      <c r="CI21" s="1">
        <v>0</v>
      </c>
      <c r="CJ21" s="1">
        <v>4</v>
      </c>
      <c r="CK21" s="1">
        <v>3</v>
      </c>
      <c r="CL21" s="1">
        <v>4</v>
      </c>
      <c r="CM21" s="1">
        <v>4</v>
      </c>
      <c r="CN21" s="1">
        <v>4</v>
      </c>
      <c r="CO21" s="1">
        <v>4</v>
      </c>
      <c r="CP21" s="1">
        <v>4</v>
      </c>
      <c r="CU21" s="1">
        <v>1</v>
      </c>
    </row>
    <row r="22" spans="1:99" x14ac:dyDescent="0.35">
      <c r="A22" s="1" t="s">
        <v>2810</v>
      </c>
      <c r="B22" s="1">
        <v>171344024</v>
      </c>
      <c r="C22" s="1">
        <v>0</v>
      </c>
      <c r="D22" s="1">
        <v>1</v>
      </c>
      <c r="E22" s="1">
        <v>0</v>
      </c>
      <c r="F22" s="1">
        <v>0</v>
      </c>
      <c r="G22" s="1">
        <v>0</v>
      </c>
      <c r="H22" s="1">
        <v>0</v>
      </c>
      <c r="I22" s="1">
        <v>0</v>
      </c>
      <c r="J22" s="1">
        <v>0</v>
      </c>
      <c r="K22" s="1">
        <v>1</v>
      </c>
      <c r="L22" s="1">
        <v>0</v>
      </c>
      <c r="M22" s="1">
        <v>0</v>
      </c>
      <c r="N22" s="1">
        <v>0</v>
      </c>
      <c r="O22" s="1">
        <v>0</v>
      </c>
      <c r="P22" s="1">
        <v>4</v>
      </c>
      <c r="Q22" s="1">
        <v>3</v>
      </c>
      <c r="R22" s="1">
        <v>2</v>
      </c>
      <c r="S22" s="1">
        <v>5</v>
      </c>
      <c r="T22" s="1">
        <v>1</v>
      </c>
      <c r="U22" s="1">
        <v>3</v>
      </c>
      <c r="V22" s="1">
        <v>3</v>
      </c>
      <c r="W22" s="1">
        <v>3</v>
      </c>
      <c r="X22" s="1">
        <v>3</v>
      </c>
      <c r="Y22" s="1">
        <v>3</v>
      </c>
      <c r="Z22" s="1">
        <v>3</v>
      </c>
      <c r="AA22" s="1">
        <v>3</v>
      </c>
      <c r="CU22" s="1">
        <v>4</v>
      </c>
    </row>
    <row r="23" spans="1:99" x14ac:dyDescent="0.35">
      <c r="A23" s="1" t="s">
        <v>2811</v>
      </c>
      <c r="B23" s="1">
        <v>171344025</v>
      </c>
      <c r="C23" s="1">
        <v>0</v>
      </c>
      <c r="D23" s="1">
        <v>1</v>
      </c>
      <c r="E23" s="1">
        <v>0</v>
      </c>
      <c r="F23" s="1">
        <v>0</v>
      </c>
      <c r="G23" s="1">
        <v>0</v>
      </c>
      <c r="H23" s="1">
        <v>0</v>
      </c>
      <c r="I23" s="1">
        <v>0</v>
      </c>
      <c r="J23" s="1">
        <v>0</v>
      </c>
      <c r="K23" s="1">
        <v>1</v>
      </c>
      <c r="L23" s="1">
        <v>0</v>
      </c>
      <c r="M23" s="1">
        <v>0</v>
      </c>
      <c r="N23" s="1">
        <v>0</v>
      </c>
      <c r="O23" s="1">
        <v>0</v>
      </c>
      <c r="P23" s="1">
        <v>15</v>
      </c>
      <c r="Q23" s="1">
        <v>3</v>
      </c>
      <c r="R23" s="1">
        <v>3</v>
      </c>
      <c r="S23" s="1">
        <v>1</v>
      </c>
      <c r="T23" s="1">
        <v>1</v>
      </c>
      <c r="U23" s="1">
        <v>3</v>
      </c>
      <c r="V23" s="1">
        <v>3</v>
      </c>
      <c r="W23" s="1">
        <v>3</v>
      </c>
      <c r="X23" s="1">
        <v>3</v>
      </c>
      <c r="Y23" s="1">
        <v>3</v>
      </c>
      <c r="Z23" s="1">
        <v>3</v>
      </c>
      <c r="AA23" s="1">
        <v>3</v>
      </c>
      <c r="AC23" s="1">
        <v>2</v>
      </c>
      <c r="AE23" s="1">
        <v>4</v>
      </c>
      <c r="AF23" s="3">
        <v>5700000</v>
      </c>
      <c r="AG23" s="1">
        <v>11</v>
      </c>
      <c r="AR23" s="1" t="s">
        <v>130</v>
      </c>
      <c r="BP23" s="1">
        <v>3</v>
      </c>
      <c r="BQ23" s="1" t="s">
        <v>2758</v>
      </c>
      <c r="BR23" s="1" t="s">
        <v>2812</v>
      </c>
      <c r="BT23" s="1" t="s">
        <v>73</v>
      </c>
      <c r="BU23" s="1">
        <v>1</v>
      </c>
      <c r="BV23" s="1">
        <v>2</v>
      </c>
      <c r="BW23" s="1">
        <v>1</v>
      </c>
      <c r="BX23" s="1">
        <v>0</v>
      </c>
      <c r="BY23" s="1">
        <v>0</v>
      </c>
      <c r="BZ23" s="1">
        <v>0</v>
      </c>
      <c r="CA23" s="1">
        <v>0</v>
      </c>
      <c r="CB23" s="1">
        <v>0</v>
      </c>
      <c r="CC23" s="1">
        <v>0</v>
      </c>
      <c r="CD23" s="1">
        <v>0</v>
      </c>
      <c r="CE23" s="1">
        <v>0</v>
      </c>
      <c r="CF23" s="1">
        <v>0</v>
      </c>
      <c r="CG23" s="1">
        <v>0</v>
      </c>
      <c r="CH23" s="1">
        <v>0</v>
      </c>
      <c r="CI23" s="1">
        <v>0</v>
      </c>
      <c r="CJ23" s="1">
        <v>3</v>
      </c>
      <c r="CK23" s="1">
        <v>3</v>
      </c>
      <c r="CL23" s="1">
        <v>3</v>
      </c>
      <c r="CM23" s="1">
        <v>3</v>
      </c>
      <c r="CN23" s="1">
        <v>3</v>
      </c>
      <c r="CO23" s="1">
        <v>3</v>
      </c>
      <c r="CP23" s="1">
        <v>3</v>
      </c>
      <c r="CU23" s="1">
        <v>1</v>
      </c>
    </row>
    <row r="24" spans="1:99" x14ac:dyDescent="0.35">
      <c r="A24" s="1" t="s">
        <v>2813</v>
      </c>
      <c r="B24" s="1">
        <v>171344026</v>
      </c>
      <c r="C24" s="1">
        <v>1</v>
      </c>
      <c r="D24" s="1">
        <v>1</v>
      </c>
      <c r="E24" s="1">
        <v>0</v>
      </c>
      <c r="F24" s="1">
        <v>0</v>
      </c>
      <c r="G24" s="1">
        <v>1</v>
      </c>
      <c r="H24" s="1">
        <v>1</v>
      </c>
      <c r="I24" s="1">
        <v>1</v>
      </c>
      <c r="J24" s="1">
        <v>1</v>
      </c>
      <c r="K24" s="1">
        <v>1</v>
      </c>
      <c r="L24" s="1">
        <v>1</v>
      </c>
      <c r="M24" s="1">
        <v>0</v>
      </c>
      <c r="N24" s="1">
        <v>0</v>
      </c>
      <c r="O24" s="1">
        <v>0</v>
      </c>
      <c r="P24" s="1">
        <v>0</v>
      </c>
      <c r="Q24" s="1">
        <v>10</v>
      </c>
      <c r="R24" s="1">
        <v>2</v>
      </c>
      <c r="S24" s="1">
        <v>1</v>
      </c>
      <c r="T24" s="1">
        <v>1</v>
      </c>
      <c r="U24" s="1">
        <v>3</v>
      </c>
      <c r="V24" s="1">
        <v>3</v>
      </c>
      <c r="W24" s="1">
        <v>3</v>
      </c>
      <c r="X24" s="1">
        <v>3</v>
      </c>
      <c r="Y24" s="1">
        <v>3</v>
      </c>
      <c r="Z24" s="1">
        <v>3</v>
      </c>
      <c r="AA24" s="1">
        <v>3</v>
      </c>
      <c r="AC24" s="1">
        <v>1</v>
      </c>
      <c r="AD24" s="1">
        <v>6</v>
      </c>
      <c r="AF24" s="3">
        <v>5000000</v>
      </c>
      <c r="AG24" s="1">
        <v>11</v>
      </c>
      <c r="AR24" s="1" t="s">
        <v>130</v>
      </c>
      <c r="BP24" s="1">
        <v>3</v>
      </c>
      <c r="BQ24" s="1" t="s">
        <v>2814</v>
      </c>
      <c r="BR24" s="1" t="s">
        <v>2815</v>
      </c>
      <c r="BT24" s="1" t="s">
        <v>79</v>
      </c>
      <c r="BU24" s="1">
        <v>1</v>
      </c>
      <c r="BV24" s="1">
        <v>2</v>
      </c>
      <c r="BW24" s="1">
        <v>1</v>
      </c>
      <c r="BX24" s="1">
        <v>0</v>
      </c>
      <c r="BY24" s="1">
        <v>0</v>
      </c>
      <c r="BZ24" s="1">
        <v>0</v>
      </c>
      <c r="CA24" s="1">
        <v>0</v>
      </c>
      <c r="CB24" s="1">
        <v>0</v>
      </c>
      <c r="CC24" s="1">
        <v>0</v>
      </c>
      <c r="CD24" s="1">
        <v>0</v>
      </c>
      <c r="CE24" s="1">
        <v>0</v>
      </c>
      <c r="CF24" s="1">
        <v>0</v>
      </c>
      <c r="CG24" s="1">
        <v>0</v>
      </c>
      <c r="CH24" s="1">
        <v>0</v>
      </c>
      <c r="CI24" s="1">
        <v>0</v>
      </c>
      <c r="CJ24" s="1">
        <v>3</v>
      </c>
      <c r="CK24" s="1">
        <v>4</v>
      </c>
      <c r="CL24" s="1">
        <v>3</v>
      </c>
      <c r="CM24" s="1">
        <v>4</v>
      </c>
      <c r="CN24" s="1">
        <v>4</v>
      </c>
      <c r="CO24" s="1">
        <v>4</v>
      </c>
      <c r="CP24" s="1">
        <v>4</v>
      </c>
      <c r="CU24" s="1">
        <v>1</v>
      </c>
    </row>
    <row r="25" spans="1:99" x14ac:dyDescent="0.35">
      <c r="A25" s="1" t="s">
        <v>2816</v>
      </c>
      <c r="B25" s="1">
        <v>171344027</v>
      </c>
      <c r="C25" s="1">
        <v>0</v>
      </c>
      <c r="D25" s="1">
        <v>1</v>
      </c>
      <c r="E25" s="1">
        <v>0</v>
      </c>
      <c r="F25" s="1">
        <v>0</v>
      </c>
      <c r="G25" s="1">
        <v>0</v>
      </c>
      <c r="H25" s="1">
        <v>1</v>
      </c>
      <c r="I25" s="1">
        <v>0</v>
      </c>
      <c r="J25" s="1">
        <v>1</v>
      </c>
      <c r="K25" s="1">
        <v>1</v>
      </c>
      <c r="L25" s="1">
        <v>0</v>
      </c>
      <c r="M25" s="1">
        <v>1</v>
      </c>
      <c r="N25" s="1">
        <v>0</v>
      </c>
      <c r="O25" s="1">
        <v>0</v>
      </c>
      <c r="P25" s="1">
        <v>20</v>
      </c>
      <c r="Q25" s="1">
        <v>4</v>
      </c>
      <c r="R25" s="1">
        <v>2</v>
      </c>
      <c r="S25" s="1">
        <v>5</v>
      </c>
      <c r="T25" s="1">
        <v>3</v>
      </c>
      <c r="U25" s="1">
        <v>4</v>
      </c>
      <c r="V25" s="1">
        <v>3</v>
      </c>
      <c r="W25" s="1">
        <v>3</v>
      </c>
      <c r="X25" s="1">
        <v>4</v>
      </c>
      <c r="Y25" s="1">
        <v>4</v>
      </c>
      <c r="Z25" s="1">
        <v>4</v>
      </c>
      <c r="AA25" s="1">
        <v>4</v>
      </c>
      <c r="CU25" s="1">
        <v>4</v>
      </c>
    </row>
    <row r="26" spans="1:99" x14ac:dyDescent="0.35">
      <c r="A26" s="1" t="s">
        <v>2817</v>
      </c>
      <c r="B26" s="1">
        <v>171344028</v>
      </c>
      <c r="C26" s="1">
        <v>0</v>
      </c>
      <c r="D26" s="1">
        <v>1</v>
      </c>
      <c r="E26" s="1">
        <v>0</v>
      </c>
      <c r="F26" s="1">
        <v>0</v>
      </c>
      <c r="G26" s="1">
        <v>0</v>
      </c>
      <c r="H26" s="1">
        <v>0</v>
      </c>
      <c r="I26" s="1">
        <v>0</v>
      </c>
      <c r="J26" s="1">
        <v>1</v>
      </c>
      <c r="K26" s="1">
        <v>1</v>
      </c>
      <c r="L26" s="1">
        <v>0</v>
      </c>
      <c r="M26" s="1">
        <v>0</v>
      </c>
      <c r="N26" s="1">
        <v>0</v>
      </c>
      <c r="O26" s="1">
        <v>0</v>
      </c>
      <c r="P26" s="1" t="s">
        <v>2818</v>
      </c>
      <c r="Q26" s="1" t="s">
        <v>181</v>
      </c>
      <c r="R26" s="1">
        <v>10</v>
      </c>
      <c r="S26" s="1">
        <v>3</v>
      </c>
      <c r="T26" s="1">
        <v>1</v>
      </c>
      <c r="U26" s="1">
        <v>4</v>
      </c>
      <c r="V26" s="1">
        <v>3</v>
      </c>
      <c r="W26" s="1">
        <v>3</v>
      </c>
      <c r="X26" s="1">
        <v>3</v>
      </c>
      <c r="Y26" s="1">
        <v>4</v>
      </c>
      <c r="Z26" s="1">
        <v>4</v>
      </c>
      <c r="AA26" s="1">
        <v>4</v>
      </c>
      <c r="AB26" s="1">
        <v>3</v>
      </c>
      <c r="AC26" s="1">
        <v>2</v>
      </c>
      <c r="AE26" s="1">
        <v>8</v>
      </c>
      <c r="AF26" s="3">
        <v>5500000</v>
      </c>
      <c r="AG26" s="1">
        <v>11</v>
      </c>
      <c r="AR26" s="1" t="s">
        <v>118</v>
      </c>
      <c r="BP26" s="1">
        <v>3</v>
      </c>
      <c r="BQ26" s="1" t="s">
        <v>2819</v>
      </c>
      <c r="BR26" s="1" t="s">
        <v>2820</v>
      </c>
      <c r="BS26" s="1" t="s">
        <v>2821</v>
      </c>
      <c r="BT26" s="1" t="s">
        <v>107</v>
      </c>
      <c r="BU26" s="1">
        <v>1</v>
      </c>
      <c r="BV26" s="1">
        <v>2</v>
      </c>
      <c r="BW26" s="1">
        <v>0</v>
      </c>
      <c r="BX26" s="1">
        <v>0</v>
      </c>
      <c r="BY26" s="1">
        <v>0</v>
      </c>
      <c r="BZ26" s="1">
        <v>0</v>
      </c>
      <c r="CA26" s="1">
        <v>0</v>
      </c>
      <c r="CB26" s="1">
        <v>0</v>
      </c>
      <c r="CC26" s="1">
        <v>0</v>
      </c>
      <c r="CD26" s="1">
        <v>0</v>
      </c>
      <c r="CE26" s="1">
        <v>0</v>
      </c>
      <c r="CF26" s="1">
        <v>0</v>
      </c>
      <c r="CG26" s="1">
        <v>0</v>
      </c>
      <c r="CH26" s="1">
        <v>0</v>
      </c>
      <c r="CI26" s="1" t="s">
        <v>2822</v>
      </c>
      <c r="CJ26" s="1">
        <v>4</v>
      </c>
      <c r="CK26" s="1">
        <v>4</v>
      </c>
      <c r="CL26" s="1">
        <v>4</v>
      </c>
      <c r="CM26" s="1">
        <v>4</v>
      </c>
      <c r="CN26" s="1">
        <v>4</v>
      </c>
      <c r="CO26" s="1">
        <v>4</v>
      </c>
      <c r="CP26" s="1">
        <v>4</v>
      </c>
      <c r="CU26" s="1">
        <v>1</v>
      </c>
    </row>
    <row r="27" spans="1:99" x14ac:dyDescent="0.35">
      <c r="A27" s="1" t="s">
        <v>2823</v>
      </c>
      <c r="B27" s="1">
        <v>171344029</v>
      </c>
      <c r="C27" s="1">
        <v>0</v>
      </c>
      <c r="D27" s="1">
        <v>1</v>
      </c>
      <c r="E27" s="1">
        <v>0</v>
      </c>
      <c r="F27" s="1">
        <v>0</v>
      </c>
      <c r="G27" s="1">
        <v>0</v>
      </c>
      <c r="H27" s="1">
        <v>0</v>
      </c>
      <c r="I27" s="1">
        <v>0</v>
      </c>
      <c r="J27" s="1">
        <v>0</v>
      </c>
      <c r="K27" s="1">
        <v>0</v>
      </c>
      <c r="L27" s="1">
        <v>0</v>
      </c>
      <c r="M27" s="1">
        <v>0</v>
      </c>
      <c r="N27" s="1">
        <v>0</v>
      </c>
      <c r="O27" s="1">
        <v>0</v>
      </c>
      <c r="P27" s="1">
        <v>60</v>
      </c>
      <c r="Q27" s="1">
        <v>15</v>
      </c>
      <c r="R27" s="1">
        <v>15</v>
      </c>
      <c r="S27" s="1">
        <v>1</v>
      </c>
      <c r="T27" s="1">
        <v>1</v>
      </c>
      <c r="U27" s="1">
        <v>3</v>
      </c>
      <c r="V27" s="1">
        <v>3</v>
      </c>
      <c r="W27" s="1">
        <v>2</v>
      </c>
      <c r="X27" s="1">
        <v>3</v>
      </c>
      <c r="Y27" s="1">
        <v>2</v>
      </c>
      <c r="Z27" s="1">
        <v>3</v>
      </c>
      <c r="AA27" s="1">
        <v>3</v>
      </c>
      <c r="AC27" s="1">
        <v>2</v>
      </c>
      <c r="AE27" s="1">
        <v>10</v>
      </c>
      <c r="AF27" s="3">
        <v>5000000</v>
      </c>
      <c r="AG27" s="1">
        <v>11</v>
      </c>
      <c r="AR27" s="1" t="s">
        <v>130</v>
      </c>
      <c r="BP27" s="1">
        <v>3</v>
      </c>
      <c r="BQ27" s="1" t="s">
        <v>2824</v>
      </c>
      <c r="BR27" s="1" t="s">
        <v>2825</v>
      </c>
      <c r="BS27" s="1" t="s">
        <v>2826</v>
      </c>
      <c r="BT27" s="1" t="s">
        <v>79</v>
      </c>
      <c r="BU27" s="1">
        <v>3</v>
      </c>
      <c r="BV27" s="1">
        <v>2</v>
      </c>
      <c r="BW27" s="1">
        <v>0</v>
      </c>
      <c r="BX27" s="1">
        <v>1</v>
      </c>
      <c r="BY27" s="1">
        <v>1</v>
      </c>
      <c r="BZ27" s="1">
        <v>0</v>
      </c>
      <c r="CA27" s="1">
        <v>0</v>
      </c>
      <c r="CB27" s="1">
        <v>0</v>
      </c>
      <c r="CC27" s="1">
        <v>0</v>
      </c>
      <c r="CD27" s="1">
        <v>1</v>
      </c>
      <c r="CE27" s="1">
        <v>0</v>
      </c>
      <c r="CF27" s="1">
        <v>0</v>
      </c>
      <c r="CG27" s="1">
        <v>0</v>
      </c>
      <c r="CH27" s="1">
        <v>0</v>
      </c>
      <c r="CI27" s="1">
        <v>0</v>
      </c>
      <c r="CJ27" s="1">
        <v>4</v>
      </c>
      <c r="CK27" s="1">
        <v>4</v>
      </c>
      <c r="CL27" s="1">
        <v>4</v>
      </c>
      <c r="CM27" s="1">
        <v>4</v>
      </c>
      <c r="CN27" s="1">
        <v>4</v>
      </c>
      <c r="CO27" s="1">
        <v>4</v>
      </c>
      <c r="CP27" s="1">
        <v>4</v>
      </c>
      <c r="CU27" s="1">
        <v>1</v>
      </c>
    </row>
    <row r="28" spans="1:99" x14ac:dyDescent="0.35">
      <c r="A28" s="1" t="s">
        <v>2827</v>
      </c>
      <c r="B28" s="1">
        <v>171344030</v>
      </c>
      <c r="C28" s="1">
        <v>0</v>
      </c>
      <c r="D28" s="1">
        <v>1</v>
      </c>
      <c r="E28" s="1">
        <v>0</v>
      </c>
      <c r="F28" s="1">
        <v>0</v>
      </c>
      <c r="G28" s="1">
        <v>0</v>
      </c>
      <c r="H28" s="1">
        <v>0</v>
      </c>
      <c r="I28" s="1">
        <v>0</v>
      </c>
      <c r="J28" s="1">
        <v>0</v>
      </c>
      <c r="K28" s="1">
        <v>0</v>
      </c>
      <c r="L28" s="1">
        <v>0</v>
      </c>
      <c r="M28" s="1">
        <v>0</v>
      </c>
      <c r="N28" s="1">
        <v>0</v>
      </c>
      <c r="O28" s="1">
        <v>0</v>
      </c>
      <c r="P28" s="1">
        <v>20</v>
      </c>
      <c r="Q28" s="1">
        <v>9</v>
      </c>
      <c r="R28" s="1">
        <v>3</v>
      </c>
      <c r="S28" s="1">
        <v>1</v>
      </c>
      <c r="T28" s="1">
        <v>1</v>
      </c>
      <c r="U28" s="1">
        <v>4</v>
      </c>
      <c r="V28" s="1">
        <v>3</v>
      </c>
      <c r="W28" s="1">
        <v>3</v>
      </c>
      <c r="X28" s="1">
        <v>3</v>
      </c>
      <c r="Y28" s="1">
        <v>3</v>
      </c>
      <c r="Z28" s="1">
        <v>4</v>
      </c>
      <c r="AA28" s="1">
        <v>3</v>
      </c>
      <c r="AC28" s="1">
        <v>2</v>
      </c>
      <c r="AE28" s="1">
        <v>1</v>
      </c>
      <c r="AF28" s="3">
        <v>5900000</v>
      </c>
      <c r="AG28" s="1">
        <v>11</v>
      </c>
      <c r="AR28" s="1" t="s">
        <v>130</v>
      </c>
      <c r="BP28" s="1">
        <v>3</v>
      </c>
      <c r="BQ28" s="1" t="s">
        <v>2828</v>
      </c>
      <c r="BR28" s="1" t="s">
        <v>2829</v>
      </c>
      <c r="BS28" s="1" t="s">
        <v>2830</v>
      </c>
      <c r="BT28" s="1" t="s">
        <v>79</v>
      </c>
      <c r="BU28" s="1">
        <v>1</v>
      </c>
      <c r="BV28" s="1">
        <v>2</v>
      </c>
      <c r="BW28" s="1">
        <v>1</v>
      </c>
      <c r="BX28" s="1">
        <v>0</v>
      </c>
      <c r="BY28" s="1">
        <v>0</v>
      </c>
      <c r="BZ28" s="1">
        <v>0</v>
      </c>
      <c r="CA28" s="1">
        <v>0</v>
      </c>
      <c r="CB28" s="1">
        <v>0</v>
      </c>
      <c r="CC28" s="1">
        <v>0</v>
      </c>
      <c r="CD28" s="1">
        <v>0</v>
      </c>
      <c r="CE28" s="1">
        <v>0</v>
      </c>
      <c r="CF28" s="1">
        <v>0</v>
      </c>
      <c r="CG28" s="1">
        <v>0</v>
      </c>
      <c r="CH28" s="1">
        <v>0</v>
      </c>
      <c r="CI28" s="1">
        <v>0</v>
      </c>
      <c r="CJ28" s="1">
        <v>4</v>
      </c>
      <c r="CK28" s="1">
        <v>4</v>
      </c>
      <c r="CL28" s="1">
        <v>3</v>
      </c>
      <c r="CM28" s="1">
        <v>4</v>
      </c>
      <c r="CN28" s="1">
        <v>3</v>
      </c>
      <c r="CO28" s="1">
        <v>4</v>
      </c>
      <c r="CP28" s="1">
        <v>3</v>
      </c>
      <c r="CU28" s="1">
        <v>1</v>
      </c>
    </row>
    <row r="29" spans="1:99" x14ac:dyDescent="0.35">
      <c r="A29" s="1" t="s">
        <v>2831</v>
      </c>
      <c r="B29" s="1">
        <v>171344031</v>
      </c>
      <c r="C29" s="1">
        <v>1</v>
      </c>
      <c r="D29" s="1">
        <v>1</v>
      </c>
      <c r="E29" s="1">
        <v>0</v>
      </c>
      <c r="F29" s="1">
        <v>0</v>
      </c>
      <c r="G29" s="1">
        <v>0</v>
      </c>
      <c r="H29" s="1">
        <v>1</v>
      </c>
      <c r="I29" s="1">
        <v>1</v>
      </c>
      <c r="J29" s="1">
        <v>1</v>
      </c>
      <c r="K29" s="1">
        <v>1</v>
      </c>
      <c r="L29" s="1">
        <v>0</v>
      </c>
      <c r="M29" s="1">
        <v>0</v>
      </c>
      <c r="N29" s="1">
        <v>0</v>
      </c>
      <c r="O29" s="1">
        <v>0</v>
      </c>
      <c r="P29" s="1">
        <v>150</v>
      </c>
      <c r="Q29" s="1">
        <v>100</v>
      </c>
      <c r="R29" s="1">
        <v>20</v>
      </c>
      <c r="S29" s="1">
        <v>1</v>
      </c>
      <c r="T29" s="1">
        <v>1</v>
      </c>
      <c r="U29" s="1">
        <v>3</v>
      </c>
      <c r="V29" s="1">
        <v>3</v>
      </c>
      <c r="W29" s="1">
        <v>3</v>
      </c>
      <c r="X29" s="1">
        <v>3</v>
      </c>
      <c r="Y29" s="1">
        <v>3</v>
      </c>
      <c r="Z29" s="1">
        <v>3</v>
      </c>
      <c r="AA29" s="1">
        <v>3</v>
      </c>
      <c r="AC29" s="1">
        <v>2</v>
      </c>
      <c r="AE29" s="1">
        <v>1</v>
      </c>
      <c r="AF29" s="3">
        <v>5800000</v>
      </c>
      <c r="AG29" s="1">
        <v>11</v>
      </c>
      <c r="AR29" s="1" t="s">
        <v>222</v>
      </c>
      <c r="BP29" s="1">
        <v>3</v>
      </c>
      <c r="BQ29" s="1" t="s">
        <v>2832</v>
      </c>
      <c r="BR29" s="1" t="s">
        <v>2833</v>
      </c>
      <c r="BS29" s="1" t="s">
        <v>2834</v>
      </c>
      <c r="BT29" s="1" t="s">
        <v>73</v>
      </c>
      <c r="BU29" s="1">
        <v>2</v>
      </c>
      <c r="BV29" s="1">
        <v>2</v>
      </c>
      <c r="BW29" s="1">
        <v>0</v>
      </c>
      <c r="BX29" s="1">
        <v>1</v>
      </c>
      <c r="BY29" s="1">
        <v>1</v>
      </c>
      <c r="BZ29" s="1">
        <v>0</v>
      </c>
      <c r="CA29" s="1">
        <v>0</v>
      </c>
      <c r="CB29" s="1">
        <v>0</v>
      </c>
      <c r="CC29" s="1">
        <v>0</v>
      </c>
      <c r="CD29" s="1">
        <v>0</v>
      </c>
      <c r="CE29" s="1">
        <v>0</v>
      </c>
      <c r="CF29" s="1">
        <v>0</v>
      </c>
      <c r="CG29" s="1">
        <v>0</v>
      </c>
      <c r="CH29" s="1">
        <v>0</v>
      </c>
      <c r="CI29" s="1">
        <v>0</v>
      </c>
      <c r="CJ29" s="1">
        <v>4</v>
      </c>
      <c r="CK29" s="1">
        <v>4</v>
      </c>
      <c r="CL29" s="1">
        <v>4</v>
      </c>
      <c r="CM29" s="1">
        <v>4</v>
      </c>
      <c r="CN29" s="1">
        <v>4</v>
      </c>
      <c r="CO29" s="1">
        <v>4</v>
      </c>
      <c r="CP29" s="1">
        <v>4</v>
      </c>
      <c r="CU29" s="1">
        <v>1</v>
      </c>
    </row>
    <row r="30" spans="1:99" x14ac:dyDescent="0.35">
      <c r="A30" s="1" t="s">
        <v>2835</v>
      </c>
      <c r="B30" s="1">
        <v>171344032</v>
      </c>
      <c r="C30" s="1">
        <v>0</v>
      </c>
      <c r="D30" s="1">
        <v>1</v>
      </c>
      <c r="E30" s="1">
        <v>0</v>
      </c>
      <c r="F30" s="1">
        <v>0</v>
      </c>
      <c r="G30" s="1">
        <v>0</v>
      </c>
      <c r="H30" s="1">
        <v>0</v>
      </c>
      <c r="I30" s="1">
        <v>0</v>
      </c>
      <c r="J30" s="1">
        <v>0</v>
      </c>
      <c r="K30" s="1">
        <v>0</v>
      </c>
      <c r="L30" s="1">
        <v>1</v>
      </c>
      <c r="M30" s="1">
        <v>0</v>
      </c>
      <c r="N30" s="1">
        <v>0</v>
      </c>
      <c r="O30" s="1">
        <v>0</v>
      </c>
      <c r="P30" s="1">
        <v>10</v>
      </c>
      <c r="Q30" s="1">
        <v>0</v>
      </c>
      <c r="R30" s="1">
        <v>0</v>
      </c>
      <c r="S30" s="1">
        <v>3</v>
      </c>
      <c r="T30" s="1">
        <v>1</v>
      </c>
      <c r="U30" s="1">
        <v>3</v>
      </c>
      <c r="V30" s="1">
        <v>3</v>
      </c>
      <c r="W30" s="1">
        <v>3</v>
      </c>
      <c r="X30" s="1">
        <v>3</v>
      </c>
      <c r="Y30" s="1">
        <v>3</v>
      </c>
      <c r="Z30" s="1">
        <v>3</v>
      </c>
      <c r="AA30" s="1">
        <v>3</v>
      </c>
      <c r="AB30" s="1">
        <v>1</v>
      </c>
      <c r="AC30" s="1">
        <v>1</v>
      </c>
      <c r="AD30" s="1">
        <v>0</v>
      </c>
      <c r="AF30" s="3">
        <v>6000000</v>
      </c>
      <c r="AG30" s="1">
        <v>13</v>
      </c>
      <c r="AT30" s="1" t="s">
        <v>86</v>
      </c>
      <c r="BP30" s="1">
        <v>4</v>
      </c>
      <c r="BQ30" s="1" t="s">
        <v>2836</v>
      </c>
      <c r="BR30" s="1" t="s">
        <v>2837</v>
      </c>
      <c r="BS30" s="1" t="s">
        <v>2838</v>
      </c>
      <c r="BT30" s="1" t="s">
        <v>107</v>
      </c>
      <c r="BU30" s="1">
        <v>5</v>
      </c>
      <c r="BV30" s="1">
        <v>2</v>
      </c>
      <c r="BW30" s="1">
        <v>0</v>
      </c>
      <c r="BX30" s="1">
        <v>1</v>
      </c>
      <c r="BY30" s="1">
        <v>1</v>
      </c>
      <c r="BZ30" s="1">
        <v>0</v>
      </c>
      <c r="CA30" s="1">
        <v>0</v>
      </c>
      <c r="CB30" s="1">
        <v>0</v>
      </c>
      <c r="CC30" s="1">
        <v>0</v>
      </c>
      <c r="CD30" s="1">
        <v>1</v>
      </c>
      <c r="CE30" s="1">
        <v>1</v>
      </c>
      <c r="CF30" s="1">
        <v>0</v>
      </c>
      <c r="CG30" s="1">
        <v>0</v>
      </c>
      <c r="CH30" s="1">
        <v>0</v>
      </c>
      <c r="CI30" s="1">
        <v>0</v>
      </c>
      <c r="CJ30" s="1">
        <v>3</v>
      </c>
      <c r="CK30" s="1">
        <v>3</v>
      </c>
      <c r="CL30" s="1">
        <v>3</v>
      </c>
      <c r="CM30" s="1">
        <v>3</v>
      </c>
      <c r="CN30" s="1">
        <v>3</v>
      </c>
      <c r="CO30" s="1">
        <v>3</v>
      </c>
      <c r="CP30" s="1">
        <v>3</v>
      </c>
      <c r="CU30" s="1">
        <v>1</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360515-CE23-4C74-BCF7-77C58DE4870F}">
  <dimension ref="A1:CU61"/>
  <sheetViews>
    <sheetView topLeftCell="T1" zoomScale="55" zoomScaleNormal="55" workbookViewId="0">
      <pane ySplit="1" topLeftCell="A47" activePane="bottomLeft" state="frozen"/>
      <selection pane="bottomLeft" activeCell="T63" sqref="T63"/>
    </sheetView>
  </sheetViews>
  <sheetFormatPr defaultColWidth="8.90625" defaultRowHeight="14.5" x14ac:dyDescent="0.35"/>
  <cols>
    <col min="1" max="1" width="33" style="1" bestFit="1" customWidth="1"/>
    <col min="2" max="2" width="10" style="1" customWidth="1"/>
    <col min="3" max="9" width="64.08984375" style="1" bestFit="1" customWidth="1"/>
    <col min="10" max="14" width="65.08984375" style="1" bestFit="1" customWidth="1"/>
    <col min="15" max="15" width="67.54296875" style="1" bestFit="1" customWidth="1"/>
    <col min="16" max="16" width="110" style="1" bestFit="1" customWidth="1"/>
    <col min="17" max="17" width="80.90625" style="1" bestFit="1" customWidth="1"/>
    <col min="18" max="18" width="73" style="1" bestFit="1" customWidth="1"/>
    <col min="19" max="19" width="25" style="1" bestFit="1" customWidth="1"/>
    <col min="20" max="20" width="41.26953125" style="1" bestFit="1" customWidth="1"/>
    <col min="21" max="21" width="67.08984375" style="1" bestFit="1" customWidth="1"/>
    <col min="22" max="22" width="90.453125" style="1" bestFit="1" customWidth="1"/>
    <col min="23" max="23" width="74.90625" style="1" bestFit="1" customWidth="1"/>
    <col min="24" max="24" width="89.36328125" style="1" bestFit="1" customWidth="1"/>
    <col min="25" max="25" width="72.453125" style="1" bestFit="1" customWidth="1"/>
    <col min="26" max="26" width="75.1796875" style="1" bestFit="1" customWidth="1"/>
    <col min="27" max="27" width="79" style="1" bestFit="1" customWidth="1"/>
    <col min="28" max="28" width="43.08984375" style="1" bestFit="1" customWidth="1"/>
    <col min="29" max="29" width="73.1796875" style="1" bestFit="1" customWidth="1"/>
    <col min="30" max="30" width="43.36328125" style="1" bestFit="1" customWidth="1"/>
    <col min="31" max="31" width="50.54296875" style="1" bestFit="1" customWidth="1"/>
    <col min="32" max="32" width="120.26953125" style="1" bestFit="1" customWidth="1"/>
    <col min="33" max="33" width="39.08984375" style="1" bestFit="1" customWidth="1"/>
    <col min="34" max="35" width="45.7265625" style="1" bestFit="1" customWidth="1"/>
    <col min="36" max="37" width="46.1796875" style="1" bestFit="1" customWidth="1"/>
    <col min="38" max="38" width="45.7265625" style="1" bestFit="1" customWidth="1"/>
    <col min="39" max="52" width="46.1796875" style="1" bestFit="1" customWidth="1"/>
    <col min="53" max="55" width="45.7265625" style="1" bestFit="1" customWidth="1"/>
    <col min="56" max="64" width="46.1796875" style="1" bestFit="1" customWidth="1"/>
    <col min="65" max="67" width="45.7265625" style="1" bestFit="1" customWidth="1"/>
    <col min="68" max="68" width="58.90625" style="1" bestFit="1" customWidth="1"/>
    <col min="69" max="69" width="43.26953125" style="1" bestFit="1" customWidth="1"/>
    <col min="70" max="70" width="45.36328125" style="1" bestFit="1" customWidth="1"/>
    <col min="71" max="71" width="45.26953125" style="1" bestFit="1" customWidth="1"/>
    <col min="72" max="72" width="55.453125" style="1" bestFit="1" customWidth="1"/>
    <col min="73" max="73" width="217.453125" style="1" bestFit="1" customWidth="1"/>
    <col min="74" max="74" width="65.08984375" style="1" bestFit="1" customWidth="1"/>
    <col min="75" max="83" width="117.26953125" style="1" bestFit="1" customWidth="1"/>
    <col min="84" max="86" width="118.26953125" style="1" bestFit="1" customWidth="1"/>
    <col min="87" max="87" width="120.7265625" style="1" bestFit="1" customWidth="1"/>
    <col min="88" max="88" width="76.6328125" style="1" bestFit="1" customWidth="1"/>
    <col min="89" max="89" width="100.26953125" style="1" bestFit="1" customWidth="1"/>
    <col min="90" max="90" width="84.36328125" style="1" bestFit="1" customWidth="1"/>
    <col min="91" max="91" width="98.6328125" style="1" bestFit="1" customWidth="1"/>
    <col min="92" max="92" width="81.90625" style="1" bestFit="1" customWidth="1"/>
    <col min="93" max="93" width="84.7265625" style="1" bestFit="1" customWidth="1"/>
    <col min="94" max="94" width="88.54296875" style="1" bestFit="1" customWidth="1"/>
    <col min="95" max="95" width="40.54296875" style="1" bestFit="1" customWidth="1"/>
    <col min="96" max="96" width="53.36328125" style="1" bestFit="1" customWidth="1"/>
    <col min="97" max="97" width="24.1796875" style="1" bestFit="1" customWidth="1"/>
    <col min="98" max="98" width="24.7265625" style="1" bestFit="1" customWidth="1"/>
    <col min="99" max="99" width="51.90625" style="1" bestFit="1" customWidth="1"/>
    <col min="100" max="16384" width="8.90625" style="1"/>
  </cols>
  <sheetData>
    <row r="1" spans="1:99" s="6" customFormat="1" x14ac:dyDescent="0.35">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6" t="s">
        <v>15</v>
      </c>
      <c r="Q1" s="6" t="s">
        <v>16</v>
      </c>
      <c r="R1" s="6" t="s">
        <v>17</v>
      </c>
      <c r="S1" s="6" t="s">
        <v>18</v>
      </c>
      <c r="T1" s="6" t="s">
        <v>19</v>
      </c>
      <c r="U1" s="6" t="s">
        <v>20</v>
      </c>
      <c r="V1" s="6" t="s">
        <v>21</v>
      </c>
      <c r="W1" s="6" t="s">
        <v>22</v>
      </c>
      <c r="X1" s="6" t="s">
        <v>23</v>
      </c>
      <c r="Y1" s="6" t="s">
        <v>24</v>
      </c>
      <c r="Z1" s="6" t="s">
        <v>25</v>
      </c>
      <c r="AA1" s="6" t="s">
        <v>26</v>
      </c>
      <c r="AB1" s="6" t="s">
        <v>27</v>
      </c>
      <c r="AC1" s="6" t="s">
        <v>28</v>
      </c>
      <c r="AD1" s="6" t="s">
        <v>29</v>
      </c>
      <c r="AE1" s="6" t="s">
        <v>30</v>
      </c>
      <c r="AF1" s="6" t="s">
        <v>31</v>
      </c>
      <c r="AG1" s="6" t="s">
        <v>32</v>
      </c>
      <c r="AH1" s="6" t="s">
        <v>33</v>
      </c>
      <c r="AI1" s="6" t="s">
        <v>33</v>
      </c>
      <c r="AJ1" s="6" t="s">
        <v>34</v>
      </c>
      <c r="AK1" s="6" t="s">
        <v>34</v>
      </c>
      <c r="AL1" s="6" t="s">
        <v>33</v>
      </c>
      <c r="AM1" s="6" t="s">
        <v>34</v>
      </c>
      <c r="AN1" s="6" t="s">
        <v>34</v>
      </c>
      <c r="AO1" s="6" t="s">
        <v>34</v>
      </c>
      <c r="AP1" s="6" t="s">
        <v>34</v>
      </c>
      <c r="AQ1" s="6" t="s">
        <v>34</v>
      </c>
      <c r="AR1" s="6" t="s">
        <v>34</v>
      </c>
      <c r="AS1" s="6" t="s">
        <v>34</v>
      </c>
      <c r="AT1" s="6" t="s">
        <v>34</v>
      </c>
      <c r="AU1" s="6" t="s">
        <v>34</v>
      </c>
      <c r="AV1" s="6" t="s">
        <v>34</v>
      </c>
      <c r="AW1" s="6" t="s">
        <v>34</v>
      </c>
      <c r="AX1" s="6" t="s">
        <v>34</v>
      </c>
      <c r="AY1" s="6" t="s">
        <v>34</v>
      </c>
      <c r="AZ1" s="6" t="s">
        <v>34</v>
      </c>
      <c r="BA1" s="6" t="s">
        <v>33</v>
      </c>
      <c r="BB1" s="6" t="s">
        <v>33</v>
      </c>
      <c r="BC1" s="6" t="s">
        <v>33</v>
      </c>
      <c r="BD1" s="6" t="s">
        <v>34</v>
      </c>
      <c r="BE1" s="6" t="s">
        <v>34</v>
      </c>
      <c r="BF1" s="6" t="s">
        <v>34</v>
      </c>
      <c r="BG1" s="6" t="s">
        <v>34</v>
      </c>
      <c r="BH1" s="6" t="s">
        <v>34</v>
      </c>
      <c r="BI1" s="6" t="s">
        <v>34</v>
      </c>
      <c r="BJ1" s="6" t="s">
        <v>34</v>
      </c>
      <c r="BK1" s="6" t="s">
        <v>34</v>
      </c>
      <c r="BL1" s="6" t="s">
        <v>34</v>
      </c>
      <c r="BM1" s="6" t="s">
        <v>33</v>
      </c>
      <c r="BN1" s="6" t="s">
        <v>33</v>
      </c>
      <c r="BO1" s="6" t="s">
        <v>33</v>
      </c>
      <c r="BP1" s="6" t="s">
        <v>35</v>
      </c>
      <c r="BQ1" s="6" t="s">
        <v>36</v>
      </c>
      <c r="BR1" s="6" t="s">
        <v>37</v>
      </c>
      <c r="BS1" s="6" t="s">
        <v>38</v>
      </c>
      <c r="BT1" s="6" t="s">
        <v>39</v>
      </c>
      <c r="BU1" s="6" t="s">
        <v>40</v>
      </c>
      <c r="BV1" s="6" t="s">
        <v>41</v>
      </c>
      <c r="BW1" s="6" t="s">
        <v>42</v>
      </c>
      <c r="BX1" s="6" t="s">
        <v>43</v>
      </c>
      <c r="BY1" s="6" t="s">
        <v>44</v>
      </c>
      <c r="BZ1" s="6" t="s">
        <v>45</v>
      </c>
      <c r="CA1" s="6" t="s">
        <v>46</v>
      </c>
      <c r="CB1" s="6" t="s">
        <v>47</v>
      </c>
      <c r="CC1" s="6" t="s">
        <v>48</v>
      </c>
      <c r="CD1" s="6" t="s">
        <v>49</v>
      </c>
      <c r="CE1" s="6" t="s">
        <v>50</v>
      </c>
      <c r="CF1" s="6" t="s">
        <v>51</v>
      </c>
      <c r="CG1" s="6" t="s">
        <v>52</v>
      </c>
      <c r="CH1" s="6" t="s">
        <v>53</v>
      </c>
      <c r="CI1" s="6" t="s">
        <v>54</v>
      </c>
      <c r="CJ1" s="6" t="s">
        <v>55</v>
      </c>
      <c r="CK1" s="6" t="s">
        <v>56</v>
      </c>
      <c r="CL1" s="6" t="s">
        <v>57</v>
      </c>
      <c r="CM1" s="6" t="s">
        <v>58</v>
      </c>
      <c r="CN1" s="6" t="s">
        <v>59</v>
      </c>
      <c r="CO1" s="6" t="s">
        <v>60</v>
      </c>
      <c r="CP1" s="6" t="s">
        <v>61</v>
      </c>
      <c r="CQ1" s="6" t="s">
        <v>62</v>
      </c>
      <c r="CR1" s="6" t="s">
        <v>63</v>
      </c>
      <c r="CS1" s="6" t="s">
        <v>64</v>
      </c>
      <c r="CT1" s="6" t="s">
        <v>65</v>
      </c>
      <c r="CU1" s="6" t="s">
        <v>66</v>
      </c>
    </row>
    <row r="2" spans="1:99" x14ac:dyDescent="0.35">
      <c r="A2" s="1" t="s">
        <v>2839</v>
      </c>
      <c r="B2" s="1">
        <v>181331001</v>
      </c>
      <c r="S2" s="1">
        <v>4</v>
      </c>
      <c r="T2" s="1">
        <v>4</v>
      </c>
      <c r="U2" s="1">
        <v>3</v>
      </c>
      <c r="V2" s="1">
        <v>3</v>
      </c>
      <c r="W2" s="1">
        <v>4</v>
      </c>
      <c r="X2" s="1">
        <v>3</v>
      </c>
      <c r="Y2" s="1">
        <v>4</v>
      </c>
      <c r="Z2" s="1">
        <v>3</v>
      </c>
      <c r="AA2" s="1">
        <v>4</v>
      </c>
      <c r="CQ2" s="1">
        <v>2</v>
      </c>
      <c r="CR2" s="1" t="s">
        <v>2840</v>
      </c>
      <c r="CS2" s="1" t="s">
        <v>2841</v>
      </c>
      <c r="CT2" s="5">
        <v>44410</v>
      </c>
      <c r="CU2" s="1">
        <v>1</v>
      </c>
    </row>
    <row r="3" spans="1:99" x14ac:dyDescent="0.35">
      <c r="A3" s="1" t="s">
        <v>2842</v>
      </c>
      <c r="B3" s="1">
        <v>181331002</v>
      </c>
      <c r="C3" s="1">
        <v>0</v>
      </c>
      <c r="D3" s="1">
        <v>1</v>
      </c>
      <c r="E3" s="1">
        <v>1</v>
      </c>
      <c r="F3" s="1">
        <v>0</v>
      </c>
      <c r="G3" s="1">
        <v>0</v>
      </c>
      <c r="H3" s="1">
        <v>0</v>
      </c>
      <c r="I3" s="1">
        <v>0</v>
      </c>
      <c r="J3" s="1">
        <v>1</v>
      </c>
      <c r="K3" s="1">
        <v>1</v>
      </c>
      <c r="L3" s="1">
        <v>0</v>
      </c>
      <c r="M3" s="1">
        <v>1</v>
      </c>
      <c r="N3" s="1">
        <v>0</v>
      </c>
      <c r="O3" s="1">
        <v>0</v>
      </c>
      <c r="P3" s="1" t="s">
        <v>2843</v>
      </c>
      <c r="Q3" s="1" t="s">
        <v>1591</v>
      </c>
      <c r="R3" s="1" t="s">
        <v>181</v>
      </c>
      <c r="S3" s="1">
        <v>1</v>
      </c>
      <c r="T3" s="1">
        <v>1</v>
      </c>
      <c r="U3" s="1">
        <v>4</v>
      </c>
      <c r="V3" s="1">
        <v>3</v>
      </c>
      <c r="W3" s="1">
        <v>3</v>
      </c>
      <c r="X3" s="1">
        <v>3</v>
      </c>
      <c r="Y3" s="1">
        <v>4</v>
      </c>
      <c r="Z3" s="1">
        <v>4</v>
      </c>
      <c r="AA3" s="1">
        <v>4</v>
      </c>
      <c r="AC3" s="1">
        <v>1</v>
      </c>
      <c r="AD3" s="1">
        <v>0</v>
      </c>
      <c r="AE3" s="1">
        <v>0</v>
      </c>
      <c r="AF3" s="3">
        <v>6500000</v>
      </c>
      <c r="AG3" s="1">
        <v>11</v>
      </c>
      <c r="AR3" s="1" t="s">
        <v>130</v>
      </c>
      <c r="BP3" s="1">
        <v>3</v>
      </c>
      <c r="BQ3" s="1" t="s">
        <v>2769</v>
      </c>
      <c r="BR3" s="1" t="s">
        <v>2844</v>
      </c>
      <c r="BT3" s="1" t="s">
        <v>73</v>
      </c>
      <c r="BU3" s="1">
        <v>1</v>
      </c>
      <c r="BV3" s="1">
        <v>2</v>
      </c>
      <c r="BW3" s="1">
        <v>1</v>
      </c>
      <c r="BX3" s="1">
        <v>0</v>
      </c>
      <c r="BY3" s="1">
        <v>0</v>
      </c>
      <c r="BZ3" s="1">
        <v>0</v>
      </c>
      <c r="CA3" s="1">
        <v>0</v>
      </c>
      <c r="CB3" s="1">
        <v>0</v>
      </c>
      <c r="CC3" s="1">
        <v>0</v>
      </c>
      <c r="CD3" s="1">
        <v>0</v>
      </c>
      <c r="CE3" s="1">
        <v>0</v>
      </c>
      <c r="CF3" s="1">
        <v>0</v>
      </c>
      <c r="CG3" s="1">
        <v>0</v>
      </c>
      <c r="CH3" s="1">
        <v>0</v>
      </c>
      <c r="CI3" s="1">
        <v>0</v>
      </c>
      <c r="CJ3" s="1">
        <v>4</v>
      </c>
      <c r="CK3" s="1">
        <v>4</v>
      </c>
      <c r="CL3" s="1">
        <v>4</v>
      </c>
      <c r="CM3" s="1">
        <v>4</v>
      </c>
      <c r="CN3" s="1">
        <v>4</v>
      </c>
      <c r="CO3" s="1">
        <v>4</v>
      </c>
      <c r="CP3" s="1">
        <v>4</v>
      </c>
      <c r="CU3" s="1">
        <v>1</v>
      </c>
    </row>
    <row r="4" spans="1:99" x14ac:dyDescent="0.35">
      <c r="A4" s="1" t="s">
        <v>2845</v>
      </c>
      <c r="B4" s="1">
        <v>181331003</v>
      </c>
      <c r="C4" s="1">
        <v>0</v>
      </c>
      <c r="D4" s="1">
        <v>1</v>
      </c>
      <c r="E4" s="1">
        <v>0</v>
      </c>
      <c r="F4" s="1">
        <v>0</v>
      </c>
      <c r="G4" s="1">
        <v>0</v>
      </c>
      <c r="H4" s="1">
        <v>1</v>
      </c>
      <c r="I4" s="1">
        <v>0</v>
      </c>
      <c r="J4" s="1">
        <v>0</v>
      </c>
      <c r="K4" s="1">
        <v>0</v>
      </c>
      <c r="L4" s="1">
        <v>0</v>
      </c>
      <c r="M4" s="1">
        <v>0</v>
      </c>
      <c r="N4" s="1">
        <v>0</v>
      </c>
      <c r="O4" s="1">
        <v>0</v>
      </c>
      <c r="P4" s="1" t="s">
        <v>2846</v>
      </c>
      <c r="Q4" s="1" t="s">
        <v>2847</v>
      </c>
      <c r="R4" s="1" t="s">
        <v>1571</v>
      </c>
      <c r="S4" s="1">
        <v>1</v>
      </c>
      <c r="T4" s="1">
        <v>1</v>
      </c>
      <c r="U4" s="1">
        <v>3</v>
      </c>
      <c r="V4" s="1">
        <v>4</v>
      </c>
      <c r="W4" s="1">
        <v>2</v>
      </c>
      <c r="X4" s="1">
        <v>3</v>
      </c>
      <c r="Y4" s="1">
        <v>4</v>
      </c>
      <c r="Z4" s="1">
        <v>3</v>
      </c>
      <c r="AA4" s="1">
        <v>3</v>
      </c>
      <c r="AC4" s="1">
        <v>2</v>
      </c>
      <c r="AE4" s="1">
        <v>2</v>
      </c>
      <c r="AF4" s="3">
        <v>6100000</v>
      </c>
      <c r="AG4" s="1">
        <v>11</v>
      </c>
      <c r="AR4" s="1" t="s">
        <v>130</v>
      </c>
      <c r="BP4" s="1">
        <v>3</v>
      </c>
      <c r="BQ4" s="1" t="s">
        <v>2848</v>
      </c>
      <c r="BR4" s="1" t="s">
        <v>2849</v>
      </c>
      <c r="BS4" s="1" t="s">
        <v>2850</v>
      </c>
      <c r="BT4" s="1" t="s">
        <v>73</v>
      </c>
      <c r="BU4" s="1">
        <v>1</v>
      </c>
      <c r="BV4" s="1">
        <v>1</v>
      </c>
      <c r="BW4" s="1">
        <v>0</v>
      </c>
      <c r="BX4" s="1">
        <v>0</v>
      </c>
      <c r="BY4" s="1">
        <v>0</v>
      </c>
      <c r="BZ4" s="1">
        <v>0</v>
      </c>
      <c r="CA4" s="1">
        <v>0</v>
      </c>
      <c r="CB4" s="1">
        <v>0</v>
      </c>
      <c r="CC4" s="1">
        <v>0</v>
      </c>
      <c r="CD4" s="1">
        <v>0</v>
      </c>
      <c r="CE4" s="1">
        <v>0</v>
      </c>
      <c r="CF4" s="1">
        <v>0</v>
      </c>
      <c r="CG4" s="1">
        <v>0</v>
      </c>
      <c r="CH4" s="1">
        <v>0</v>
      </c>
      <c r="CJ4" s="1">
        <v>2</v>
      </c>
      <c r="CK4" s="1">
        <v>3</v>
      </c>
      <c r="CL4" s="1">
        <v>2</v>
      </c>
      <c r="CM4" s="1">
        <v>3</v>
      </c>
      <c r="CN4" s="1">
        <v>4</v>
      </c>
      <c r="CO4" s="1">
        <v>4</v>
      </c>
      <c r="CP4" s="1">
        <v>4</v>
      </c>
      <c r="CU4" s="1">
        <v>1</v>
      </c>
    </row>
    <row r="5" spans="1:99" x14ac:dyDescent="0.35">
      <c r="A5" s="1" t="s">
        <v>2851</v>
      </c>
      <c r="B5" s="1">
        <v>181331004</v>
      </c>
      <c r="C5" s="1">
        <v>0</v>
      </c>
      <c r="D5" s="1">
        <v>1</v>
      </c>
      <c r="E5" s="1">
        <v>0</v>
      </c>
      <c r="F5" s="1">
        <v>0</v>
      </c>
      <c r="G5" s="1">
        <v>0</v>
      </c>
      <c r="H5" s="1">
        <v>0</v>
      </c>
      <c r="I5" s="1">
        <v>0</v>
      </c>
      <c r="J5" s="1">
        <v>0</v>
      </c>
      <c r="K5" s="1">
        <v>1</v>
      </c>
      <c r="L5" s="1">
        <v>0</v>
      </c>
      <c r="M5" s="1">
        <v>0</v>
      </c>
      <c r="N5" s="1">
        <v>0</v>
      </c>
      <c r="O5" s="1">
        <v>0</v>
      </c>
      <c r="P5" s="1">
        <v>3</v>
      </c>
      <c r="Q5" s="1">
        <v>3</v>
      </c>
      <c r="R5" s="1">
        <v>1</v>
      </c>
      <c r="S5" s="1">
        <v>1</v>
      </c>
      <c r="T5" s="1">
        <v>1</v>
      </c>
      <c r="U5" s="1">
        <v>3</v>
      </c>
      <c r="V5" s="1">
        <v>3</v>
      </c>
      <c r="W5" s="1">
        <v>4</v>
      </c>
      <c r="X5" s="1">
        <v>4</v>
      </c>
      <c r="Y5" s="1">
        <v>4</v>
      </c>
      <c r="Z5" s="1">
        <v>4</v>
      </c>
      <c r="AA5" s="1">
        <v>3</v>
      </c>
      <c r="AC5" s="1">
        <v>1</v>
      </c>
      <c r="AD5" s="1">
        <v>1</v>
      </c>
      <c r="AE5" s="1">
        <v>1</v>
      </c>
      <c r="AF5" s="3">
        <v>4500000</v>
      </c>
      <c r="AG5" s="1">
        <v>13</v>
      </c>
      <c r="AT5" s="1" t="s">
        <v>905</v>
      </c>
      <c r="BP5" s="1">
        <v>3</v>
      </c>
      <c r="BQ5" s="1" t="s">
        <v>2852</v>
      </c>
      <c r="BR5" s="1" t="s">
        <v>2853</v>
      </c>
      <c r="BS5" s="1" t="s">
        <v>2854</v>
      </c>
      <c r="BT5" s="1" t="s">
        <v>79</v>
      </c>
      <c r="BU5" s="1">
        <v>2</v>
      </c>
      <c r="BV5" s="1">
        <v>2</v>
      </c>
      <c r="BW5" s="1">
        <v>0</v>
      </c>
      <c r="BX5" s="1">
        <v>0</v>
      </c>
      <c r="BY5" s="1">
        <v>0</v>
      </c>
      <c r="BZ5" s="1">
        <v>0</v>
      </c>
      <c r="CA5" s="1">
        <v>0</v>
      </c>
      <c r="CB5" s="1">
        <v>0</v>
      </c>
      <c r="CC5" s="1">
        <v>0</v>
      </c>
      <c r="CD5" s="1">
        <v>0</v>
      </c>
      <c r="CE5" s="1">
        <v>0</v>
      </c>
      <c r="CF5" s="1">
        <v>0</v>
      </c>
      <c r="CG5" s="1">
        <v>0</v>
      </c>
      <c r="CH5" s="1">
        <v>1</v>
      </c>
      <c r="CI5" s="1">
        <v>0</v>
      </c>
      <c r="CJ5" s="1">
        <v>3</v>
      </c>
      <c r="CK5" s="1">
        <v>3</v>
      </c>
      <c r="CL5" s="1">
        <v>2</v>
      </c>
      <c r="CM5" s="1">
        <v>4</v>
      </c>
      <c r="CN5" s="1">
        <v>4</v>
      </c>
      <c r="CO5" s="1">
        <v>3</v>
      </c>
      <c r="CP5" s="1">
        <v>3</v>
      </c>
      <c r="CU5" s="1">
        <v>1</v>
      </c>
    </row>
    <row r="6" spans="1:99" x14ac:dyDescent="0.35">
      <c r="A6" s="1" t="s">
        <v>2855</v>
      </c>
      <c r="B6" s="1">
        <v>181331005</v>
      </c>
      <c r="C6" s="1">
        <v>0</v>
      </c>
      <c r="D6" s="1">
        <v>1</v>
      </c>
      <c r="E6" s="1">
        <v>0</v>
      </c>
      <c r="F6" s="1">
        <v>0</v>
      </c>
      <c r="G6" s="1">
        <v>0</v>
      </c>
      <c r="H6" s="1">
        <v>1</v>
      </c>
      <c r="I6" s="1">
        <v>0</v>
      </c>
      <c r="J6" s="1">
        <v>0</v>
      </c>
      <c r="K6" s="1">
        <v>0</v>
      </c>
      <c r="L6" s="1">
        <v>0</v>
      </c>
      <c r="M6" s="1">
        <v>1</v>
      </c>
      <c r="N6" s="1">
        <v>0</v>
      </c>
      <c r="O6" s="1">
        <v>0</v>
      </c>
      <c r="P6" s="1">
        <v>25</v>
      </c>
      <c r="Q6" s="1">
        <v>10</v>
      </c>
      <c r="R6" s="1">
        <v>5</v>
      </c>
      <c r="S6" s="1">
        <v>4</v>
      </c>
      <c r="T6" s="1">
        <v>1</v>
      </c>
      <c r="U6" s="1">
        <v>3</v>
      </c>
      <c r="V6" s="1">
        <v>2</v>
      </c>
      <c r="W6" s="1">
        <v>2</v>
      </c>
      <c r="X6" s="1">
        <v>3</v>
      </c>
      <c r="Y6" s="1">
        <v>3</v>
      </c>
      <c r="Z6" s="1">
        <v>3</v>
      </c>
      <c r="AA6" s="1">
        <v>2</v>
      </c>
      <c r="CQ6" s="1">
        <v>1</v>
      </c>
      <c r="CR6" s="1" t="s">
        <v>2856</v>
      </c>
      <c r="CS6" s="1" t="s">
        <v>2857</v>
      </c>
      <c r="CT6" s="5">
        <v>44830</v>
      </c>
      <c r="CU6" s="1">
        <v>1</v>
      </c>
    </row>
    <row r="7" spans="1:99" x14ac:dyDescent="0.35">
      <c r="A7" s="1" t="s">
        <v>2858</v>
      </c>
      <c r="B7" s="1">
        <v>181331006</v>
      </c>
      <c r="C7" s="1">
        <v>0</v>
      </c>
      <c r="D7" s="1">
        <v>1</v>
      </c>
      <c r="E7" s="1">
        <v>0</v>
      </c>
      <c r="F7" s="1">
        <v>0</v>
      </c>
      <c r="G7" s="1">
        <v>0</v>
      </c>
      <c r="H7" s="1">
        <v>0</v>
      </c>
      <c r="I7" s="1">
        <v>0</v>
      </c>
      <c r="J7" s="1">
        <v>0</v>
      </c>
      <c r="K7" s="1">
        <v>0</v>
      </c>
      <c r="L7" s="1">
        <v>0</v>
      </c>
      <c r="M7" s="1">
        <v>0</v>
      </c>
      <c r="N7" s="1">
        <v>0</v>
      </c>
      <c r="O7" s="1">
        <v>0</v>
      </c>
      <c r="P7" s="1" t="s">
        <v>1553</v>
      </c>
      <c r="Q7" s="1">
        <v>30</v>
      </c>
      <c r="R7" s="1">
        <v>30</v>
      </c>
      <c r="S7" s="1">
        <v>1</v>
      </c>
      <c r="T7" s="1">
        <v>1</v>
      </c>
      <c r="U7" s="1">
        <v>3</v>
      </c>
      <c r="V7" s="1">
        <v>3</v>
      </c>
      <c r="W7" s="1">
        <v>4</v>
      </c>
      <c r="X7" s="1">
        <v>3</v>
      </c>
      <c r="Y7" s="1">
        <v>4</v>
      </c>
      <c r="Z7" s="1">
        <v>4</v>
      </c>
      <c r="AA7" s="1">
        <v>4</v>
      </c>
      <c r="AC7" s="1">
        <v>2</v>
      </c>
      <c r="AE7" s="1">
        <v>2</v>
      </c>
      <c r="AF7" s="3">
        <v>9000000</v>
      </c>
      <c r="AG7" s="1">
        <v>12</v>
      </c>
      <c r="AS7" s="1" t="s">
        <v>1021</v>
      </c>
      <c r="BP7" s="1">
        <v>3</v>
      </c>
      <c r="BQ7" s="1" t="s">
        <v>2859</v>
      </c>
      <c r="BR7" s="1" t="s">
        <v>2860</v>
      </c>
      <c r="BS7" s="1" t="s">
        <v>2861</v>
      </c>
      <c r="BT7" s="1" t="s">
        <v>79</v>
      </c>
      <c r="BU7" s="1">
        <v>3</v>
      </c>
      <c r="BV7" s="1">
        <v>1</v>
      </c>
      <c r="BW7" s="1">
        <v>0</v>
      </c>
      <c r="BX7" s="1">
        <v>0</v>
      </c>
      <c r="BY7" s="1">
        <v>1</v>
      </c>
      <c r="BZ7" s="1">
        <v>1</v>
      </c>
      <c r="CA7" s="1">
        <v>0</v>
      </c>
      <c r="CB7" s="1">
        <v>0</v>
      </c>
      <c r="CC7" s="1">
        <v>0</v>
      </c>
      <c r="CD7" s="1">
        <v>1</v>
      </c>
      <c r="CE7" s="1">
        <v>1</v>
      </c>
      <c r="CF7" s="1">
        <v>0</v>
      </c>
      <c r="CG7" s="1">
        <v>0</v>
      </c>
      <c r="CH7" s="1">
        <v>0</v>
      </c>
      <c r="CI7" s="1">
        <v>0</v>
      </c>
      <c r="CJ7" s="1">
        <v>4</v>
      </c>
      <c r="CK7" s="1">
        <v>4</v>
      </c>
      <c r="CL7" s="1">
        <v>4</v>
      </c>
      <c r="CM7" s="1">
        <v>4</v>
      </c>
      <c r="CN7" s="1">
        <v>4</v>
      </c>
      <c r="CO7" s="1">
        <v>4</v>
      </c>
      <c r="CP7" s="1">
        <v>4</v>
      </c>
      <c r="CU7" s="1">
        <v>1</v>
      </c>
    </row>
    <row r="8" spans="1:99" x14ac:dyDescent="0.35">
      <c r="A8" s="1" t="s">
        <v>2862</v>
      </c>
      <c r="B8" s="1">
        <v>181331007</v>
      </c>
      <c r="C8" s="1">
        <v>0</v>
      </c>
      <c r="D8" s="1">
        <v>1</v>
      </c>
      <c r="E8" s="1">
        <v>0</v>
      </c>
      <c r="F8" s="1">
        <v>0</v>
      </c>
      <c r="G8" s="1">
        <v>0</v>
      </c>
      <c r="H8" s="1">
        <v>1</v>
      </c>
      <c r="I8" s="1">
        <v>0</v>
      </c>
      <c r="J8" s="1">
        <v>0</v>
      </c>
      <c r="K8" s="1">
        <v>1</v>
      </c>
      <c r="L8" s="1">
        <v>0</v>
      </c>
      <c r="M8" s="1">
        <v>1</v>
      </c>
      <c r="N8" s="1">
        <v>0</v>
      </c>
      <c r="O8" s="1">
        <v>0</v>
      </c>
      <c r="P8" s="1">
        <f>-+ 20</f>
        <v>-20</v>
      </c>
      <c r="Q8" s="1">
        <f>-+ 10</f>
        <v>-10</v>
      </c>
      <c r="R8" s="1">
        <f>-+ 6</f>
        <v>-6</v>
      </c>
      <c r="S8" s="1">
        <v>1</v>
      </c>
      <c r="T8" s="1">
        <v>1</v>
      </c>
      <c r="U8" s="1">
        <v>4</v>
      </c>
      <c r="V8" s="1">
        <v>4</v>
      </c>
      <c r="W8" s="1">
        <v>3</v>
      </c>
      <c r="X8" s="1">
        <v>4</v>
      </c>
      <c r="Y8" s="1">
        <v>4</v>
      </c>
      <c r="Z8" s="1">
        <v>4</v>
      </c>
      <c r="AA8" s="1">
        <v>4</v>
      </c>
      <c r="AC8" s="1">
        <v>2</v>
      </c>
      <c r="AE8" s="1">
        <v>8</v>
      </c>
      <c r="AF8" s="3">
        <v>2000000</v>
      </c>
      <c r="AG8" s="1">
        <v>13</v>
      </c>
      <c r="AT8" s="1" t="s">
        <v>2863</v>
      </c>
      <c r="BP8" s="1">
        <v>3</v>
      </c>
      <c r="BQ8" s="1" t="s">
        <v>2864</v>
      </c>
      <c r="BR8" s="1" t="s">
        <v>2865</v>
      </c>
      <c r="BT8" s="1" t="s">
        <v>79</v>
      </c>
      <c r="BU8" s="1">
        <v>4</v>
      </c>
      <c r="BV8" s="1">
        <v>2</v>
      </c>
      <c r="BW8" s="1">
        <v>0</v>
      </c>
      <c r="BX8" s="1">
        <v>0</v>
      </c>
      <c r="BY8" s="1">
        <v>0</v>
      </c>
      <c r="BZ8" s="1">
        <v>0</v>
      </c>
      <c r="CA8" s="1">
        <v>0</v>
      </c>
      <c r="CB8" s="1">
        <v>0</v>
      </c>
      <c r="CC8" s="1">
        <v>0</v>
      </c>
      <c r="CD8" s="1">
        <v>0</v>
      </c>
      <c r="CE8" s="1">
        <v>0</v>
      </c>
      <c r="CF8" s="1">
        <v>1</v>
      </c>
      <c r="CG8" s="1">
        <v>0</v>
      </c>
      <c r="CH8" s="1">
        <v>1</v>
      </c>
      <c r="CI8" s="1">
        <v>0</v>
      </c>
      <c r="CJ8" s="1">
        <v>4</v>
      </c>
      <c r="CK8" s="1">
        <v>4</v>
      </c>
      <c r="CL8" s="1">
        <v>4</v>
      </c>
      <c r="CM8" s="1">
        <v>4</v>
      </c>
      <c r="CN8" s="1">
        <v>4</v>
      </c>
      <c r="CO8" s="1">
        <v>4</v>
      </c>
      <c r="CP8" s="1">
        <v>4</v>
      </c>
      <c r="CU8" s="1">
        <v>1</v>
      </c>
    </row>
    <row r="9" spans="1:99" x14ac:dyDescent="0.35">
      <c r="A9" s="1" t="s">
        <v>2866</v>
      </c>
      <c r="B9" s="1">
        <v>181331008</v>
      </c>
      <c r="C9" s="1">
        <v>0</v>
      </c>
      <c r="D9" s="1">
        <v>1</v>
      </c>
      <c r="E9" s="1">
        <v>0</v>
      </c>
      <c r="F9" s="1">
        <v>0</v>
      </c>
      <c r="G9" s="1">
        <v>0</v>
      </c>
      <c r="H9" s="1">
        <v>1</v>
      </c>
      <c r="I9" s="1">
        <v>0</v>
      </c>
      <c r="J9" s="1">
        <v>0</v>
      </c>
      <c r="K9" s="1">
        <v>0</v>
      </c>
      <c r="L9" s="1">
        <v>0</v>
      </c>
      <c r="M9" s="1">
        <v>0</v>
      </c>
      <c r="N9" s="1">
        <v>0</v>
      </c>
      <c r="O9" s="1">
        <v>0</v>
      </c>
      <c r="P9" s="1">
        <v>10</v>
      </c>
      <c r="Q9" s="1">
        <v>5</v>
      </c>
      <c r="R9" s="1">
        <v>4</v>
      </c>
      <c r="S9" s="1">
        <v>4</v>
      </c>
      <c r="T9" s="1">
        <v>1</v>
      </c>
      <c r="U9" s="1">
        <v>4</v>
      </c>
      <c r="V9" s="1">
        <v>4</v>
      </c>
      <c r="W9" s="1">
        <v>3</v>
      </c>
      <c r="X9" s="1">
        <v>4</v>
      </c>
      <c r="Y9" s="1">
        <v>4</v>
      </c>
      <c r="Z9" s="1">
        <v>4</v>
      </c>
      <c r="AA9" s="1">
        <v>4</v>
      </c>
      <c r="CQ9" s="1">
        <v>1</v>
      </c>
      <c r="CR9" s="1" t="s">
        <v>2867</v>
      </c>
      <c r="CS9" s="1" t="s">
        <v>2868</v>
      </c>
      <c r="CT9" s="5">
        <v>44723</v>
      </c>
      <c r="CU9" s="1">
        <v>4</v>
      </c>
    </row>
    <row r="10" spans="1:99" x14ac:dyDescent="0.35">
      <c r="A10" s="1" t="s">
        <v>2869</v>
      </c>
      <c r="B10" s="1">
        <v>181331009</v>
      </c>
      <c r="C10" s="1">
        <v>0</v>
      </c>
      <c r="D10" s="1">
        <v>1</v>
      </c>
      <c r="E10" s="1">
        <v>0</v>
      </c>
      <c r="F10" s="1">
        <v>0</v>
      </c>
      <c r="G10" s="1">
        <v>0</v>
      </c>
      <c r="H10" s="1">
        <v>1</v>
      </c>
      <c r="I10" s="1">
        <v>0</v>
      </c>
      <c r="J10" s="1">
        <v>0</v>
      </c>
      <c r="K10" s="1">
        <v>1</v>
      </c>
      <c r="L10" s="1">
        <v>0</v>
      </c>
      <c r="M10" s="1">
        <v>0</v>
      </c>
      <c r="N10" s="1">
        <v>0</v>
      </c>
      <c r="O10" s="1">
        <v>0</v>
      </c>
      <c r="P10" s="1">
        <v>100</v>
      </c>
      <c r="Q10" s="1">
        <v>30</v>
      </c>
      <c r="R10" s="1">
        <v>20</v>
      </c>
      <c r="S10" s="1">
        <v>1</v>
      </c>
      <c r="T10" s="1">
        <v>1</v>
      </c>
      <c r="U10" s="1">
        <v>4</v>
      </c>
      <c r="V10" s="1">
        <v>3</v>
      </c>
      <c r="W10" s="1">
        <v>3</v>
      </c>
      <c r="X10" s="1">
        <v>3</v>
      </c>
      <c r="Y10" s="1">
        <v>4</v>
      </c>
      <c r="Z10" s="1">
        <v>4</v>
      </c>
      <c r="AA10" s="1">
        <v>4</v>
      </c>
      <c r="AC10" s="1">
        <v>1</v>
      </c>
      <c r="AD10" s="1">
        <v>3</v>
      </c>
      <c r="AF10" s="3">
        <v>5900000</v>
      </c>
      <c r="AG10" s="1">
        <v>11</v>
      </c>
      <c r="AR10" s="1" t="s">
        <v>130</v>
      </c>
      <c r="BP10" s="1">
        <v>3</v>
      </c>
      <c r="BQ10" s="1" t="s">
        <v>2870</v>
      </c>
      <c r="BR10" s="1" t="s">
        <v>2871</v>
      </c>
      <c r="BS10" s="1" t="s">
        <v>4326</v>
      </c>
      <c r="BT10" s="1" t="s">
        <v>79</v>
      </c>
      <c r="BU10" s="1">
        <v>1</v>
      </c>
      <c r="BV10" s="1">
        <v>2</v>
      </c>
      <c r="BW10" s="1">
        <v>1</v>
      </c>
      <c r="BX10" s="1">
        <v>0</v>
      </c>
      <c r="BY10" s="1">
        <v>0</v>
      </c>
      <c r="BZ10" s="1">
        <v>0</v>
      </c>
      <c r="CA10" s="1">
        <v>0</v>
      </c>
      <c r="CB10" s="1">
        <v>0</v>
      </c>
      <c r="CC10" s="1">
        <v>0</v>
      </c>
      <c r="CD10" s="1">
        <v>0</v>
      </c>
      <c r="CE10" s="1">
        <v>0</v>
      </c>
      <c r="CF10" s="1">
        <v>0</v>
      </c>
      <c r="CG10" s="1">
        <v>0</v>
      </c>
      <c r="CH10" s="1">
        <v>0</v>
      </c>
      <c r="CI10" s="1">
        <v>0</v>
      </c>
      <c r="CJ10" s="1">
        <v>4</v>
      </c>
      <c r="CK10" s="1">
        <v>4</v>
      </c>
      <c r="CL10" s="1">
        <v>4</v>
      </c>
      <c r="CM10" s="1">
        <v>4</v>
      </c>
      <c r="CN10" s="1">
        <v>4</v>
      </c>
      <c r="CO10" s="1">
        <v>4</v>
      </c>
      <c r="CP10" s="1">
        <v>4</v>
      </c>
      <c r="CU10" s="1">
        <v>1</v>
      </c>
    </row>
    <row r="11" spans="1:99" x14ac:dyDescent="0.35">
      <c r="A11" s="1" t="s">
        <v>2872</v>
      </c>
      <c r="B11" s="1">
        <v>181331010</v>
      </c>
      <c r="C11" s="1">
        <v>1</v>
      </c>
      <c r="D11" s="1">
        <v>1</v>
      </c>
      <c r="E11" s="1">
        <v>0</v>
      </c>
      <c r="F11" s="1">
        <v>0</v>
      </c>
      <c r="G11" s="1">
        <v>0</v>
      </c>
      <c r="H11" s="1">
        <v>1</v>
      </c>
      <c r="I11" s="1">
        <v>0</v>
      </c>
      <c r="J11" s="1">
        <v>0</v>
      </c>
      <c r="K11" s="1">
        <v>0</v>
      </c>
      <c r="L11" s="1">
        <v>0</v>
      </c>
      <c r="M11" s="1">
        <v>0</v>
      </c>
      <c r="N11" s="1">
        <v>0</v>
      </c>
      <c r="O11" s="1">
        <v>0</v>
      </c>
      <c r="P11" s="1">
        <v>15</v>
      </c>
      <c r="Q11" s="1">
        <v>10</v>
      </c>
      <c r="R11" s="1">
        <v>10</v>
      </c>
      <c r="S11" s="1">
        <v>1</v>
      </c>
      <c r="T11" s="1">
        <v>1</v>
      </c>
      <c r="U11" s="1">
        <v>4</v>
      </c>
      <c r="V11" s="1">
        <v>3</v>
      </c>
      <c r="W11" s="1">
        <v>3</v>
      </c>
      <c r="X11" s="1">
        <v>3</v>
      </c>
      <c r="Y11" s="1">
        <v>4</v>
      </c>
      <c r="Z11" s="1">
        <v>4</v>
      </c>
      <c r="AA11" s="1">
        <v>4</v>
      </c>
      <c r="AC11" s="1">
        <v>2</v>
      </c>
      <c r="AE11" s="1">
        <v>9</v>
      </c>
      <c r="AF11" s="3">
        <v>4777000</v>
      </c>
      <c r="AG11" s="1">
        <v>11</v>
      </c>
      <c r="AR11" s="1" t="s">
        <v>118</v>
      </c>
      <c r="BP11" s="1">
        <v>3</v>
      </c>
      <c r="BQ11" s="1" t="s">
        <v>2873</v>
      </c>
      <c r="BR11" s="1" t="s">
        <v>2874</v>
      </c>
      <c r="BT11" s="1" t="s">
        <v>79</v>
      </c>
      <c r="BU11" s="1">
        <v>4</v>
      </c>
      <c r="BV11" s="1">
        <v>1</v>
      </c>
      <c r="BW11" s="1">
        <v>0</v>
      </c>
      <c r="BX11" s="1">
        <v>0</v>
      </c>
      <c r="BY11" s="1">
        <v>1</v>
      </c>
      <c r="BZ11" s="1">
        <v>0</v>
      </c>
      <c r="CA11" s="1">
        <v>0</v>
      </c>
      <c r="CB11" s="1">
        <v>0</v>
      </c>
      <c r="CC11" s="1">
        <v>0</v>
      </c>
      <c r="CD11" s="1">
        <v>0</v>
      </c>
      <c r="CE11" s="1">
        <v>0</v>
      </c>
      <c r="CF11" s="1">
        <v>0</v>
      </c>
      <c r="CG11" s="1">
        <v>0</v>
      </c>
      <c r="CH11" s="1">
        <v>0</v>
      </c>
      <c r="CI11" s="1">
        <v>0</v>
      </c>
      <c r="CJ11" s="1">
        <v>4</v>
      </c>
      <c r="CK11" s="1">
        <v>4</v>
      </c>
      <c r="CL11" s="1">
        <v>3</v>
      </c>
      <c r="CM11" s="1">
        <v>4</v>
      </c>
      <c r="CN11" s="1">
        <v>4</v>
      </c>
      <c r="CO11" s="1">
        <v>4</v>
      </c>
      <c r="CP11" s="1">
        <v>4</v>
      </c>
      <c r="CU11" s="1">
        <v>1</v>
      </c>
    </row>
    <row r="12" spans="1:99" x14ac:dyDescent="0.35">
      <c r="A12" s="1" t="s">
        <v>2875</v>
      </c>
      <c r="B12" s="1">
        <v>181331011</v>
      </c>
      <c r="C12" s="1">
        <v>0</v>
      </c>
      <c r="D12" s="1">
        <v>1</v>
      </c>
      <c r="E12" s="1">
        <v>0</v>
      </c>
      <c r="F12" s="1">
        <v>0</v>
      </c>
      <c r="G12" s="1">
        <v>0</v>
      </c>
      <c r="H12" s="1">
        <v>0</v>
      </c>
      <c r="I12" s="1">
        <v>0</v>
      </c>
      <c r="J12" s="1">
        <v>0</v>
      </c>
      <c r="K12" s="1">
        <v>0</v>
      </c>
      <c r="L12" s="1">
        <v>0</v>
      </c>
      <c r="M12" s="1">
        <v>0</v>
      </c>
      <c r="N12" s="1">
        <v>0</v>
      </c>
      <c r="O12" s="1">
        <v>0</v>
      </c>
      <c r="P12" s="1">
        <v>10</v>
      </c>
      <c r="Q12" s="1">
        <v>8</v>
      </c>
      <c r="R12" s="1">
        <v>8</v>
      </c>
      <c r="S12" s="1">
        <v>1</v>
      </c>
      <c r="T12" s="1">
        <v>1</v>
      </c>
      <c r="U12" s="1">
        <v>4</v>
      </c>
      <c r="V12" s="1">
        <v>3</v>
      </c>
      <c r="W12" s="1">
        <v>3</v>
      </c>
      <c r="X12" s="1">
        <v>3</v>
      </c>
      <c r="Y12" s="1">
        <v>4</v>
      </c>
      <c r="Z12" s="1">
        <v>4</v>
      </c>
      <c r="AA12" s="1">
        <v>4</v>
      </c>
      <c r="AC12" s="1">
        <v>1</v>
      </c>
      <c r="AD12" s="1">
        <v>5</v>
      </c>
      <c r="AE12" s="1">
        <v>5</v>
      </c>
      <c r="AF12" s="3">
        <v>5000000</v>
      </c>
      <c r="AG12" s="1">
        <v>11</v>
      </c>
      <c r="AR12" s="1" t="s">
        <v>130</v>
      </c>
      <c r="BP12" s="1">
        <v>3</v>
      </c>
      <c r="BQ12" s="1" t="s">
        <v>2876</v>
      </c>
      <c r="BR12" s="1" t="s">
        <v>2877</v>
      </c>
      <c r="BS12" s="1" t="s">
        <v>2878</v>
      </c>
      <c r="BT12" s="1" t="s">
        <v>73</v>
      </c>
      <c r="BU12" s="1">
        <v>3</v>
      </c>
      <c r="BV12" s="1">
        <v>2</v>
      </c>
      <c r="BW12" s="1">
        <v>0</v>
      </c>
      <c r="BX12" s="1">
        <v>0</v>
      </c>
      <c r="BY12" s="1">
        <v>1</v>
      </c>
      <c r="BZ12" s="1">
        <v>0</v>
      </c>
      <c r="CA12" s="1">
        <v>0</v>
      </c>
      <c r="CB12" s="1">
        <v>0</v>
      </c>
      <c r="CC12" s="1">
        <v>0</v>
      </c>
      <c r="CD12" s="1">
        <v>0</v>
      </c>
      <c r="CE12" s="1">
        <v>0</v>
      </c>
      <c r="CF12" s="1">
        <v>0</v>
      </c>
      <c r="CG12" s="1">
        <v>0</v>
      </c>
      <c r="CH12" s="1">
        <v>0</v>
      </c>
      <c r="CI12" s="1">
        <v>0</v>
      </c>
      <c r="CJ12" s="1">
        <v>4</v>
      </c>
      <c r="CK12" s="1">
        <v>3</v>
      </c>
      <c r="CL12" s="1">
        <v>3</v>
      </c>
      <c r="CM12" s="1">
        <v>3</v>
      </c>
      <c r="CN12" s="1">
        <v>4</v>
      </c>
      <c r="CO12" s="1">
        <v>4</v>
      </c>
      <c r="CP12" s="1">
        <v>4</v>
      </c>
      <c r="CU12" s="1">
        <v>1</v>
      </c>
    </row>
    <row r="13" spans="1:99" x14ac:dyDescent="0.35">
      <c r="A13" s="1" t="s">
        <v>2879</v>
      </c>
      <c r="B13" s="1">
        <v>181331012</v>
      </c>
      <c r="C13" s="1">
        <v>0</v>
      </c>
      <c r="D13" s="1">
        <v>1</v>
      </c>
      <c r="E13" s="1">
        <v>1</v>
      </c>
      <c r="F13" s="1">
        <v>0</v>
      </c>
      <c r="G13" s="1">
        <v>0</v>
      </c>
      <c r="H13" s="1">
        <v>1</v>
      </c>
      <c r="I13" s="1">
        <v>0</v>
      </c>
      <c r="J13" s="1">
        <v>1</v>
      </c>
      <c r="K13" s="1">
        <v>1</v>
      </c>
      <c r="L13" s="1">
        <v>0</v>
      </c>
      <c r="M13" s="1">
        <v>1</v>
      </c>
      <c r="N13" s="1">
        <v>0</v>
      </c>
      <c r="O13" s="1">
        <v>0</v>
      </c>
      <c r="P13" s="1" t="s">
        <v>2880</v>
      </c>
      <c r="Q13" s="1" t="s">
        <v>2880</v>
      </c>
      <c r="R13" s="1" t="s">
        <v>2880</v>
      </c>
      <c r="S13" s="1">
        <v>1</v>
      </c>
      <c r="T13" s="1">
        <v>1</v>
      </c>
      <c r="U13" s="1">
        <v>4</v>
      </c>
      <c r="V13" s="1">
        <v>3</v>
      </c>
      <c r="W13" s="1">
        <v>3</v>
      </c>
      <c r="X13" s="1">
        <v>3</v>
      </c>
      <c r="Y13" s="1">
        <v>4</v>
      </c>
      <c r="Z13" s="1">
        <v>4</v>
      </c>
      <c r="AA13" s="1">
        <v>4</v>
      </c>
      <c r="AC13" s="1">
        <v>1</v>
      </c>
      <c r="AD13" s="1">
        <v>2</v>
      </c>
      <c r="AE13" s="1">
        <v>2</v>
      </c>
      <c r="AF13" s="3">
        <v>1250000</v>
      </c>
      <c r="AG13" s="1">
        <v>13</v>
      </c>
      <c r="AT13" s="1" t="s">
        <v>427</v>
      </c>
      <c r="BP13" s="1">
        <v>6</v>
      </c>
      <c r="BQ13" s="1" t="s">
        <v>2881</v>
      </c>
      <c r="BR13" s="1" t="s">
        <v>2882</v>
      </c>
      <c r="BT13" s="1" t="s">
        <v>79</v>
      </c>
      <c r="BU13" s="1">
        <v>5</v>
      </c>
      <c r="BV13" s="1">
        <v>1</v>
      </c>
      <c r="BW13" s="1">
        <v>0</v>
      </c>
      <c r="BX13" s="1">
        <v>1</v>
      </c>
      <c r="BY13" s="1">
        <v>0</v>
      </c>
      <c r="BZ13" s="1">
        <v>0</v>
      </c>
      <c r="CA13" s="1">
        <v>0</v>
      </c>
      <c r="CB13" s="1">
        <v>0</v>
      </c>
      <c r="CC13" s="1">
        <v>0</v>
      </c>
      <c r="CD13" s="1">
        <v>0</v>
      </c>
      <c r="CE13" s="1">
        <v>0</v>
      </c>
      <c r="CF13" s="1">
        <v>0</v>
      </c>
      <c r="CG13" s="1">
        <v>0</v>
      </c>
      <c r="CH13" s="1">
        <v>1</v>
      </c>
      <c r="CI13" s="1">
        <v>0</v>
      </c>
      <c r="CJ13" s="1">
        <v>4</v>
      </c>
      <c r="CK13" s="1">
        <v>3</v>
      </c>
      <c r="CL13" s="1">
        <v>2</v>
      </c>
      <c r="CM13" s="1">
        <v>4</v>
      </c>
      <c r="CN13" s="1">
        <v>4</v>
      </c>
      <c r="CO13" s="1">
        <v>3</v>
      </c>
      <c r="CP13" s="1">
        <v>3</v>
      </c>
      <c r="CU13" s="1">
        <v>4</v>
      </c>
    </row>
    <row r="14" spans="1:99" x14ac:dyDescent="0.35">
      <c r="A14" s="1" t="s">
        <v>2883</v>
      </c>
      <c r="B14" s="1">
        <v>181331014</v>
      </c>
      <c r="C14" s="1">
        <v>0</v>
      </c>
      <c r="D14" s="1">
        <v>1</v>
      </c>
      <c r="E14" s="1">
        <v>0</v>
      </c>
      <c r="F14" s="1">
        <v>0</v>
      </c>
      <c r="G14" s="1">
        <v>0</v>
      </c>
      <c r="H14" s="1">
        <v>1</v>
      </c>
      <c r="I14" s="1">
        <v>0</v>
      </c>
      <c r="J14" s="1">
        <v>0</v>
      </c>
      <c r="K14" s="1">
        <v>0</v>
      </c>
      <c r="L14" s="1">
        <v>0</v>
      </c>
      <c r="M14" s="1">
        <v>0</v>
      </c>
      <c r="N14" s="1">
        <v>0</v>
      </c>
      <c r="O14" s="1">
        <v>0</v>
      </c>
      <c r="P14" s="1">
        <v>50</v>
      </c>
      <c r="Q14" s="1">
        <v>30</v>
      </c>
      <c r="R14" s="1">
        <v>7</v>
      </c>
      <c r="S14" s="1">
        <v>1</v>
      </c>
      <c r="T14" s="1">
        <v>1</v>
      </c>
      <c r="U14" s="1">
        <v>3</v>
      </c>
      <c r="V14" s="1">
        <v>2</v>
      </c>
      <c r="W14" s="1">
        <v>3</v>
      </c>
      <c r="X14" s="1">
        <v>4</v>
      </c>
      <c r="Y14" s="1">
        <v>2</v>
      </c>
      <c r="Z14" s="1">
        <v>3</v>
      </c>
      <c r="AA14" s="1">
        <v>3</v>
      </c>
      <c r="AC14" s="1">
        <v>2</v>
      </c>
      <c r="AE14" s="1">
        <v>6</v>
      </c>
      <c r="AF14" s="3">
        <v>3000000</v>
      </c>
      <c r="AG14" s="1">
        <v>11</v>
      </c>
      <c r="AR14" s="1" t="s">
        <v>130</v>
      </c>
      <c r="BP14" s="1">
        <v>3</v>
      </c>
      <c r="BQ14" s="1" t="s">
        <v>2884</v>
      </c>
      <c r="BR14" s="1" t="s">
        <v>2885</v>
      </c>
      <c r="BS14" s="1" t="s">
        <v>2886</v>
      </c>
      <c r="BT14" s="1" t="s">
        <v>79</v>
      </c>
      <c r="BU14" s="1">
        <v>3</v>
      </c>
      <c r="BV14" s="1">
        <v>1</v>
      </c>
      <c r="BW14" s="1">
        <v>0</v>
      </c>
      <c r="BX14" s="1">
        <v>1</v>
      </c>
      <c r="BY14" s="1">
        <v>0</v>
      </c>
      <c r="BZ14" s="1">
        <v>0</v>
      </c>
      <c r="CA14" s="1">
        <v>0</v>
      </c>
      <c r="CB14" s="1">
        <v>0</v>
      </c>
      <c r="CC14" s="1">
        <v>0</v>
      </c>
      <c r="CD14" s="1">
        <v>1</v>
      </c>
      <c r="CE14" s="1">
        <v>0</v>
      </c>
      <c r="CF14" s="1">
        <v>0</v>
      </c>
      <c r="CG14" s="1">
        <v>0</v>
      </c>
      <c r="CH14" s="1">
        <v>1</v>
      </c>
      <c r="CI14" s="1">
        <v>0</v>
      </c>
      <c r="CJ14" s="1">
        <v>4</v>
      </c>
      <c r="CK14" s="1">
        <v>4</v>
      </c>
      <c r="CL14" s="1">
        <v>4</v>
      </c>
      <c r="CM14" s="1">
        <v>4</v>
      </c>
      <c r="CN14" s="1">
        <v>4</v>
      </c>
      <c r="CO14" s="1">
        <v>4</v>
      </c>
      <c r="CP14" s="1">
        <v>4</v>
      </c>
      <c r="CU14" s="1">
        <v>4</v>
      </c>
    </row>
    <row r="15" spans="1:99" x14ac:dyDescent="0.35">
      <c r="A15" s="1" t="s">
        <v>2887</v>
      </c>
      <c r="B15" s="1">
        <v>181331015</v>
      </c>
      <c r="C15" s="1">
        <v>0</v>
      </c>
      <c r="D15" s="1">
        <v>0</v>
      </c>
      <c r="E15" s="1">
        <v>1</v>
      </c>
      <c r="F15" s="1">
        <v>0</v>
      </c>
      <c r="G15" s="1">
        <v>0</v>
      </c>
      <c r="H15" s="1">
        <v>0</v>
      </c>
      <c r="I15" s="1">
        <v>0</v>
      </c>
      <c r="J15" s="1">
        <v>0</v>
      </c>
      <c r="K15" s="1">
        <v>1</v>
      </c>
      <c r="L15" s="1">
        <v>0</v>
      </c>
      <c r="M15" s="1">
        <v>0</v>
      </c>
      <c r="N15" s="1">
        <v>0</v>
      </c>
      <c r="O15" s="1">
        <v>0</v>
      </c>
      <c r="P15" s="1">
        <v>100</v>
      </c>
      <c r="Q15" s="1">
        <v>20</v>
      </c>
      <c r="R15" s="1">
        <v>15</v>
      </c>
      <c r="S15" s="1">
        <v>1</v>
      </c>
      <c r="T15" s="1">
        <v>1</v>
      </c>
      <c r="U15" s="1">
        <v>4</v>
      </c>
      <c r="V15" s="1">
        <v>4</v>
      </c>
      <c r="W15" s="1">
        <v>4</v>
      </c>
      <c r="X15" s="1">
        <v>4</v>
      </c>
      <c r="Y15" s="1">
        <v>4</v>
      </c>
      <c r="Z15" s="1">
        <v>4</v>
      </c>
      <c r="AA15" s="1">
        <v>4</v>
      </c>
      <c r="AC15" s="1">
        <v>1</v>
      </c>
      <c r="AD15" s="1">
        <v>0</v>
      </c>
      <c r="AE15" s="1">
        <v>0</v>
      </c>
      <c r="AF15" s="3">
        <v>7500000</v>
      </c>
      <c r="AG15" s="1">
        <v>11</v>
      </c>
      <c r="AR15" s="1" t="s">
        <v>144</v>
      </c>
      <c r="BP15" s="1">
        <v>3</v>
      </c>
      <c r="BQ15" s="1" t="s">
        <v>2888</v>
      </c>
      <c r="BR15" s="1" t="s">
        <v>2889</v>
      </c>
      <c r="BS15" s="1" t="s">
        <v>4335</v>
      </c>
      <c r="BT15" s="1" t="s">
        <v>79</v>
      </c>
      <c r="BU15" s="1">
        <v>1</v>
      </c>
      <c r="BV15" s="1">
        <v>1</v>
      </c>
      <c r="BW15" s="1">
        <v>0</v>
      </c>
      <c r="BX15" s="1">
        <v>0</v>
      </c>
      <c r="BY15" s="1">
        <v>1</v>
      </c>
      <c r="BZ15" s="1">
        <v>0</v>
      </c>
      <c r="CA15" s="1">
        <v>0</v>
      </c>
      <c r="CB15" s="1">
        <v>0</v>
      </c>
      <c r="CC15" s="1">
        <v>0</v>
      </c>
      <c r="CD15" s="1">
        <v>1</v>
      </c>
      <c r="CE15" s="1">
        <v>0</v>
      </c>
      <c r="CF15" s="1">
        <v>0</v>
      </c>
      <c r="CG15" s="1">
        <v>0</v>
      </c>
      <c r="CH15" s="1">
        <v>0</v>
      </c>
      <c r="CI15" s="1">
        <v>0</v>
      </c>
      <c r="CJ15" s="1">
        <v>4</v>
      </c>
      <c r="CK15" s="1">
        <v>4</v>
      </c>
      <c r="CL15" s="1">
        <v>4</v>
      </c>
      <c r="CM15" s="1">
        <v>4</v>
      </c>
      <c r="CN15" s="1">
        <v>4</v>
      </c>
      <c r="CO15" s="1">
        <v>4</v>
      </c>
      <c r="CP15" s="1">
        <v>4</v>
      </c>
      <c r="CU15" s="1">
        <v>1</v>
      </c>
    </row>
    <row r="16" spans="1:99" x14ac:dyDescent="0.35">
      <c r="A16" s="1" t="s">
        <v>2890</v>
      </c>
      <c r="B16" s="1">
        <v>181331016</v>
      </c>
      <c r="C16" s="1">
        <v>0</v>
      </c>
      <c r="D16" s="1">
        <v>1</v>
      </c>
      <c r="E16" s="1">
        <v>0</v>
      </c>
      <c r="F16" s="1">
        <v>0</v>
      </c>
      <c r="G16" s="1">
        <v>0</v>
      </c>
      <c r="H16" s="1">
        <v>0</v>
      </c>
      <c r="I16" s="1">
        <v>0</v>
      </c>
      <c r="J16" s="1">
        <v>0</v>
      </c>
      <c r="K16" s="1">
        <v>1</v>
      </c>
      <c r="L16" s="1">
        <v>1</v>
      </c>
      <c r="M16" s="1">
        <v>0</v>
      </c>
      <c r="N16" s="1">
        <v>0</v>
      </c>
      <c r="O16" s="1">
        <v>0</v>
      </c>
      <c r="P16" s="1">
        <v>10</v>
      </c>
      <c r="Q16" s="1">
        <v>3</v>
      </c>
      <c r="R16" s="1">
        <v>3</v>
      </c>
      <c r="S16" s="1">
        <v>1</v>
      </c>
      <c r="T16" s="1">
        <v>1</v>
      </c>
      <c r="U16" s="1">
        <v>3</v>
      </c>
      <c r="V16" s="1">
        <v>3</v>
      </c>
      <c r="W16" s="1">
        <v>3</v>
      </c>
      <c r="X16" s="1">
        <v>3</v>
      </c>
      <c r="Y16" s="1">
        <v>3</v>
      </c>
      <c r="Z16" s="1">
        <v>3</v>
      </c>
      <c r="AA16" s="1">
        <v>3</v>
      </c>
      <c r="AC16" s="1">
        <v>2</v>
      </c>
      <c r="AE16" s="1">
        <v>10</v>
      </c>
      <c r="AF16" s="3">
        <v>5500000</v>
      </c>
      <c r="AG16" s="1">
        <v>13</v>
      </c>
      <c r="AT16" s="1" t="s">
        <v>86</v>
      </c>
      <c r="BP16" s="1">
        <v>3</v>
      </c>
      <c r="BW16" s="1">
        <v>0</v>
      </c>
      <c r="BX16" s="1">
        <v>0</v>
      </c>
      <c r="BY16" s="1">
        <v>0</v>
      </c>
      <c r="BZ16" s="1">
        <v>0</v>
      </c>
      <c r="CA16" s="1">
        <v>0</v>
      </c>
      <c r="CB16" s="1">
        <v>0</v>
      </c>
      <c r="CC16" s="1">
        <v>0</v>
      </c>
      <c r="CD16" s="1">
        <v>0</v>
      </c>
      <c r="CE16" s="1">
        <v>0</v>
      </c>
      <c r="CF16" s="1">
        <v>0</v>
      </c>
      <c r="CG16" s="1">
        <v>0</v>
      </c>
      <c r="CH16" s="1">
        <v>0</v>
      </c>
      <c r="CI16" s="1">
        <v>0</v>
      </c>
    </row>
    <row r="17" spans="1:99" x14ac:dyDescent="0.35">
      <c r="A17" s="1" t="s">
        <v>2891</v>
      </c>
      <c r="B17" s="1">
        <v>181331017</v>
      </c>
      <c r="C17" s="1">
        <v>0</v>
      </c>
      <c r="D17" s="1">
        <v>1</v>
      </c>
      <c r="E17" s="1">
        <v>0</v>
      </c>
      <c r="F17" s="1">
        <v>0</v>
      </c>
      <c r="G17" s="1">
        <v>1</v>
      </c>
      <c r="H17" s="1">
        <v>0</v>
      </c>
      <c r="I17" s="1">
        <v>0</v>
      </c>
      <c r="J17" s="1">
        <v>1</v>
      </c>
      <c r="K17" s="1">
        <v>0</v>
      </c>
      <c r="L17" s="1">
        <v>0</v>
      </c>
      <c r="M17" s="1">
        <v>0</v>
      </c>
      <c r="N17" s="1">
        <v>0</v>
      </c>
      <c r="O17" s="1">
        <v>0</v>
      </c>
      <c r="P17" s="1">
        <v>24</v>
      </c>
      <c r="Q17" s="1">
        <v>12</v>
      </c>
      <c r="R17" s="1">
        <v>6</v>
      </c>
      <c r="S17" s="1">
        <v>1</v>
      </c>
      <c r="T17" s="1">
        <v>1</v>
      </c>
      <c r="U17" s="1">
        <v>4</v>
      </c>
      <c r="V17" s="1">
        <v>4</v>
      </c>
      <c r="W17" s="1">
        <v>3</v>
      </c>
      <c r="X17" s="1">
        <v>4</v>
      </c>
      <c r="Y17" s="1">
        <v>4</v>
      </c>
      <c r="Z17" s="1">
        <v>4</v>
      </c>
      <c r="AA17" s="1">
        <v>4</v>
      </c>
      <c r="AC17" s="1">
        <v>2</v>
      </c>
      <c r="AE17" s="1">
        <v>5</v>
      </c>
      <c r="AF17" s="3">
        <v>4000000</v>
      </c>
      <c r="AG17" s="1">
        <v>13</v>
      </c>
      <c r="AT17" s="1" t="s">
        <v>427</v>
      </c>
      <c r="BP17" s="1">
        <v>3</v>
      </c>
      <c r="BQ17" s="1" t="s">
        <v>2892</v>
      </c>
      <c r="BR17" s="1" t="s">
        <v>2893</v>
      </c>
      <c r="BS17" s="1" t="s">
        <v>4336</v>
      </c>
      <c r="BT17" s="1" t="s">
        <v>107</v>
      </c>
      <c r="BU17" s="1">
        <v>3</v>
      </c>
      <c r="BV17" s="1">
        <v>2</v>
      </c>
      <c r="BW17" s="1">
        <v>0</v>
      </c>
      <c r="BX17" s="1">
        <v>0</v>
      </c>
      <c r="BY17" s="1">
        <v>1</v>
      </c>
      <c r="BZ17" s="1">
        <v>0</v>
      </c>
      <c r="CA17" s="1">
        <v>0</v>
      </c>
      <c r="CB17" s="1">
        <v>0</v>
      </c>
      <c r="CC17" s="1">
        <v>0</v>
      </c>
      <c r="CD17" s="1">
        <v>1</v>
      </c>
      <c r="CE17" s="1">
        <v>1</v>
      </c>
      <c r="CF17" s="1">
        <v>1</v>
      </c>
      <c r="CG17" s="1">
        <v>1</v>
      </c>
      <c r="CH17" s="1">
        <v>0</v>
      </c>
      <c r="CI17" s="1" t="s">
        <v>2894</v>
      </c>
      <c r="CJ17" s="1">
        <v>4</v>
      </c>
      <c r="CK17" s="1">
        <v>4</v>
      </c>
      <c r="CL17" s="1">
        <v>4</v>
      </c>
      <c r="CM17" s="1">
        <v>4</v>
      </c>
      <c r="CN17" s="1">
        <v>4</v>
      </c>
      <c r="CO17" s="1">
        <v>4</v>
      </c>
      <c r="CP17" s="1">
        <v>4</v>
      </c>
      <c r="CU17" s="1">
        <v>1</v>
      </c>
    </row>
    <row r="18" spans="1:99" x14ac:dyDescent="0.35">
      <c r="A18" s="1" t="s">
        <v>2895</v>
      </c>
      <c r="B18" s="1">
        <v>181331018</v>
      </c>
      <c r="C18" s="1">
        <v>0</v>
      </c>
      <c r="D18" s="1">
        <v>1</v>
      </c>
      <c r="E18" s="1">
        <v>0</v>
      </c>
      <c r="F18" s="1">
        <v>0</v>
      </c>
      <c r="G18" s="1">
        <v>0</v>
      </c>
      <c r="H18" s="1">
        <v>0</v>
      </c>
      <c r="I18" s="1">
        <v>0</v>
      </c>
      <c r="J18" s="1">
        <v>0</v>
      </c>
      <c r="K18" s="1">
        <v>1</v>
      </c>
      <c r="L18" s="1">
        <v>0</v>
      </c>
      <c r="M18" s="1">
        <v>0</v>
      </c>
      <c r="N18" s="1">
        <v>0</v>
      </c>
      <c r="O18" s="1">
        <v>0</v>
      </c>
      <c r="P18" s="1">
        <v>15</v>
      </c>
      <c r="Q18" s="1">
        <v>10</v>
      </c>
      <c r="R18" s="1">
        <v>10</v>
      </c>
      <c r="S18" s="1">
        <v>1</v>
      </c>
      <c r="T18" s="1">
        <v>3</v>
      </c>
      <c r="U18" s="1">
        <v>4</v>
      </c>
      <c r="V18" s="1">
        <v>3</v>
      </c>
      <c r="W18" s="1">
        <v>2</v>
      </c>
      <c r="X18" s="1">
        <v>4</v>
      </c>
      <c r="Y18" s="1">
        <v>4</v>
      </c>
      <c r="Z18" s="1">
        <v>4</v>
      </c>
      <c r="AA18" s="1">
        <v>4</v>
      </c>
      <c r="AC18" s="1">
        <v>1</v>
      </c>
      <c r="AD18" s="1">
        <v>2</v>
      </c>
      <c r="AE18" s="1">
        <v>2</v>
      </c>
      <c r="AF18" s="3">
        <v>2750000</v>
      </c>
      <c r="AG18" s="1">
        <v>13</v>
      </c>
      <c r="AT18" s="1" t="s">
        <v>392</v>
      </c>
      <c r="BP18" s="1">
        <v>1</v>
      </c>
      <c r="BQ18" s="1" t="s">
        <v>2896</v>
      </c>
      <c r="BR18" s="1" t="s">
        <v>2897</v>
      </c>
      <c r="BS18" s="1" t="s">
        <v>2898</v>
      </c>
      <c r="BT18" s="1" t="s">
        <v>79</v>
      </c>
      <c r="BU18" s="1">
        <v>1</v>
      </c>
      <c r="BV18" s="1">
        <v>1</v>
      </c>
      <c r="BW18" s="1">
        <v>1</v>
      </c>
      <c r="BX18" s="1">
        <v>0</v>
      </c>
      <c r="BY18" s="1">
        <v>0</v>
      </c>
      <c r="BZ18" s="1">
        <v>0</v>
      </c>
      <c r="CA18" s="1">
        <v>0</v>
      </c>
      <c r="CB18" s="1">
        <v>0</v>
      </c>
      <c r="CC18" s="1">
        <v>0</v>
      </c>
      <c r="CD18" s="1">
        <v>0</v>
      </c>
      <c r="CE18" s="1">
        <v>0</v>
      </c>
      <c r="CF18" s="1">
        <v>0</v>
      </c>
      <c r="CG18" s="1">
        <v>0</v>
      </c>
      <c r="CH18" s="1">
        <v>0</v>
      </c>
      <c r="CI18" s="1">
        <v>0</v>
      </c>
      <c r="CJ18" s="1">
        <v>4</v>
      </c>
      <c r="CK18" s="1">
        <v>4</v>
      </c>
      <c r="CL18" s="1">
        <v>4</v>
      </c>
      <c r="CM18" s="1">
        <v>4</v>
      </c>
      <c r="CN18" s="1">
        <v>4</v>
      </c>
      <c r="CO18" s="1">
        <v>4</v>
      </c>
      <c r="CP18" s="1">
        <v>4</v>
      </c>
      <c r="CU18" s="1">
        <v>1</v>
      </c>
    </row>
    <row r="19" spans="1:99" x14ac:dyDescent="0.35">
      <c r="A19" s="1" t="s">
        <v>2899</v>
      </c>
      <c r="B19" s="1">
        <v>181331019</v>
      </c>
      <c r="C19" s="1">
        <v>0</v>
      </c>
      <c r="D19" s="1">
        <v>1</v>
      </c>
      <c r="E19" s="1">
        <v>0</v>
      </c>
      <c r="F19" s="1">
        <v>0</v>
      </c>
      <c r="G19" s="1">
        <v>0</v>
      </c>
      <c r="H19" s="1">
        <v>0</v>
      </c>
      <c r="I19" s="1">
        <v>0</v>
      </c>
      <c r="J19" s="1">
        <v>0</v>
      </c>
      <c r="K19" s="1">
        <v>0</v>
      </c>
      <c r="L19" s="1">
        <v>0</v>
      </c>
      <c r="M19" s="1">
        <v>0</v>
      </c>
      <c r="N19" s="1">
        <v>0</v>
      </c>
      <c r="O19" s="1">
        <v>0</v>
      </c>
      <c r="P19" s="1">
        <v>20</v>
      </c>
      <c r="Q19" s="1">
        <v>5</v>
      </c>
      <c r="R19" s="1">
        <v>5</v>
      </c>
      <c r="S19" s="1">
        <v>1</v>
      </c>
      <c r="T19" s="1">
        <v>1</v>
      </c>
      <c r="U19" s="1">
        <v>4</v>
      </c>
      <c r="V19" s="1">
        <v>3</v>
      </c>
      <c r="W19" s="1">
        <v>3</v>
      </c>
      <c r="X19" s="1">
        <v>4</v>
      </c>
      <c r="Y19" s="1">
        <v>4</v>
      </c>
      <c r="Z19" s="1">
        <v>4</v>
      </c>
      <c r="AA19" s="1">
        <v>4</v>
      </c>
      <c r="AC19" s="1">
        <v>1</v>
      </c>
      <c r="AD19" s="1">
        <v>1</v>
      </c>
      <c r="AE19" s="1">
        <v>1</v>
      </c>
      <c r="AF19" s="1">
        <v>1</v>
      </c>
      <c r="AG19" s="1">
        <v>11</v>
      </c>
      <c r="AR19" s="1" t="s">
        <v>130</v>
      </c>
      <c r="BP19" s="1">
        <v>3</v>
      </c>
      <c r="BQ19" s="1" t="s">
        <v>2900</v>
      </c>
      <c r="BR19" s="1" t="s">
        <v>2901</v>
      </c>
      <c r="BS19" s="1" t="s">
        <v>2902</v>
      </c>
      <c r="BT19" s="1" t="s">
        <v>79</v>
      </c>
      <c r="BU19" s="1">
        <v>1</v>
      </c>
      <c r="BV19" s="1">
        <v>2</v>
      </c>
      <c r="BW19" s="1">
        <v>0</v>
      </c>
      <c r="BX19" s="1">
        <v>0</v>
      </c>
      <c r="BY19" s="1">
        <v>0</v>
      </c>
      <c r="BZ19" s="1">
        <v>0</v>
      </c>
      <c r="CA19" s="1">
        <v>0</v>
      </c>
      <c r="CB19" s="1">
        <v>0</v>
      </c>
      <c r="CC19" s="1">
        <v>0</v>
      </c>
      <c r="CD19" s="1">
        <v>1</v>
      </c>
      <c r="CE19" s="1">
        <v>0</v>
      </c>
      <c r="CF19" s="1">
        <v>0</v>
      </c>
      <c r="CG19" s="1">
        <v>0</v>
      </c>
      <c r="CH19" s="1">
        <v>0</v>
      </c>
      <c r="CI19" s="1">
        <v>0</v>
      </c>
      <c r="CJ19" s="1">
        <v>4</v>
      </c>
      <c r="CK19" s="1">
        <v>3</v>
      </c>
      <c r="CL19" s="1">
        <v>3</v>
      </c>
      <c r="CM19" s="1">
        <v>4</v>
      </c>
      <c r="CN19" s="1">
        <v>4</v>
      </c>
      <c r="CO19" s="1">
        <v>4</v>
      </c>
      <c r="CP19" s="1">
        <v>4</v>
      </c>
      <c r="CU19" s="1">
        <v>1</v>
      </c>
    </row>
    <row r="20" spans="1:99" x14ac:dyDescent="0.35">
      <c r="A20" s="1" t="s">
        <v>2903</v>
      </c>
      <c r="B20" s="1">
        <v>181331020</v>
      </c>
      <c r="C20" s="1">
        <v>0</v>
      </c>
      <c r="D20" s="1">
        <v>1</v>
      </c>
      <c r="E20" s="1">
        <v>1</v>
      </c>
      <c r="F20" s="1">
        <v>0</v>
      </c>
      <c r="G20" s="1">
        <v>0</v>
      </c>
      <c r="H20" s="1">
        <v>0</v>
      </c>
      <c r="I20" s="1">
        <v>0</v>
      </c>
      <c r="J20" s="1">
        <v>0</v>
      </c>
      <c r="K20" s="1">
        <v>0</v>
      </c>
      <c r="L20" s="1">
        <v>0</v>
      </c>
      <c r="M20" s="1">
        <v>0</v>
      </c>
      <c r="N20" s="1">
        <v>0</v>
      </c>
      <c r="O20" s="1">
        <v>0</v>
      </c>
      <c r="P20" s="1">
        <v>7</v>
      </c>
      <c r="Q20" s="1">
        <v>4</v>
      </c>
      <c r="R20" s="1">
        <v>4</v>
      </c>
      <c r="S20" s="1">
        <v>1</v>
      </c>
      <c r="T20" s="1">
        <v>1</v>
      </c>
      <c r="U20" s="1">
        <v>3</v>
      </c>
      <c r="V20" s="1">
        <v>3</v>
      </c>
      <c r="W20" s="1">
        <v>3</v>
      </c>
      <c r="X20" s="1">
        <v>3</v>
      </c>
      <c r="Y20" s="1">
        <v>3</v>
      </c>
      <c r="Z20" s="1">
        <v>3</v>
      </c>
      <c r="AA20" s="1">
        <v>3</v>
      </c>
      <c r="AC20" s="1">
        <v>1</v>
      </c>
      <c r="AD20" s="1">
        <v>1</v>
      </c>
      <c r="AE20" s="1">
        <v>1</v>
      </c>
      <c r="AF20" s="3">
        <v>5300000</v>
      </c>
      <c r="AG20" s="1">
        <v>11</v>
      </c>
      <c r="AR20" s="1" t="s">
        <v>130</v>
      </c>
      <c r="BP20" s="1" t="s">
        <v>2904</v>
      </c>
      <c r="BQ20" s="1" t="s">
        <v>2905</v>
      </c>
      <c r="BR20" s="1" t="s">
        <v>2906</v>
      </c>
      <c r="BS20" s="1" t="s">
        <v>2907</v>
      </c>
      <c r="BT20" s="1" t="s">
        <v>79</v>
      </c>
      <c r="BU20" s="1">
        <v>2</v>
      </c>
      <c r="BV20" s="1">
        <v>2</v>
      </c>
      <c r="BW20" s="1">
        <v>0</v>
      </c>
      <c r="BX20" s="1">
        <v>1</v>
      </c>
      <c r="BY20" s="1">
        <v>0</v>
      </c>
      <c r="BZ20" s="1">
        <v>0</v>
      </c>
      <c r="CA20" s="1">
        <v>0</v>
      </c>
      <c r="CB20" s="1">
        <v>0</v>
      </c>
      <c r="CC20" s="1">
        <v>0</v>
      </c>
      <c r="CD20" s="1">
        <v>0</v>
      </c>
      <c r="CE20" s="1">
        <v>0</v>
      </c>
      <c r="CF20" s="1">
        <v>0</v>
      </c>
      <c r="CG20" s="1">
        <v>0</v>
      </c>
      <c r="CH20" s="1">
        <v>0</v>
      </c>
      <c r="CI20" s="1">
        <v>0</v>
      </c>
      <c r="CJ20" s="1">
        <v>4</v>
      </c>
      <c r="CK20" s="1">
        <v>4</v>
      </c>
      <c r="CL20" s="1">
        <v>4</v>
      </c>
      <c r="CM20" s="1">
        <v>4</v>
      </c>
      <c r="CN20" s="1">
        <v>4</v>
      </c>
      <c r="CO20" s="1">
        <v>4</v>
      </c>
      <c r="CP20" s="1">
        <v>4</v>
      </c>
      <c r="CU20" s="1">
        <v>1</v>
      </c>
    </row>
    <row r="21" spans="1:99" x14ac:dyDescent="0.35">
      <c r="A21" s="1" t="s">
        <v>2908</v>
      </c>
      <c r="B21" s="1">
        <v>181331021</v>
      </c>
      <c r="C21" s="1">
        <v>0</v>
      </c>
      <c r="D21" s="1">
        <v>1</v>
      </c>
      <c r="E21" s="1">
        <v>0</v>
      </c>
      <c r="F21" s="1">
        <v>0</v>
      </c>
      <c r="G21" s="1">
        <v>0</v>
      </c>
      <c r="H21" s="1">
        <v>0</v>
      </c>
      <c r="I21" s="1">
        <v>0</v>
      </c>
      <c r="J21" s="1">
        <v>0</v>
      </c>
      <c r="K21" s="1">
        <v>0</v>
      </c>
      <c r="L21" s="1">
        <v>0</v>
      </c>
      <c r="M21" s="1">
        <v>0</v>
      </c>
      <c r="N21" s="1">
        <v>0</v>
      </c>
      <c r="O21" s="1">
        <v>0</v>
      </c>
      <c r="P21" s="1">
        <v>6</v>
      </c>
      <c r="Q21" s="1">
        <v>3</v>
      </c>
      <c r="R21" s="1">
        <v>3</v>
      </c>
      <c r="S21" s="1">
        <v>1</v>
      </c>
      <c r="T21" s="1">
        <v>1</v>
      </c>
      <c r="U21" s="1">
        <v>4</v>
      </c>
      <c r="V21" s="1">
        <v>2</v>
      </c>
      <c r="W21" s="1">
        <v>2</v>
      </c>
      <c r="X21" s="1">
        <v>4</v>
      </c>
      <c r="Y21" s="1">
        <v>4</v>
      </c>
      <c r="Z21" s="1">
        <v>4</v>
      </c>
      <c r="AA21" s="1">
        <v>4</v>
      </c>
      <c r="AC21" s="1">
        <v>2</v>
      </c>
      <c r="AE21" s="1">
        <v>1</v>
      </c>
      <c r="AF21" s="3">
        <v>6500000</v>
      </c>
      <c r="AG21" s="1">
        <v>11</v>
      </c>
      <c r="AR21" s="1" t="s">
        <v>144</v>
      </c>
      <c r="BP21" s="1">
        <v>3</v>
      </c>
      <c r="BQ21" s="1" t="s">
        <v>2909</v>
      </c>
      <c r="BR21" s="1" t="s">
        <v>2910</v>
      </c>
      <c r="BS21" s="1" t="s">
        <v>2911</v>
      </c>
      <c r="BT21" s="1" t="s">
        <v>79</v>
      </c>
      <c r="BU21" s="1">
        <v>4</v>
      </c>
      <c r="BV21" s="1">
        <v>1</v>
      </c>
      <c r="BW21" s="1">
        <v>0</v>
      </c>
      <c r="BX21" s="1">
        <v>0</v>
      </c>
      <c r="BY21" s="1">
        <v>0</v>
      </c>
      <c r="BZ21" s="1">
        <v>1</v>
      </c>
      <c r="CA21" s="1">
        <v>0</v>
      </c>
      <c r="CB21" s="1">
        <v>0</v>
      </c>
      <c r="CC21" s="1">
        <v>0</v>
      </c>
      <c r="CD21" s="1">
        <v>0</v>
      </c>
      <c r="CE21" s="1">
        <v>0</v>
      </c>
      <c r="CF21" s="1">
        <v>0</v>
      </c>
      <c r="CG21" s="1">
        <v>0</v>
      </c>
      <c r="CH21" s="1">
        <v>0</v>
      </c>
      <c r="CI21" s="1">
        <v>0</v>
      </c>
      <c r="CJ21" s="1">
        <v>4</v>
      </c>
      <c r="CK21" s="1">
        <v>4</v>
      </c>
      <c r="CL21" s="1">
        <v>2</v>
      </c>
      <c r="CM21" s="1">
        <v>4</v>
      </c>
      <c r="CN21" s="1">
        <v>4</v>
      </c>
      <c r="CO21" s="1">
        <v>4</v>
      </c>
      <c r="CP21" s="1">
        <v>4</v>
      </c>
      <c r="CU21" s="1">
        <v>1</v>
      </c>
    </row>
    <row r="22" spans="1:99" x14ac:dyDescent="0.35">
      <c r="A22" s="1" t="s">
        <v>2912</v>
      </c>
      <c r="B22" s="1">
        <v>181331022</v>
      </c>
      <c r="C22" s="1">
        <v>0</v>
      </c>
      <c r="D22" s="1">
        <v>1</v>
      </c>
      <c r="E22" s="1">
        <v>0</v>
      </c>
      <c r="F22" s="1">
        <v>0</v>
      </c>
      <c r="G22" s="1">
        <v>0</v>
      </c>
      <c r="H22" s="1">
        <v>0</v>
      </c>
      <c r="I22" s="1">
        <v>1</v>
      </c>
      <c r="J22" s="1">
        <v>0</v>
      </c>
      <c r="K22" s="1">
        <v>1</v>
      </c>
      <c r="L22" s="1">
        <v>0</v>
      </c>
      <c r="M22" s="1">
        <v>0</v>
      </c>
      <c r="N22" s="1">
        <v>0</v>
      </c>
      <c r="O22" s="1">
        <v>0</v>
      </c>
      <c r="P22" s="1">
        <v>10</v>
      </c>
      <c r="Q22" s="1">
        <v>5</v>
      </c>
      <c r="R22" s="1">
        <v>3</v>
      </c>
      <c r="S22" s="1">
        <v>1</v>
      </c>
      <c r="T22" s="1">
        <v>1</v>
      </c>
      <c r="U22" s="1">
        <v>4</v>
      </c>
      <c r="V22" s="1">
        <v>3</v>
      </c>
      <c r="W22" s="1">
        <v>3</v>
      </c>
      <c r="X22" s="1">
        <v>3</v>
      </c>
      <c r="Y22" s="1">
        <v>4</v>
      </c>
      <c r="Z22" s="1">
        <v>4</v>
      </c>
      <c r="AA22" s="1">
        <v>4</v>
      </c>
      <c r="AC22" s="1">
        <v>1</v>
      </c>
      <c r="AD22" s="1">
        <v>5</v>
      </c>
      <c r="AF22" s="3">
        <v>4900000</v>
      </c>
      <c r="AG22" s="1">
        <v>13</v>
      </c>
      <c r="AT22" s="1" t="s">
        <v>93</v>
      </c>
      <c r="BP22" s="1">
        <v>3</v>
      </c>
      <c r="BQ22" s="1" t="s">
        <v>2913</v>
      </c>
      <c r="BR22" s="1" t="s">
        <v>78</v>
      </c>
      <c r="BT22" s="1" t="s">
        <v>73</v>
      </c>
      <c r="BU22" s="1">
        <v>4</v>
      </c>
      <c r="BV22" s="1">
        <v>2</v>
      </c>
      <c r="BW22" s="1">
        <v>0</v>
      </c>
      <c r="BX22" s="1">
        <v>0</v>
      </c>
      <c r="BY22" s="1">
        <v>0</v>
      </c>
      <c r="BZ22" s="1">
        <v>1</v>
      </c>
      <c r="CA22" s="1">
        <v>0</v>
      </c>
      <c r="CB22" s="1">
        <v>0</v>
      </c>
      <c r="CC22" s="1">
        <v>1</v>
      </c>
      <c r="CD22" s="1">
        <v>0</v>
      </c>
      <c r="CE22" s="1">
        <v>0</v>
      </c>
      <c r="CF22" s="1">
        <v>1</v>
      </c>
      <c r="CG22" s="1">
        <v>0</v>
      </c>
      <c r="CH22" s="1">
        <v>0</v>
      </c>
      <c r="CI22" s="1">
        <v>0</v>
      </c>
      <c r="CJ22" s="1">
        <v>4</v>
      </c>
      <c r="CK22" s="1">
        <v>3</v>
      </c>
      <c r="CL22" s="1">
        <v>3</v>
      </c>
      <c r="CM22" s="1">
        <v>4</v>
      </c>
      <c r="CN22" s="1">
        <v>4</v>
      </c>
      <c r="CO22" s="1">
        <v>4</v>
      </c>
      <c r="CP22" s="1">
        <v>4</v>
      </c>
      <c r="CU22" s="1">
        <v>1</v>
      </c>
    </row>
    <row r="23" spans="1:99" x14ac:dyDescent="0.35">
      <c r="A23" s="1" t="s">
        <v>2914</v>
      </c>
      <c r="B23" s="1">
        <v>181331023</v>
      </c>
      <c r="C23" s="1">
        <v>0</v>
      </c>
      <c r="D23" s="1">
        <v>1</v>
      </c>
      <c r="E23" s="1">
        <v>1</v>
      </c>
      <c r="F23" s="1">
        <v>0</v>
      </c>
      <c r="G23" s="1">
        <v>0</v>
      </c>
      <c r="H23" s="1">
        <v>1</v>
      </c>
      <c r="I23" s="1">
        <v>0</v>
      </c>
      <c r="J23" s="1">
        <v>0</v>
      </c>
      <c r="K23" s="1">
        <v>0</v>
      </c>
      <c r="L23" s="1">
        <v>0</v>
      </c>
      <c r="M23" s="1">
        <v>1</v>
      </c>
      <c r="N23" s="1">
        <v>0</v>
      </c>
      <c r="O23" s="1">
        <v>0</v>
      </c>
      <c r="P23" s="1">
        <v>6</v>
      </c>
      <c r="Q23" s="1">
        <v>4</v>
      </c>
      <c r="R23" s="1">
        <v>1</v>
      </c>
      <c r="S23" s="1">
        <v>1</v>
      </c>
      <c r="T23" s="1">
        <v>1</v>
      </c>
      <c r="U23" s="1">
        <v>3</v>
      </c>
      <c r="V23" s="1">
        <v>3</v>
      </c>
      <c r="W23" s="1">
        <v>2</v>
      </c>
      <c r="X23" s="1">
        <v>2</v>
      </c>
      <c r="Y23" s="1">
        <v>3</v>
      </c>
      <c r="Z23" s="1">
        <v>3</v>
      </c>
      <c r="AA23" s="1">
        <v>3</v>
      </c>
      <c r="AC23" s="1">
        <v>1</v>
      </c>
      <c r="AD23" s="1">
        <v>4</v>
      </c>
      <c r="AE23" s="1">
        <v>4</v>
      </c>
      <c r="AF23" s="3">
        <v>5700000</v>
      </c>
      <c r="AG23" s="1">
        <v>11</v>
      </c>
      <c r="AR23" s="1" t="s">
        <v>144</v>
      </c>
      <c r="BP23" s="1">
        <v>3</v>
      </c>
      <c r="BQ23" s="1" t="s">
        <v>2915</v>
      </c>
      <c r="BR23" s="1" t="s">
        <v>2916</v>
      </c>
      <c r="BS23" s="1" t="s">
        <v>2917</v>
      </c>
      <c r="BT23" s="1" t="s">
        <v>79</v>
      </c>
      <c r="BU23" s="1">
        <v>4</v>
      </c>
      <c r="BV23" s="1">
        <v>1</v>
      </c>
      <c r="BW23" s="1">
        <v>0</v>
      </c>
      <c r="BX23" s="1">
        <v>0</v>
      </c>
      <c r="BY23" s="1">
        <v>1</v>
      </c>
      <c r="BZ23" s="1">
        <v>0</v>
      </c>
      <c r="CA23" s="1">
        <v>0</v>
      </c>
      <c r="CB23" s="1">
        <v>0</v>
      </c>
      <c r="CC23" s="1">
        <v>0</v>
      </c>
      <c r="CD23" s="1">
        <v>0</v>
      </c>
      <c r="CE23" s="1">
        <v>0</v>
      </c>
      <c r="CF23" s="1">
        <v>0</v>
      </c>
      <c r="CG23" s="1">
        <v>0</v>
      </c>
      <c r="CH23" s="1">
        <v>1</v>
      </c>
      <c r="CI23" s="1">
        <v>0</v>
      </c>
      <c r="CJ23" s="1">
        <v>4</v>
      </c>
      <c r="CK23" s="1">
        <v>3</v>
      </c>
      <c r="CL23" s="1">
        <v>3</v>
      </c>
      <c r="CM23" s="1">
        <v>4</v>
      </c>
      <c r="CN23" s="1">
        <v>3</v>
      </c>
      <c r="CO23" s="1">
        <v>3</v>
      </c>
      <c r="CP23" s="1">
        <v>4</v>
      </c>
      <c r="CU23" s="1">
        <v>1</v>
      </c>
    </row>
    <row r="24" spans="1:99" x14ac:dyDescent="0.35">
      <c r="A24" s="1" t="s">
        <v>2918</v>
      </c>
      <c r="B24" s="1">
        <v>181331024</v>
      </c>
      <c r="C24" s="1">
        <v>0</v>
      </c>
      <c r="D24" s="1">
        <v>0</v>
      </c>
      <c r="E24" s="1">
        <v>0</v>
      </c>
      <c r="F24" s="1">
        <v>0</v>
      </c>
      <c r="G24" s="1">
        <v>0</v>
      </c>
      <c r="H24" s="1">
        <v>0</v>
      </c>
      <c r="I24" s="1">
        <v>0</v>
      </c>
      <c r="J24" s="1">
        <v>0</v>
      </c>
      <c r="K24" s="1">
        <v>1</v>
      </c>
      <c r="L24" s="1">
        <v>0</v>
      </c>
      <c r="M24" s="1">
        <v>0</v>
      </c>
      <c r="N24" s="1">
        <v>0</v>
      </c>
      <c r="O24" s="1">
        <v>0</v>
      </c>
      <c r="P24" s="1">
        <v>7</v>
      </c>
      <c r="Q24" s="1">
        <v>3</v>
      </c>
      <c r="R24" s="1">
        <v>0</v>
      </c>
      <c r="S24" s="1">
        <v>1</v>
      </c>
      <c r="T24" s="1">
        <v>1</v>
      </c>
      <c r="U24" s="1">
        <v>4</v>
      </c>
      <c r="V24" s="1">
        <v>2</v>
      </c>
      <c r="W24" s="1">
        <v>2</v>
      </c>
      <c r="X24" s="1">
        <v>4</v>
      </c>
      <c r="Y24" s="1">
        <v>4</v>
      </c>
      <c r="Z24" s="1">
        <v>4</v>
      </c>
      <c r="AA24" s="1">
        <v>3</v>
      </c>
      <c r="AC24" s="1">
        <v>2</v>
      </c>
      <c r="AE24" s="1">
        <v>4</v>
      </c>
      <c r="AF24" s="3">
        <v>2000000</v>
      </c>
      <c r="AG24" s="1">
        <v>13</v>
      </c>
      <c r="AT24" s="1" t="s">
        <v>93</v>
      </c>
      <c r="BP24" s="1">
        <v>4</v>
      </c>
      <c r="BQ24" s="1" t="s">
        <v>2919</v>
      </c>
      <c r="BR24" s="1" t="s">
        <v>2920</v>
      </c>
      <c r="BS24" s="1" t="s">
        <v>2921</v>
      </c>
      <c r="BT24" s="1" t="s">
        <v>107</v>
      </c>
      <c r="BU24" s="1">
        <v>5</v>
      </c>
      <c r="BV24" s="1">
        <v>2</v>
      </c>
      <c r="BW24" s="1">
        <v>0</v>
      </c>
      <c r="BX24" s="1">
        <v>1</v>
      </c>
      <c r="BY24" s="1">
        <v>0</v>
      </c>
      <c r="BZ24" s="1">
        <v>0</v>
      </c>
      <c r="CA24" s="1">
        <v>0</v>
      </c>
      <c r="CB24" s="1">
        <v>0</v>
      </c>
      <c r="CC24" s="1">
        <v>0</v>
      </c>
      <c r="CD24" s="1">
        <v>0</v>
      </c>
      <c r="CE24" s="1">
        <v>0</v>
      </c>
      <c r="CF24" s="1">
        <v>1</v>
      </c>
      <c r="CG24" s="1">
        <v>0</v>
      </c>
      <c r="CH24" s="1">
        <v>0</v>
      </c>
      <c r="CI24" s="1">
        <v>0</v>
      </c>
      <c r="CJ24" s="1">
        <v>4</v>
      </c>
      <c r="CK24" s="1">
        <v>2</v>
      </c>
      <c r="CL24" s="1">
        <v>2</v>
      </c>
      <c r="CM24" s="1">
        <v>4</v>
      </c>
      <c r="CN24" s="1">
        <v>4</v>
      </c>
      <c r="CO24" s="1">
        <v>4</v>
      </c>
      <c r="CP24" s="1">
        <v>2</v>
      </c>
      <c r="CU24" s="1">
        <v>2</v>
      </c>
    </row>
    <row r="25" spans="1:99" x14ac:dyDescent="0.35">
      <c r="A25" s="1" t="s">
        <v>2922</v>
      </c>
      <c r="B25" s="1">
        <v>181331025</v>
      </c>
      <c r="C25" s="1">
        <v>0</v>
      </c>
      <c r="D25" s="1">
        <v>0</v>
      </c>
      <c r="E25" s="1">
        <v>0</v>
      </c>
      <c r="F25" s="1">
        <v>0</v>
      </c>
      <c r="G25" s="1">
        <v>0</v>
      </c>
      <c r="H25" s="1">
        <v>0</v>
      </c>
      <c r="I25" s="1">
        <v>0</v>
      </c>
      <c r="J25" s="1">
        <v>0</v>
      </c>
      <c r="K25" s="1">
        <v>1</v>
      </c>
      <c r="L25" s="1">
        <v>0</v>
      </c>
      <c r="M25" s="1">
        <v>0</v>
      </c>
      <c r="N25" s="1">
        <v>0</v>
      </c>
      <c r="O25" s="1">
        <v>0</v>
      </c>
      <c r="P25" s="1">
        <v>6</v>
      </c>
      <c r="Q25" s="1">
        <v>3</v>
      </c>
      <c r="R25" s="1">
        <v>1</v>
      </c>
      <c r="S25" s="1">
        <v>1</v>
      </c>
      <c r="T25" s="1">
        <v>1</v>
      </c>
      <c r="U25" s="1">
        <v>4</v>
      </c>
      <c r="V25" s="1">
        <v>3</v>
      </c>
      <c r="W25" s="1">
        <v>2</v>
      </c>
      <c r="X25" s="1">
        <v>3</v>
      </c>
      <c r="Y25" s="1">
        <v>4</v>
      </c>
      <c r="Z25" s="1">
        <v>4</v>
      </c>
      <c r="AA25" s="1">
        <v>4</v>
      </c>
      <c r="AC25" s="1">
        <v>2</v>
      </c>
      <c r="AE25" s="1">
        <v>2</v>
      </c>
      <c r="AF25" s="3">
        <v>6000000</v>
      </c>
      <c r="AG25" s="1">
        <v>12</v>
      </c>
      <c r="AS25" s="1" t="s">
        <v>1021</v>
      </c>
      <c r="BP25" s="1">
        <v>3</v>
      </c>
      <c r="BQ25" s="1" t="s">
        <v>2923</v>
      </c>
      <c r="BR25" s="1" t="s">
        <v>2924</v>
      </c>
      <c r="BS25" s="1" t="s">
        <v>2925</v>
      </c>
      <c r="BT25" s="1" t="s">
        <v>73</v>
      </c>
      <c r="BU25" s="1">
        <v>1</v>
      </c>
      <c r="BV25" s="1">
        <v>1</v>
      </c>
      <c r="BW25" s="1">
        <v>1</v>
      </c>
      <c r="BX25" s="1">
        <v>0</v>
      </c>
      <c r="BY25" s="1">
        <v>1</v>
      </c>
      <c r="BZ25" s="1">
        <v>0</v>
      </c>
      <c r="CA25" s="1">
        <v>0</v>
      </c>
      <c r="CB25" s="1">
        <v>0</v>
      </c>
      <c r="CC25" s="1">
        <v>0</v>
      </c>
      <c r="CD25" s="1">
        <v>1</v>
      </c>
      <c r="CE25" s="1">
        <v>1</v>
      </c>
      <c r="CF25" s="1">
        <v>0</v>
      </c>
      <c r="CG25" s="1">
        <v>0</v>
      </c>
      <c r="CH25" s="1">
        <v>0</v>
      </c>
      <c r="CI25" s="1">
        <v>0</v>
      </c>
      <c r="CJ25" s="1">
        <v>4</v>
      </c>
      <c r="CK25" s="1">
        <v>4</v>
      </c>
      <c r="CL25" s="1">
        <v>4</v>
      </c>
      <c r="CM25" s="1">
        <v>4</v>
      </c>
      <c r="CN25" s="1">
        <v>4</v>
      </c>
      <c r="CO25" s="1">
        <v>4</v>
      </c>
      <c r="CP25" s="1">
        <v>4</v>
      </c>
      <c r="CU25" s="1">
        <v>1</v>
      </c>
    </row>
    <row r="26" spans="1:99" x14ac:dyDescent="0.35">
      <c r="A26" s="1" t="s">
        <v>2926</v>
      </c>
      <c r="B26" s="1">
        <v>181331027</v>
      </c>
      <c r="C26" s="1">
        <v>0</v>
      </c>
      <c r="D26" s="1">
        <v>1</v>
      </c>
      <c r="E26" s="1">
        <v>0</v>
      </c>
      <c r="F26" s="1">
        <v>0</v>
      </c>
      <c r="G26" s="1">
        <v>0</v>
      </c>
      <c r="H26" s="1">
        <v>0</v>
      </c>
      <c r="I26" s="1">
        <v>0</v>
      </c>
      <c r="J26" s="1">
        <v>0</v>
      </c>
      <c r="K26" s="1">
        <v>1</v>
      </c>
      <c r="L26" s="1">
        <v>0</v>
      </c>
      <c r="M26" s="1">
        <v>0</v>
      </c>
      <c r="N26" s="1">
        <v>0</v>
      </c>
      <c r="O26" s="1">
        <v>0</v>
      </c>
      <c r="P26" s="1">
        <v>10</v>
      </c>
      <c r="Q26" s="1">
        <v>2</v>
      </c>
      <c r="R26" s="1">
        <v>0</v>
      </c>
      <c r="S26" s="1">
        <v>5</v>
      </c>
      <c r="T26" s="1">
        <v>1</v>
      </c>
      <c r="U26" s="1">
        <v>4</v>
      </c>
      <c r="V26" s="1">
        <v>3</v>
      </c>
      <c r="W26" s="1">
        <v>3</v>
      </c>
      <c r="X26" s="1">
        <v>4</v>
      </c>
      <c r="Y26" s="1">
        <v>4</v>
      </c>
      <c r="Z26" s="1">
        <v>4</v>
      </c>
      <c r="AA26" s="1">
        <v>4</v>
      </c>
      <c r="CU26" s="1">
        <v>4</v>
      </c>
    </row>
    <row r="27" spans="1:99" x14ac:dyDescent="0.35">
      <c r="A27" s="1" t="s">
        <v>2927</v>
      </c>
      <c r="B27" s="1">
        <v>181331028</v>
      </c>
      <c r="C27" s="1">
        <v>0</v>
      </c>
      <c r="D27" s="1">
        <v>1</v>
      </c>
      <c r="E27" s="1">
        <v>1</v>
      </c>
      <c r="F27" s="1">
        <v>0</v>
      </c>
      <c r="G27" s="1">
        <v>0</v>
      </c>
      <c r="H27" s="1">
        <v>1</v>
      </c>
      <c r="I27" s="1">
        <v>1</v>
      </c>
      <c r="J27" s="1">
        <v>1</v>
      </c>
      <c r="K27" s="1">
        <v>1</v>
      </c>
      <c r="L27" s="1">
        <v>0</v>
      </c>
      <c r="M27" s="1">
        <v>0</v>
      </c>
      <c r="N27" s="1">
        <v>0</v>
      </c>
      <c r="O27" s="1">
        <v>0</v>
      </c>
      <c r="P27" s="1">
        <v>30</v>
      </c>
      <c r="Q27" s="1">
        <v>10</v>
      </c>
      <c r="R27" s="1">
        <v>6</v>
      </c>
      <c r="S27" s="1">
        <v>1</v>
      </c>
      <c r="T27" s="1">
        <v>1</v>
      </c>
      <c r="U27" s="1">
        <v>3</v>
      </c>
      <c r="V27" s="1">
        <v>4</v>
      </c>
      <c r="W27" s="1">
        <v>3</v>
      </c>
      <c r="X27" s="1">
        <v>4</v>
      </c>
      <c r="Y27" s="1">
        <v>3</v>
      </c>
      <c r="Z27" s="1">
        <v>3</v>
      </c>
      <c r="AA27" s="1">
        <v>4</v>
      </c>
      <c r="AC27" s="1">
        <v>1</v>
      </c>
      <c r="AD27" s="1">
        <v>0</v>
      </c>
      <c r="AF27" s="3">
        <v>8000000</v>
      </c>
      <c r="AG27" s="1">
        <v>11</v>
      </c>
      <c r="AR27" s="1" t="s">
        <v>144</v>
      </c>
      <c r="BP27" s="1">
        <v>3</v>
      </c>
      <c r="BQ27" s="1" t="s">
        <v>2928</v>
      </c>
      <c r="BR27" s="1" t="s">
        <v>2929</v>
      </c>
      <c r="BT27" s="1" t="s">
        <v>79</v>
      </c>
      <c r="BU27" s="1">
        <v>2</v>
      </c>
      <c r="BV27" s="1">
        <v>1</v>
      </c>
      <c r="BW27" s="1">
        <v>0</v>
      </c>
      <c r="BX27" s="1">
        <v>0</v>
      </c>
      <c r="BY27" s="1">
        <v>1</v>
      </c>
      <c r="BZ27" s="1">
        <v>0</v>
      </c>
      <c r="CA27" s="1">
        <v>0</v>
      </c>
      <c r="CB27" s="1">
        <v>0</v>
      </c>
      <c r="CC27" s="1">
        <v>1</v>
      </c>
      <c r="CD27" s="1">
        <v>0</v>
      </c>
      <c r="CE27" s="1">
        <v>0</v>
      </c>
      <c r="CF27" s="1">
        <v>0</v>
      </c>
      <c r="CG27" s="1">
        <v>1</v>
      </c>
      <c r="CH27" s="1">
        <v>0</v>
      </c>
      <c r="CI27" s="1">
        <v>0</v>
      </c>
      <c r="CJ27" s="1">
        <v>4</v>
      </c>
      <c r="CK27" s="1">
        <v>4</v>
      </c>
      <c r="CL27" s="1">
        <v>3</v>
      </c>
      <c r="CM27" s="1">
        <v>4</v>
      </c>
      <c r="CN27" s="1">
        <v>4</v>
      </c>
      <c r="CO27" s="1">
        <v>4</v>
      </c>
      <c r="CP27" s="1">
        <v>4</v>
      </c>
      <c r="CU27" s="1">
        <v>1</v>
      </c>
    </row>
    <row r="28" spans="1:99" x14ac:dyDescent="0.35">
      <c r="A28" s="1" t="s">
        <v>2930</v>
      </c>
      <c r="B28" s="1">
        <v>181331029</v>
      </c>
      <c r="C28" s="1">
        <v>0</v>
      </c>
      <c r="D28" s="1">
        <v>1</v>
      </c>
      <c r="E28" s="1">
        <v>0</v>
      </c>
      <c r="F28" s="1">
        <v>0</v>
      </c>
      <c r="G28" s="1">
        <v>0</v>
      </c>
      <c r="H28" s="1">
        <v>0</v>
      </c>
      <c r="I28" s="1">
        <v>0</v>
      </c>
      <c r="J28" s="1">
        <v>0</v>
      </c>
      <c r="K28" s="1">
        <v>1</v>
      </c>
      <c r="L28" s="1">
        <v>0</v>
      </c>
      <c r="M28" s="1">
        <v>0</v>
      </c>
      <c r="N28" s="1">
        <v>0</v>
      </c>
      <c r="O28" s="1">
        <v>0</v>
      </c>
      <c r="P28" s="1">
        <v>50</v>
      </c>
      <c r="Q28" s="1">
        <v>20</v>
      </c>
      <c r="R28" s="1">
        <v>20</v>
      </c>
      <c r="S28" s="1">
        <v>1</v>
      </c>
      <c r="T28" s="1">
        <v>1</v>
      </c>
      <c r="U28" s="1">
        <v>4</v>
      </c>
      <c r="V28" s="1">
        <v>3</v>
      </c>
      <c r="W28" s="1">
        <v>2</v>
      </c>
      <c r="X28" s="1">
        <v>3</v>
      </c>
      <c r="Y28" s="1">
        <v>4</v>
      </c>
      <c r="Z28" s="1">
        <v>3</v>
      </c>
      <c r="AA28" s="1">
        <v>3</v>
      </c>
      <c r="AC28" s="1">
        <v>2</v>
      </c>
      <c r="AE28" s="1">
        <v>2</v>
      </c>
      <c r="AF28" s="3">
        <v>6000000</v>
      </c>
      <c r="AG28" s="1">
        <v>11</v>
      </c>
      <c r="AR28" s="1" t="s">
        <v>130</v>
      </c>
      <c r="BP28" s="1">
        <v>3</v>
      </c>
      <c r="BQ28" s="1" t="s">
        <v>2931</v>
      </c>
      <c r="BR28" s="1" t="s">
        <v>2932</v>
      </c>
      <c r="BS28" s="1" t="s">
        <v>2933</v>
      </c>
      <c r="BT28" s="1" t="s">
        <v>79</v>
      </c>
      <c r="BU28" s="1">
        <v>3</v>
      </c>
      <c r="BV28" s="1">
        <v>1</v>
      </c>
      <c r="BW28" s="1">
        <v>0</v>
      </c>
      <c r="BX28" s="1">
        <v>0</v>
      </c>
      <c r="BY28" s="1">
        <v>1</v>
      </c>
      <c r="BZ28" s="1">
        <v>0</v>
      </c>
      <c r="CA28" s="1">
        <v>0</v>
      </c>
      <c r="CB28" s="1">
        <v>0</v>
      </c>
      <c r="CC28" s="1">
        <v>0</v>
      </c>
      <c r="CD28" s="1">
        <v>0</v>
      </c>
      <c r="CE28" s="1">
        <v>0</v>
      </c>
      <c r="CF28" s="1">
        <v>0</v>
      </c>
      <c r="CG28" s="1">
        <v>0</v>
      </c>
      <c r="CH28" s="1">
        <v>0</v>
      </c>
      <c r="CI28" s="1">
        <v>0</v>
      </c>
      <c r="CJ28" s="1">
        <v>4</v>
      </c>
      <c r="CK28" s="1">
        <v>4</v>
      </c>
      <c r="CL28" s="1">
        <v>4</v>
      </c>
      <c r="CM28" s="1">
        <v>4</v>
      </c>
      <c r="CN28" s="1">
        <v>4</v>
      </c>
      <c r="CO28" s="1">
        <v>4</v>
      </c>
      <c r="CP28" s="1">
        <v>4</v>
      </c>
      <c r="CU28" s="1">
        <v>1</v>
      </c>
    </row>
    <row r="29" spans="1:99" x14ac:dyDescent="0.35">
      <c r="A29" s="1" t="s">
        <v>2934</v>
      </c>
      <c r="B29" s="1">
        <v>181331030</v>
      </c>
      <c r="C29" s="1">
        <v>0</v>
      </c>
      <c r="D29" s="1">
        <v>1</v>
      </c>
      <c r="E29" s="1">
        <v>0</v>
      </c>
      <c r="F29" s="1">
        <v>0</v>
      </c>
      <c r="G29" s="1">
        <v>0</v>
      </c>
      <c r="H29" s="1">
        <v>0</v>
      </c>
      <c r="I29" s="1">
        <v>0</v>
      </c>
      <c r="J29" s="1">
        <v>0</v>
      </c>
      <c r="K29" s="1">
        <v>0</v>
      </c>
      <c r="L29" s="1">
        <v>0</v>
      </c>
      <c r="M29" s="1">
        <v>0</v>
      </c>
      <c r="N29" s="1">
        <v>0</v>
      </c>
      <c r="O29" s="1">
        <v>0</v>
      </c>
      <c r="P29" s="1">
        <v>50</v>
      </c>
      <c r="Q29" s="1">
        <v>15</v>
      </c>
      <c r="R29" s="1">
        <v>10</v>
      </c>
      <c r="S29" s="1">
        <v>1</v>
      </c>
      <c r="T29" s="1">
        <v>1</v>
      </c>
      <c r="U29" s="1">
        <v>4</v>
      </c>
      <c r="V29" s="1">
        <v>4</v>
      </c>
      <c r="W29" s="1">
        <v>3</v>
      </c>
      <c r="X29" s="1">
        <v>4</v>
      </c>
      <c r="Y29" s="1">
        <v>4</v>
      </c>
      <c r="Z29" s="1">
        <v>4</v>
      </c>
      <c r="AA29" s="1">
        <v>4</v>
      </c>
      <c r="AC29" s="1">
        <v>2</v>
      </c>
      <c r="AE29" s="1">
        <v>2</v>
      </c>
      <c r="AF29" s="3">
        <v>600000</v>
      </c>
      <c r="AG29" s="1">
        <v>11</v>
      </c>
      <c r="AR29" s="1" t="s">
        <v>118</v>
      </c>
      <c r="BP29" s="1">
        <v>3</v>
      </c>
      <c r="BQ29" s="1" t="s">
        <v>2935</v>
      </c>
      <c r="BR29" s="1" t="s">
        <v>2936</v>
      </c>
      <c r="BS29" s="1" t="s">
        <v>2937</v>
      </c>
      <c r="BT29" s="1" t="s">
        <v>73</v>
      </c>
      <c r="BU29" s="1">
        <v>2</v>
      </c>
      <c r="BV29" s="1">
        <v>2</v>
      </c>
      <c r="BW29" s="1">
        <v>1</v>
      </c>
      <c r="BX29" s="1">
        <v>0</v>
      </c>
      <c r="BY29" s="1">
        <v>0</v>
      </c>
      <c r="BZ29" s="1">
        <v>0</v>
      </c>
      <c r="CA29" s="1">
        <v>0</v>
      </c>
      <c r="CB29" s="1">
        <v>0</v>
      </c>
      <c r="CC29" s="1">
        <v>0</v>
      </c>
      <c r="CD29" s="1">
        <v>0</v>
      </c>
      <c r="CE29" s="1">
        <v>0</v>
      </c>
      <c r="CF29" s="1">
        <v>0</v>
      </c>
      <c r="CG29" s="1">
        <v>0</v>
      </c>
      <c r="CH29" s="1">
        <v>0</v>
      </c>
      <c r="CI29" s="1">
        <v>0</v>
      </c>
      <c r="CJ29" s="1">
        <v>4</v>
      </c>
      <c r="CK29" s="1">
        <v>4</v>
      </c>
      <c r="CL29" s="1">
        <v>4</v>
      </c>
      <c r="CM29" s="1">
        <v>4</v>
      </c>
      <c r="CN29" s="1">
        <v>4</v>
      </c>
      <c r="CO29" s="1">
        <v>4</v>
      </c>
      <c r="CP29" s="1">
        <v>4</v>
      </c>
      <c r="CU29" s="1">
        <v>4</v>
      </c>
    </row>
    <row r="30" spans="1:99" x14ac:dyDescent="0.35">
      <c r="A30" s="1" t="s">
        <v>2938</v>
      </c>
      <c r="B30" s="1">
        <v>181331031</v>
      </c>
      <c r="C30" s="1">
        <v>0</v>
      </c>
      <c r="D30" s="1">
        <v>1</v>
      </c>
      <c r="E30" s="1">
        <v>0</v>
      </c>
      <c r="F30" s="1">
        <v>0</v>
      </c>
      <c r="G30" s="1">
        <v>0</v>
      </c>
      <c r="H30" s="1">
        <v>0</v>
      </c>
      <c r="I30" s="1">
        <v>0</v>
      </c>
      <c r="J30" s="1">
        <v>0</v>
      </c>
      <c r="K30" s="1">
        <v>0</v>
      </c>
      <c r="L30" s="1">
        <v>0</v>
      </c>
      <c r="M30" s="1">
        <v>0</v>
      </c>
      <c r="N30" s="1">
        <v>0</v>
      </c>
      <c r="O30" s="1">
        <v>0</v>
      </c>
      <c r="P30" s="1" t="s">
        <v>78</v>
      </c>
      <c r="Q30" s="1">
        <v>5</v>
      </c>
      <c r="R30" s="1">
        <v>5</v>
      </c>
      <c r="S30" s="1">
        <v>1</v>
      </c>
      <c r="T30" s="1">
        <v>1</v>
      </c>
      <c r="U30" s="1">
        <v>4</v>
      </c>
      <c r="V30" s="1">
        <v>3</v>
      </c>
      <c r="W30" s="1">
        <v>3</v>
      </c>
      <c r="X30" s="1">
        <v>4</v>
      </c>
      <c r="Y30" s="1">
        <v>3</v>
      </c>
      <c r="Z30" s="1">
        <v>3</v>
      </c>
      <c r="AA30" s="1">
        <v>4</v>
      </c>
      <c r="AC30" s="1">
        <v>1</v>
      </c>
      <c r="AD30" s="1">
        <v>1</v>
      </c>
      <c r="AE30" s="1">
        <v>1</v>
      </c>
      <c r="AF30" s="3">
        <v>5900000</v>
      </c>
      <c r="AG30" s="1">
        <v>11</v>
      </c>
      <c r="AR30" s="1" t="s">
        <v>130</v>
      </c>
      <c r="BP30" s="1" t="s">
        <v>2939</v>
      </c>
      <c r="BQ30" s="1" t="s">
        <v>2940</v>
      </c>
      <c r="BR30" s="1" t="s">
        <v>2941</v>
      </c>
      <c r="BT30" s="1" t="s">
        <v>73</v>
      </c>
      <c r="BU30" s="1">
        <v>2</v>
      </c>
      <c r="BV30" s="1">
        <v>1</v>
      </c>
      <c r="BW30" s="1">
        <v>0</v>
      </c>
      <c r="BX30" s="1">
        <v>0</v>
      </c>
      <c r="BY30" s="1">
        <v>1</v>
      </c>
      <c r="BZ30" s="1">
        <v>0</v>
      </c>
      <c r="CA30" s="1">
        <v>0</v>
      </c>
      <c r="CB30" s="1">
        <v>0</v>
      </c>
      <c r="CC30" s="1">
        <v>0</v>
      </c>
      <c r="CD30" s="1">
        <v>1</v>
      </c>
      <c r="CE30" s="1">
        <v>0</v>
      </c>
      <c r="CF30" s="1">
        <v>0</v>
      </c>
      <c r="CG30" s="1">
        <v>0</v>
      </c>
      <c r="CH30" s="1">
        <v>0</v>
      </c>
      <c r="CI30" s="1">
        <v>0</v>
      </c>
      <c r="CJ30" s="1">
        <v>4</v>
      </c>
      <c r="CK30" s="1">
        <v>3</v>
      </c>
      <c r="CL30" s="1">
        <v>3</v>
      </c>
      <c r="CM30" s="1">
        <v>4</v>
      </c>
      <c r="CN30" s="1">
        <v>4</v>
      </c>
      <c r="CO30" s="1">
        <v>4</v>
      </c>
      <c r="CP30" s="1">
        <v>4</v>
      </c>
      <c r="CU30" s="1">
        <v>1</v>
      </c>
    </row>
    <row r="31" spans="1:99" x14ac:dyDescent="0.35">
      <c r="A31" s="1" t="s">
        <v>2942</v>
      </c>
      <c r="B31" s="1">
        <v>181331033</v>
      </c>
      <c r="C31" s="1">
        <v>0</v>
      </c>
      <c r="D31" s="1">
        <v>1</v>
      </c>
      <c r="E31" s="1">
        <v>0</v>
      </c>
      <c r="F31" s="1">
        <v>0</v>
      </c>
      <c r="G31" s="1">
        <v>0</v>
      </c>
      <c r="H31" s="1">
        <v>0</v>
      </c>
      <c r="I31" s="1">
        <v>0</v>
      </c>
      <c r="J31" s="1">
        <v>0</v>
      </c>
      <c r="K31" s="1">
        <v>0</v>
      </c>
      <c r="L31" s="1">
        <v>0</v>
      </c>
      <c r="M31" s="1">
        <v>0</v>
      </c>
      <c r="N31" s="1">
        <v>0</v>
      </c>
      <c r="O31" s="1">
        <v>0</v>
      </c>
      <c r="P31" s="1" t="s">
        <v>289</v>
      </c>
      <c r="Q31" s="1" t="s">
        <v>186</v>
      </c>
      <c r="R31" s="1" t="s">
        <v>186</v>
      </c>
      <c r="S31" s="1">
        <v>1</v>
      </c>
      <c r="T31" s="1">
        <v>1</v>
      </c>
      <c r="U31" s="1">
        <v>3</v>
      </c>
      <c r="V31" s="1">
        <v>2</v>
      </c>
      <c r="W31" s="1">
        <v>3</v>
      </c>
      <c r="X31" s="1">
        <v>4</v>
      </c>
      <c r="Y31" s="1">
        <v>3</v>
      </c>
      <c r="Z31" s="1">
        <v>3</v>
      </c>
      <c r="AA31" s="1">
        <v>3</v>
      </c>
      <c r="AC31" s="1">
        <v>1</v>
      </c>
      <c r="AD31" s="1">
        <v>2</v>
      </c>
      <c r="AE31" s="1">
        <v>2</v>
      </c>
      <c r="AF31" s="3">
        <v>8200000</v>
      </c>
      <c r="AG31" s="1">
        <v>11</v>
      </c>
      <c r="AR31" s="1" t="s">
        <v>118</v>
      </c>
      <c r="BP31" s="1">
        <v>3</v>
      </c>
      <c r="BQ31" s="1" t="s">
        <v>2943</v>
      </c>
      <c r="BR31" s="1" t="s">
        <v>2944</v>
      </c>
      <c r="BS31" s="1" t="s">
        <v>2945</v>
      </c>
      <c r="BT31" s="1" t="s">
        <v>107</v>
      </c>
      <c r="BU31" s="1">
        <v>3</v>
      </c>
      <c r="BV31" s="1">
        <v>2</v>
      </c>
      <c r="BW31" s="1">
        <v>0</v>
      </c>
      <c r="BX31" s="1">
        <v>0</v>
      </c>
      <c r="BY31" s="1">
        <v>1</v>
      </c>
      <c r="BZ31" s="1">
        <v>0</v>
      </c>
      <c r="CA31" s="1">
        <v>0</v>
      </c>
      <c r="CB31" s="1">
        <v>0</v>
      </c>
      <c r="CC31" s="1">
        <v>0</v>
      </c>
      <c r="CD31" s="1">
        <v>1</v>
      </c>
      <c r="CE31" s="1">
        <v>0</v>
      </c>
      <c r="CF31" s="1">
        <v>0</v>
      </c>
      <c r="CG31" s="1">
        <v>0</v>
      </c>
      <c r="CH31" s="1">
        <v>0</v>
      </c>
      <c r="CI31" s="1">
        <v>0</v>
      </c>
      <c r="CJ31" s="1">
        <v>3</v>
      </c>
      <c r="CK31" s="1">
        <v>3</v>
      </c>
      <c r="CL31" s="1">
        <v>3</v>
      </c>
      <c r="CM31" s="1">
        <v>3</v>
      </c>
      <c r="CN31" s="1">
        <v>3</v>
      </c>
      <c r="CO31" s="1">
        <v>3</v>
      </c>
      <c r="CP31" s="1">
        <v>3</v>
      </c>
      <c r="CU31" s="1">
        <v>1</v>
      </c>
    </row>
    <row r="32" spans="1:99" x14ac:dyDescent="0.35">
      <c r="A32" s="1" t="s">
        <v>2946</v>
      </c>
      <c r="B32" s="1">
        <v>181331034</v>
      </c>
      <c r="C32" s="1">
        <v>0</v>
      </c>
      <c r="D32" s="1">
        <v>1</v>
      </c>
      <c r="E32" s="1">
        <v>0</v>
      </c>
      <c r="F32" s="1">
        <v>0</v>
      </c>
      <c r="G32" s="1">
        <v>0</v>
      </c>
      <c r="H32" s="1">
        <v>0</v>
      </c>
      <c r="I32" s="1">
        <v>0</v>
      </c>
      <c r="J32" s="1">
        <v>0</v>
      </c>
      <c r="K32" s="1">
        <v>0</v>
      </c>
      <c r="L32" s="1">
        <v>0</v>
      </c>
      <c r="M32" s="1">
        <v>0</v>
      </c>
      <c r="N32" s="1">
        <v>0</v>
      </c>
      <c r="O32" s="1">
        <v>0</v>
      </c>
      <c r="P32" s="1">
        <v>20</v>
      </c>
      <c r="Q32" s="1">
        <v>18</v>
      </c>
      <c r="R32" s="1">
        <v>5</v>
      </c>
      <c r="S32" s="1">
        <v>1</v>
      </c>
      <c r="T32" s="1">
        <v>1</v>
      </c>
      <c r="U32" s="1">
        <v>4</v>
      </c>
      <c r="V32" s="1">
        <v>4</v>
      </c>
      <c r="W32" s="1">
        <v>3</v>
      </c>
      <c r="X32" s="1">
        <v>4</v>
      </c>
      <c r="Y32" s="1">
        <v>4</v>
      </c>
      <c r="Z32" s="1">
        <v>4</v>
      </c>
      <c r="AA32" s="1">
        <v>4</v>
      </c>
      <c r="AC32" s="1">
        <v>2</v>
      </c>
      <c r="AE32" s="1">
        <v>1</v>
      </c>
      <c r="AF32" s="3">
        <v>3800000</v>
      </c>
      <c r="AG32" s="1">
        <v>11</v>
      </c>
      <c r="AR32" s="1" t="s">
        <v>130</v>
      </c>
      <c r="BP32" s="1">
        <v>3</v>
      </c>
      <c r="BQ32" s="1" t="s">
        <v>2947</v>
      </c>
      <c r="BR32" s="1" t="s">
        <v>2948</v>
      </c>
      <c r="BS32" s="1" t="s">
        <v>2949</v>
      </c>
      <c r="BT32" s="1" t="s">
        <v>79</v>
      </c>
      <c r="BU32" s="1">
        <v>1</v>
      </c>
      <c r="BV32" s="1">
        <v>2</v>
      </c>
      <c r="BW32" s="1">
        <v>1</v>
      </c>
      <c r="BX32" s="1">
        <v>0</v>
      </c>
      <c r="BY32" s="1">
        <v>0</v>
      </c>
      <c r="BZ32" s="1">
        <v>0</v>
      </c>
      <c r="CA32" s="1">
        <v>0</v>
      </c>
      <c r="CB32" s="1">
        <v>0</v>
      </c>
      <c r="CC32" s="1">
        <v>0</v>
      </c>
      <c r="CD32" s="1">
        <v>0</v>
      </c>
      <c r="CE32" s="1">
        <v>0</v>
      </c>
      <c r="CF32" s="1">
        <v>0</v>
      </c>
      <c r="CG32" s="1">
        <v>0</v>
      </c>
      <c r="CH32" s="1">
        <v>0</v>
      </c>
      <c r="CI32" s="1">
        <v>0</v>
      </c>
      <c r="CJ32" s="1">
        <v>4</v>
      </c>
      <c r="CK32" s="1">
        <v>4</v>
      </c>
      <c r="CL32" s="1">
        <v>4</v>
      </c>
      <c r="CM32" s="1">
        <v>4</v>
      </c>
      <c r="CN32" s="1">
        <v>4</v>
      </c>
      <c r="CO32" s="1">
        <v>4</v>
      </c>
      <c r="CP32" s="1">
        <v>4</v>
      </c>
      <c r="CU32" s="1">
        <v>3</v>
      </c>
    </row>
    <row r="33" spans="1:99" x14ac:dyDescent="0.35">
      <c r="A33" s="1" t="s">
        <v>2950</v>
      </c>
      <c r="B33" s="1">
        <v>181331035</v>
      </c>
      <c r="C33" s="1">
        <v>0</v>
      </c>
      <c r="D33" s="1">
        <v>1</v>
      </c>
      <c r="E33" s="1">
        <v>0</v>
      </c>
      <c r="F33" s="1">
        <v>0</v>
      </c>
      <c r="G33" s="1">
        <v>0</v>
      </c>
      <c r="H33" s="1">
        <v>0</v>
      </c>
      <c r="I33" s="1">
        <v>0</v>
      </c>
      <c r="J33" s="1">
        <v>1</v>
      </c>
      <c r="K33" s="1">
        <v>1</v>
      </c>
      <c r="L33" s="1">
        <v>0</v>
      </c>
      <c r="M33" s="1">
        <v>0</v>
      </c>
      <c r="N33" s="1">
        <v>0</v>
      </c>
      <c r="O33" s="1">
        <v>0</v>
      </c>
      <c r="P33" s="1" t="s">
        <v>2234</v>
      </c>
      <c r="Q33" s="1" t="s">
        <v>2951</v>
      </c>
      <c r="R33" s="1" t="s">
        <v>2951</v>
      </c>
      <c r="S33" s="1">
        <v>1</v>
      </c>
      <c r="T33" s="1">
        <v>1</v>
      </c>
      <c r="U33" s="1">
        <v>4</v>
      </c>
      <c r="V33" s="1">
        <v>4</v>
      </c>
      <c r="W33" s="1">
        <v>3</v>
      </c>
      <c r="X33" s="1">
        <v>4</v>
      </c>
      <c r="Y33" s="1">
        <v>4</v>
      </c>
      <c r="Z33" s="1">
        <v>4</v>
      </c>
      <c r="AA33" s="1">
        <v>4</v>
      </c>
      <c r="AC33" s="1">
        <v>1</v>
      </c>
      <c r="AD33" s="1">
        <v>2</v>
      </c>
      <c r="AF33" s="3">
        <v>4000000</v>
      </c>
      <c r="AG33" s="1">
        <v>13</v>
      </c>
      <c r="AT33" s="1" t="s">
        <v>109</v>
      </c>
      <c r="BP33" s="1">
        <v>3</v>
      </c>
      <c r="BQ33" s="1" t="s">
        <v>2952</v>
      </c>
      <c r="BR33" s="1" t="s">
        <v>2953</v>
      </c>
      <c r="BS33" s="1" t="s">
        <v>2954</v>
      </c>
      <c r="BT33" s="1" t="s">
        <v>107</v>
      </c>
      <c r="BU33" s="1">
        <v>5</v>
      </c>
      <c r="BV33" s="1">
        <v>3</v>
      </c>
      <c r="BW33" s="1">
        <v>0</v>
      </c>
      <c r="BX33" s="1">
        <v>1</v>
      </c>
      <c r="BY33" s="1">
        <v>1</v>
      </c>
      <c r="BZ33" s="1">
        <v>0</v>
      </c>
      <c r="CA33" s="1">
        <v>0</v>
      </c>
      <c r="CB33" s="1">
        <v>0</v>
      </c>
      <c r="CC33" s="1">
        <v>0</v>
      </c>
      <c r="CD33" s="1">
        <v>0</v>
      </c>
      <c r="CE33" s="1">
        <v>0</v>
      </c>
      <c r="CF33" s="1">
        <v>1</v>
      </c>
      <c r="CG33" s="1">
        <v>1</v>
      </c>
      <c r="CH33" s="1">
        <v>0</v>
      </c>
      <c r="CI33" s="1">
        <v>0</v>
      </c>
      <c r="CJ33" s="1">
        <v>4</v>
      </c>
      <c r="CK33" s="1">
        <v>3</v>
      </c>
      <c r="CL33" s="1">
        <v>3</v>
      </c>
      <c r="CM33" s="1">
        <v>3</v>
      </c>
      <c r="CN33" s="1">
        <v>4</v>
      </c>
      <c r="CO33" s="1">
        <v>4</v>
      </c>
      <c r="CP33" s="1">
        <v>4</v>
      </c>
      <c r="CU33" s="1">
        <v>4</v>
      </c>
    </row>
    <row r="34" spans="1:99" x14ac:dyDescent="0.35">
      <c r="A34" s="1" t="s">
        <v>2955</v>
      </c>
      <c r="B34" s="1">
        <v>181331036</v>
      </c>
      <c r="C34" s="1">
        <v>0</v>
      </c>
      <c r="D34" s="1">
        <v>1</v>
      </c>
      <c r="E34" s="1">
        <v>1</v>
      </c>
      <c r="F34" s="1">
        <v>0</v>
      </c>
      <c r="G34" s="1">
        <v>0</v>
      </c>
      <c r="H34" s="1">
        <v>0</v>
      </c>
      <c r="I34" s="1">
        <v>0</v>
      </c>
      <c r="J34" s="1">
        <v>1</v>
      </c>
      <c r="K34" s="1">
        <v>1</v>
      </c>
      <c r="L34" s="1">
        <v>0</v>
      </c>
      <c r="M34" s="1">
        <v>0</v>
      </c>
      <c r="N34" s="1">
        <v>0</v>
      </c>
      <c r="O34" s="1">
        <v>0</v>
      </c>
      <c r="P34" s="1">
        <v>3</v>
      </c>
      <c r="Q34" s="1">
        <v>2</v>
      </c>
      <c r="R34" s="1" t="s">
        <v>78</v>
      </c>
      <c r="S34" s="1">
        <v>1</v>
      </c>
      <c r="T34" s="1">
        <v>1</v>
      </c>
      <c r="U34" s="1">
        <v>3</v>
      </c>
      <c r="V34" s="1">
        <v>3</v>
      </c>
      <c r="W34" s="1">
        <v>3</v>
      </c>
      <c r="X34" s="1">
        <v>3</v>
      </c>
      <c r="Y34" s="1">
        <v>2</v>
      </c>
      <c r="Z34" s="1">
        <v>3</v>
      </c>
      <c r="AA34" s="1">
        <v>3</v>
      </c>
      <c r="AC34" s="1">
        <v>1</v>
      </c>
      <c r="AD34" s="1">
        <v>1</v>
      </c>
      <c r="AF34" s="1">
        <v>0</v>
      </c>
      <c r="AG34" s="1">
        <v>13</v>
      </c>
      <c r="AT34" s="1" t="s">
        <v>209</v>
      </c>
      <c r="BP34" s="1">
        <v>3</v>
      </c>
      <c r="BQ34" s="1" t="s">
        <v>2956</v>
      </c>
      <c r="BR34" s="1" t="s">
        <v>2957</v>
      </c>
      <c r="BT34" s="1" t="s">
        <v>79</v>
      </c>
      <c r="BU34" s="1">
        <v>4</v>
      </c>
      <c r="BV34" s="1">
        <v>2</v>
      </c>
      <c r="BW34" s="1">
        <v>0</v>
      </c>
      <c r="BX34" s="1">
        <v>0</v>
      </c>
      <c r="BY34" s="1">
        <v>1</v>
      </c>
      <c r="BZ34" s="1">
        <v>0</v>
      </c>
      <c r="CA34" s="1">
        <v>0</v>
      </c>
      <c r="CB34" s="1">
        <v>0</v>
      </c>
      <c r="CC34" s="1">
        <v>0</v>
      </c>
      <c r="CD34" s="1">
        <v>1</v>
      </c>
      <c r="CE34" s="1">
        <v>0</v>
      </c>
      <c r="CF34" s="1">
        <v>0</v>
      </c>
      <c r="CG34" s="1">
        <v>0</v>
      </c>
      <c r="CH34" s="1">
        <v>0</v>
      </c>
      <c r="CI34" s="1">
        <v>0</v>
      </c>
      <c r="CJ34" s="1">
        <v>3</v>
      </c>
      <c r="CK34" s="1">
        <v>3</v>
      </c>
      <c r="CL34" s="1">
        <v>3</v>
      </c>
      <c r="CM34" s="1">
        <v>3</v>
      </c>
      <c r="CN34" s="1">
        <v>3</v>
      </c>
      <c r="CO34" s="1">
        <v>3</v>
      </c>
      <c r="CP34" s="1">
        <v>3</v>
      </c>
      <c r="CU34" s="1">
        <v>1</v>
      </c>
    </row>
    <row r="35" spans="1:99" x14ac:dyDescent="0.35">
      <c r="A35" s="1" t="s">
        <v>2958</v>
      </c>
      <c r="B35" s="1">
        <v>181331038</v>
      </c>
      <c r="C35" s="1">
        <v>0</v>
      </c>
      <c r="D35" s="1">
        <v>0</v>
      </c>
      <c r="E35" s="1">
        <v>0</v>
      </c>
      <c r="F35" s="1">
        <v>0</v>
      </c>
      <c r="G35" s="1">
        <v>0</v>
      </c>
      <c r="H35" s="1">
        <v>0</v>
      </c>
      <c r="I35" s="1">
        <v>0</v>
      </c>
      <c r="J35" s="1">
        <v>0</v>
      </c>
      <c r="K35" s="1">
        <v>1</v>
      </c>
      <c r="L35" s="1">
        <v>0</v>
      </c>
      <c r="M35" s="1">
        <v>1</v>
      </c>
      <c r="N35" s="1">
        <v>0</v>
      </c>
      <c r="O35" s="1">
        <v>0</v>
      </c>
      <c r="P35" s="1">
        <v>3</v>
      </c>
      <c r="Q35" s="1">
        <v>3</v>
      </c>
      <c r="R35" s="1">
        <v>2</v>
      </c>
      <c r="S35" s="1">
        <v>5</v>
      </c>
      <c r="T35" s="1">
        <v>1</v>
      </c>
      <c r="U35" s="1">
        <v>4</v>
      </c>
      <c r="V35" s="1">
        <v>3</v>
      </c>
      <c r="W35" s="1">
        <v>3</v>
      </c>
      <c r="X35" s="1">
        <v>3</v>
      </c>
      <c r="Y35" s="1">
        <v>4</v>
      </c>
      <c r="Z35" s="1">
        <v>4</v>
      </c>
      <c r="AA35" s="1">
        <v>4</v>
      </c>
      <c r="CU35" s="1">
        <v>4</v>
      </c>
    </row>
    <row r="36" spans="1:99" x14ac:dyDescent="0.35">
      <c r="A36" s="1" t="s">
        <v>2959</v>
      </c>
      <c r="B36" s="1">
        <v>181331039</v>
      </c>
      <c r="C36" s="1">
        <v>0</v>
      </c>
      <c r="D36" s="1">
        <v>1</v>
      </c>
      <c r="E36" s="1">
        <v>0</v>
      </c>
      <c r="F36" s="1">
        <v>0</v>
      </c>
      <c r="G36" s="1">
        <v>0</v>
      </c>
      <c r="H36" s="1">
        <v>0</v>
      </c>
      <c r="I36" s="1">
        <v>0</v>
      </c>
      <c r="J36" s="1">
        <v>0</v>
      </c>
      <c r="K36" s="1">
        <v>1</v>
      </c>
      <c r="L36" s="1">
        <v>0</v>
      </c>
      <c r="M36" s="1">
        <v>0</v>
      </c>
      <c r="N36" s="1">
        <v>0</v>
      </c>
      <c r="O36" s="1">
        <v>0</v>
      </c>
      <c r="P36" s="1">
        <v>25</v>
      </c>
      <c r="Q36" s="1">
        <v>5</v>
      </c>
      <c r="R36" s="1">
        <v>3</v>
      </c>
      <c r="S36" s="1">
        <v>1</v>
      </c>
      <c r="T36" s="1">
        <v>1</v>
      </c>
      <c r="U36" s="1">
        <v>4</v>
      </c>
      <c r="V36" s="1">
        <v>4</v>
      </c>
      <c r="W36" s="1">
        <v>3</v>
      </c>
      <c r="X36" s="1">
        <v>4</v>
      </c>
      <c r="Y36" s="1">
        <v>4</v>
      </c>
      <c r="Z36" s="1">
        <v>4</v>
      </c>
      <c r="AA36" s="1">
        <v>4</v>
      </c>
      <c r="AC36" s="1">
        <v>1</v>
      </c>
      <c r="AD36" s="1">
        <v>2</v>
      </c>
      <c r="AF36" s="3">
        <v>6500000</v>
      </c>
      <c r="AG36" s="1">
        <v>13</v>
      </c>
      <c r="AT36" s="1" t="s">
        <v>86</v>
      </c>
      <c r="BP36" s="1">
        <v>3</v>
      </c>
      <c r="BQ36" s="1" t="s">
        <v>2960</v>
      </c>
      <c r="BR36" s="1" t="s">
        <v>2961</v>
      </c>
      <c r="BS36" s="1" t="s">
        <v>4337</v>
      </c>
      <c r="BT36" s="1" t="s">
        <v>79</v>
      </c>
      <c r="BU36" s="1">
        <v>3</v>
      </c>
      <c r="BV36" s="1">
        <v>1</v>
      </c>
      <c r="BW36" s="1">
        <v>0</v>
      </c>
      <c r="BX36" s="1">
        <v>0</v>
      </c>
      <c r="BY36" s="1">
        <v>1</v>
      </c>
      <c r="BZ36" s="1">
        <v>0</v>
      </c>
      <c r="CA36" s="1">
        <v>0</v>
      </c>
      <c r="CB36" s="1">
        <v>0</v>
      </c>
      <c r="CC36" s="1">
        <v>0</v>
      </c>
      <c r="CD36" s="1">
        <v>0</v>
      </c>
      <c r="CE36" s="1">
        <v>0</v>
      </c>
      <c r="CF36" s="1">
        <v>0</v>
      </c>
      <c r="CG36" s="1">
        <v>0</v>
      </c>
      <c r="CH36" s="1">
        <v>0</v>
      </c>
      <c r="CI36" s="1">
        <v>0</v>
      </c>
      <c r="CJ36" s="1">
        <v>4</v>
      </c>
      <c r="CK36" s="1">
        <v>4</v>
      </c>
      <c r="CL36" s="1">
        <v>3</v>
      </c>
      <c r="CM36" s="1">
        <v>4</v>
      </c>
      <c r="CN36" s="1">
        <v>4</v>
      </c>
      <c r="CO36" s="1">
        <v>4</v>
      </c>
      <c r="CP36" s="1">
        <v>4</v>
      </c>
      <c r="CU36" s="1">
        <v>1</v>
      </c>
    </row>
    <row r="37" spans="1:99" x14ac:dyDescent="0.35">
      <c r="A37" s="1" t="s">
        <v>2962</v>
      </c>
      <c r="B37" s="1">
        <v>181331040</v>
      </c>
      <c r="C37" s="1">
        <v>0</v>
      </c>
      <c r="D37" s="1">
        <v>1</v>
      </c>
      <c r="E37" s="1">
        <v>0</v>
      </c>
      <c r="F37" s="1">
        <v>0</v>
      </c>
      <c r="G37" s="1">
        <v>0</v>
      </c>
      <c r="H37" s="1">
        <v>0</v>
      </c>
      <c r="I37" s="1">
        <v>0</v>
      </c>
      <c r="J37" s="1">
        <v>0</v>
      </c>
      <c r="K37" s="1">
        <v>0</v>
      </c>
      <c r="L37" s="1">
        <v>0</v>
      </c>
      <c r="M37" s="1">
        <v>0</v>
      </c>
      <c r="N37" s="1">
        <v>0</v>
      </c>
      <c r="O37" s="1">
        <v>0</v>
      </c>
      <c r="P37" s="1" t="s">
        <v>2963</v>
      </c>
      <c r="Q37" s="1">
        <v>15</v>
      </c>
      <c r="R37" s="1">
        <v>7</v>
      </c>
      <c r="S37" s="1">
        <v>1</v>
      </c>
      <c r="T37" s="1">
        <v>1</v>
      </c>
      <c r="U37" s="1">
        <v>4</v>
      </c>
      <c r="V37" s="1">
        <v>3</v>
      </c>
      <c r="W37" s="1">
        <v>2</v>
      </c>
      <c r="X37" s="1">
        <v>4</v>
      </c>
      <c r="Y37" s="1">
        <v>4</v>
      </c>
      <c r="Z37" s="1">
        <v>4</v>
      </c>
      <c r="AA37" s="1">
        <v>4</v>
      </c>
      <c r="AC37" s="1">
        <v>2</v>
      </c>
      <c r="AE37" s="1">
        <v>7</v>
      </c>
      <c r="AF37" s="3">
        <v>3200000</v>
      </c>
      <c r="AG37" s="1">
        <v>13</v>
      </c>
      <c r="AT37" s="1" t="s">
        <v>209</v>
      </c>
      <c r="BP37" s="1">
        <v>3</v>
      </c>
      <c r="BQ37" s="1" t="s">
        <v>2964</v>
      </c>
      <c r="BR37" s="1" t="s">
        <v>2965</v>
      </c>
      <c r="BS37" s="1" t="s">
        <v>2966</v>
      </c>
      <c r="BT37" s="1" t="s">
        <v>79</v>
      </c>
      <c r="BU37" s="1">
        <v>3</v>
      </c>
      <c r="BV37" s="1">
        <v>2</v>
      </c>
      <c r="BW37" s="1">
        <v>1</v>
      </c>
      <c r="BX37" s="1">
        <v>0</v>
      </c>
      <c r="BY37" s="1">
        <v>0</v>
      </c>
      <c r="BZ37" s="1">
        <v>0</v>
      </c>
      <c r="CA37" s="1">
        <v>0</v>
      </c>
      <c r="CB37" s="1">
        <v>0</v>
      </c>
      <c r="CC37" s="1">
        <v>0</v>
      </c>
      <c r="CD37" s="1">
        <v>0</v>
      </c>
      <c r="CE37" s="1">
        <v>0</v>
      </c>
      <c r="CF37" s="1">
        <v>0</v>
      </c>
      <c r="CG37" s="1">
        <v>0</v>
      </c>
      <c r="CH37" s="1">
        <v>0</v>
      </c>
      <c r="CI37" s="1">
        <v>0</v>
      </c>
      <c r="CJ37" s="1">
        <v>4</v>
      </c>
      <c r="CK37" s="1">
        <v>4</v>
      </c>
      <c r="CL37" s="1">
        <v>4</v>
      </c>
      <c r="CM37" s="1">
        <v>4</v>
      </c>
      <c r="CN37" s="1">
        <v>4</v>
      </c>
      <c r="CO37" s="1">
        <v>4</v>
      </c>
      <c r="CP37" s="1">
        <v>4</v>
      </c>
      <c r="CU37" s="1">
        <v>1</v>
      </c>
    </row>
    <row r="38" spans="1:99" x14ac:dyDescent="0.35">
      <c r="A38" s="1" t="s">
        <v>2967</v>
      </c>
      <c r="B38" s="1">
        <v>181331041</v>
      </c>
      <c r="C38" s="1">
        <v>0</v>
      </c>
      <c r="D38" s="1">
        <v>1</v>
      </c>
      <c r="E38" s="1">
        <v>0</v>
      </c>
      <c r="F38" s="1">
        <v>0</v>
      </c>
      <c r="G38" s="1">
        <v>0</v>
      </c>
      <c r="H38" s="1">
        <v>0</v>
      </c>
      <c r="I38" s="1">
        <v>0</v>
      </c>
      <c r="J38" s="1">
        <v>0</v>
      </c>
      <c r="K38" s="1">
        <v>0</v>
      </c>
      <c r="L38" s="1">
        <v>0</v>
      </c>
      <c r="M38" s="1">
        <v>0</v>
      </c>
      <c r="N38" s="1">
        <v>0</v>
      </c>
      <c r="O38" s="1">
        <v>0</v>
      </c>
      <c r="P38" s="1">
        <v>50</v>
      </c>
      <c r="Q38" s="1">
        <v>5</v>
      </c>
      <c r="R38" s="1">
        <v>4</v>
      </c>
      <c r="S38" s="1">
        <v>1</v>
      </c>
      <c r="T38" s="1">
        <v>1</v>
      </c>
      <c r="U38" s="1">
        <v>4</v>
      </c>
      <c r="V38" s="1">
        <v>3</v>
      </c>
      <c r="W38" s="1">
        <v>3</v>
      </c>
      <c r="X38" s="1">
        <v>4</v>
      </c>
      <c r="Y38" s="1">
        <v>3</v>
      </c>
      <c r="Z38" s="1">
        <v>4</v>
      </c>
      <c r="AA38" s="1">
        <v>4</v>
      </c>
      <c r="AC38" s="1">
        <v>2</v>
      </c>
      <c r="AE38" s="1">
        <v>2</v>
      </c>
      <c r="AF38" s="3">
        <v>5200000</v>
      </c>
      <c r="AG38" s="1">
        <v>12</v>
      </c>
      <c r="AS38" s="1" t="s">
        <v>244</v>
      </c>
      <c r="BP38" s="1">
        <v>6</v>
      </c>
      <c r="BQ38" s="1" t="s">
        <v>2968</v>
      </c>
      <c r="BR38" s="1" t="s">
        <v>2969</v>
      </c>
      <c r="BS38" s="1" t="s">
        <v>2970</v>
      </c>
      <c r="BT38" s="1" t="s">
        <v>79</v>
      </c>
      <c r="BU38" s="1">
        <v>2</v>
      </c>
      <c r="BV38" s="1">
        <v>3</v>
      </c>
      <c r="BW38" s="1">
        <v>1</v>
      </c>
      <c r="BX38" s="1">
        <v>1</v>
      </c>
      <c r="BY38" s="1">
        <v>0</v>
      </c>
      <c r="BZ38" s="1">
        <v>0</v>
      </c>
      <c r="CA38" s="1">
        <v>0</v>
      </c>
      <c r="CB38" s="1">
        <v>0</v>
      </c>
      <c r="CC38" s="1">
        <v>0</v>
      </c>
      <c r="CD38" s="1">
        <v>0</v>
      </c>
      <c r="CE38" s="1">
        <v>0</v>
      </c>
      <c r="CF38" s="1">
        <v>0</v>
      </c>
      <c r="CG38" s="1">
        <v>1</v>
      </c>
      <c r="CH38" s="1">
        <v>1</v>
      </c>
      <c r="CI38" s="1">
        <v>0</v>
      </c>
      <c r="CJ38" s="1">
        <v>4</v>
      </c>
      <c r="CK38" s="1">
        <v>3</v>
      </c>
      <c r="CL38" s="1">
        <v>3</v>
      </c>
      <c r="CM38" s="1">
        <v>4</v>
      </c>
      <c r="CN38" s="1">
        <v>3</v>
      </c>
      <c r="CO38" s="1">
        <v>4</v>
      </c>
      <c r="CP38" s="1">
        <v>4</v>
      </c>
      <c r="CU38" s="1">
        <v>1</v>
      </c>
    </row>
    <row r="39" spans="1:99" x14ac:dyDescent="0.35">
      <c r="A39" s="1" t="s">
        <v>2971</v>
      </c>
      <c r="B39" s="1">
        <v>181331043</v>
      </c>
      <c r="C39" s="1">
        <v>0</v>
      </c>
      <c r="D39" s="1">
        <v>1</v>
      </c>
      <c r="E39" s="1">
        <v>0</v>
      </c>
      <c r="F39" s="1">
        <v>0</v>
      </c>
      <c r="G39" s="1">
        <v>0</v>
      </c>
      <c r="H39" s="1">
        <v>0</v>
      </c>
      <c r="I39" s="1">
        <v>0</v>
      </c>
      <c r="J39" s="1">
        <v>0</v>
      </c>
      <c r="K39" s="1">
        <v>0</v>
      </c>
      <c r="L39" s="1">
        <v>0</v>
      </c>
      <c r="M39" s="1">
        <v>0</v>
      </c>
      <c r="N39" s="1">
        <v>0</v>
      </c>
      <c r="O39" s="1">
        <v>0</v>
      </c>
      <c r="P39" s="1">
        <v>7</v>
      </c>
      <c r="Q39" s="1">
        <v>4</v>
      </c>
      <c r="R39" s="1">
        <v>3</v>
      </c>
      <c r="S39" s="1">
        <v>1</v>
      </c>
      <c r="T39" s="1">
        <v>1</v>
      </c>
      <c r="U39" s="1">
        <v>4</v>
      </c>
      <c r="V39" s="1">
        <v>2</v>
      </c>
      <c r="W39" s="1">
        <v>2</v>
      </c>
      <c r="X39" s="1">
        <v>3</v>
      </c>
      <c r="Y39" s="1">
        <v>4</v>
      </c>
      <c r="Z39" s="1">
        <v>4</v>
      </c>
      <c r="AA39" s="1">
        <v>4</v>
      </c>
      <c r="AC39" s="1">
        <v>1</v>
      </c>
      <c r="AD39" s="1">
        <v>0</v>
      </c>
      <c r="AF39" s="3">
        <v>8000000</v>
      </c>
      <c r="AG39" s="1">
        <v>13</v>
      </c>
      <c r="AT39" s="1" t="s">
        <v>2972</v>
      </c>
      <c r="BP39" s="1">
        <v>3</v>
      </c>
      <c r="BQ39" s="1" t="s">
        <v>2973</v>
      </c>
      <c r="BR39" s="1" t="s">
        <v>2974</v>
      </c>
      <c r="BS39" s="1" t="s">
        <v>2975</v>
      </c>
      <c r="BT39" s="1" t="s">
        <v>79</v>
      </c>
      <c r="BU39" s="1">
        <v>5</v>
      </c>
      <c r="BV39" s="1">
        <v>1</v>
      </c>
      <c r="BW39" s="1">
        <v>0</v>
      </c>
      <c r="BX39" s="1">
        <v>0</v>
      </c>
      <c r="BY39" s="1">
        <v>1</v>
      </c>
      <c r="BZ39" s="1">
        <v>1</v>
      </c>
      <c r="CA39" s="1">
        <v>0</v>
      </c>
      <c r="CB39" s="1">
        <v>1</v>
      </c>
      <c r="CC39" s="1">
        <v>0</v>
      </c>
      <c r="CD39" s="1">
        <v>0</v>
      </c>
      <c r="CE39" s="1">
        <v>0</v>
      </c>
      <c r="CF39" s="1">
        <v>0</v>
      </c>
      <c r="CG39" s="1">
        <v>0</v>
      </c>
      <c r="CH39" s="1">
        <v>0</v>
      </c>
      <c r="CI39" s="1">
        <v>0</v>
      </c>
      <c r="CJ39" s="1">
        <v>4</v>
      </c>
      <c r="CK39" s="1">
        <v>3</v>
      </c>
      <c r="CL39" s="1">
        <v>3</v>
      </c>
      <c r="CM39" s="1">
        <v>3</v>
      </c>
      <c r="CN39" s="1">
        <v>4</v>
      </c>
      <c r="CO39" s="1">
        <v>4</v>
      </c>
      <c r="CP39" s="1">
        <v>4</v>
      </c>
      <c r="CU39" s="1">
        <v>1</v>
      </c>
    </row>
    <row r="40" spans="1:99" x14ac:dyDescent="0.35">
      <c r="A40" s="1" t="s">
        <v>2976</v>
      </c>
      <c r="B40" s="1">
        <v>181331044</v>
      </c>
      <c r="C40" s="1">
        <v>1</v>
      </c>
      <c r="D40" s="1">
        <v>1</v>
      </c>
      <c r="E40" s="1">
        <v>1</v>
      </c>
      <c r="F40" s="1">
        <v>0</v>
      </c>
      <c r="G40" s="1">
        <v>0</v>
      </c>
      <c r="H40" s="1">
        <v>0</v>
      </c>
      <c r="I40" s="1">
        <v>1</v>
      </c>
      <c r="J40" s="1">
        <v>1</v>
      </c>
      <c r="K40" s="1">
        <v>0</v>
      </c>
      <c r="L40" s="1">
        <v>0</v>
      </c>
      <c r="M40" s="1">
        <v>0</v>
      </c>
      <c r="N40" s="1">
        <v>0</v>
      </c>
      <c r="O40" s="1">
        <v>0</v>
      </c>
      <c r="P40" s="1">
        <v>50</v>
      </c>
      <c r="Q40" s="1">
        <v>13</v>
      </c>
      <c r="R40" s="1">
        <v>10</v>
      </c>
      <c r="S40" s="1">
        <v>1</v>
      </c>
      <c r="T40" s="1">
        <v>1</v>
      </c>
      <c r="U40" s="1">
        <v>4</v>
      </c>
      <c r="V40" s="1">
        <v>3</v>
      </c>
      <c r="W40" s="1">
        <v>4</v>
      </c>
      <c r="X40" s="1">
        <v>4</v>
      </c>
      <c r="Y40" s="1">
        <v>3</v>
      </c>
      <c r="Z40" s="1">
        <v>3</v>
      </c>
      <c r="AA40" s="1">
        <v>3</v>
      </c>
      <c r="AC40" s="1">
        <v>1</v>
      </c>
      <c r="AD40" s="1">
        <v>1</v>
      </c>
      <c r="AE40" s="1">
        <v>1</v>
      </c>
      <c r="AF40" s="3">
        <v>7500000</v>
      </c>
      <c r="AG40" s="1">
        <v>12</v>
      </c>
      <c r="AS40" s="1" t="s">
        <v>69</v>
      </c>
      <c r="BP40" s="1">
        <v>3</v>
      </c>
      <c r="BQ40" s="1" t="s">
        <v>2977</v>
      </c>
      <c r="BR40" s="1" t="s">
        <v>2978</v>
      </c>
      <c r="BS40" s="1" t="s">
        <v>2979</v>
      </c>
      <c r="BT40" s="1" t="s">
        <v>107</v>
      </c>
      <c r="BU40" s="1">
        <v>3</v>
      </c>
      <c r="BV40" s="1">
        <v>1</v>
      </c>
      <c r="BW40" s="1">
        <v>1</v>
      </c>
      <c r="BX40" s="1">
        <v>0</v>
      </c>
      <c r="BY40" s="1">
        <v>0</v>
      </c>
      <c r="BZ40" s="1">
        <v>1</v>
      </c>
      <c r="CA40" s="1">
        <v>0</v>
      </c>
      <c r="CB40" s="1">
        <v>0</v>
      </c>
      <c r="CC40" s="1">
        <v>0</v>
      </c>
      <c r="CD40" s="1">
        <v>0</v>
      </c>
      <c r="CE40" s="1">
        <v>0</v>
      </c>
      <c r="CF40" s="1">
        <v>0</v>
      </c>
      <c r="CG40" s="1">
        <v>0</v>
      </c>
      <c r="CH40" s="1">
        <v>0</v>
      </c>
      <c r="CI40" s="1">
        <v>0</v>
      </c>
      <c r="CJ40" s="1">
        <v>4</v>
      </c>
      <c r="CK40" s="1">
        <v>3</v>
      </c>
      <c r="CL40" s="1">
        <v>4</v>
      </c>
      <c r="CM40" s="1">
        <v>3</v>
      </c>
      <c r="CN40" s="1">
        <v>3</v>
      </c>
      <c r="CO40" s="1">
        <v>4</v>
      </c>
      <c r="CP40" s="1">
        <v>3</v>
      </c>
      <c r="CU40" s="1">
        <v>3</v>
      </c>
    </row>
    <row r="41" spans="1:99" x14ac:dyDescent="0.35">
      <c r="A41" s="1" t="s">
        <v>2980</v>
      </c>
      <c r="B41" s="1">
        <v>181331046</v>
      </c>
      <c r="C41" s="1">
        <v>0</v>
      </c>
      <c r="D41" s="1">
        <v>1</v>
      </c>
      <c r="E41" s="1">
        <v>1</v>
      </c>
      <c r="F41" s="1">
        <v>0</v>
      </c>
      <c r="G41" s="1">
        <v>1</v>
      </c>
      <c r="H41" s="1">
        <v>0</v>
      </c>
      <c r="I41" s="1">
        <v>0</v>
      </c>
      <c r="J41" s="1">
        <v>1</v>
      </c>
      <c r="K41" s="1">
        <v>1</v>
      </c>
      <c r="L41" s="1">
        <v>0</v>
      </c>
      <c r="M41" s="1">
        <v>0</v>
      </c>
      <c r="N41" s="1">
        <v>0</v>
      </c>
      <c r="O41" s="1">
        <v>0</v>
      </c>
      <c r="P41" s="1">
        <v>9</v>
      </c>
      <c r="Q41" s="1">
        <v>6</v>
      </c>
      <c r="R41" s="1">
        <v>4</v>
      </c>
      <c r="S41" s="1">
        <v>1</v>
      </c>
      <c r="T41" s="1">
        <v>1</v>
      </c>
      <c r="U41" s="1">
        <v>3</v>
      </c>
      <c r="V41" s="1">
        <v>4</v>
      </c>
      <c r="W41" s="1">
        <v>3</v>
      </c>
      <c r="X41" s="1">
        <v>4</v>
      </c>
      <c r="Y41" s="1">
        <v>3</v>
      </c>
      <c r="Z41" s="1">
        <v>4</v>
      </c>
      <c r="AA41" s="1">
        <v>4</v>
      </c>
      <c r="AC41" s="1">
        <v>2</v>
      </c>
      <c r="AE41" s="1">
        <v>3</v>
      </c>
      <c r="AF41" s="3">
        <v>5500000</v>
      </c>
      <c r="AG41" s="1">
        <v>11</v>
      </c>
      <c r="AR41" s="1" t="s">
        <v>118</v>
      </c>
      <c r="BP41" s="1">
        <v>3</v>
      </c>
      <c r="BQ41" s="1" t="s">
        <v>2888</v>
      </c>
      <c r="BR41" s="1" t="s">
        <v>2981</v>
      </c>
      <c r="BS41" s="1" t="s">
        <v>4338</v>
      </c>
      <c r="BT41" s="1" t="s">
        <v>107</v>
      </c>
      <c r="BU41" s="1">
        <v>2</v>
      </c>
      <c r="BV41" s="1">
        <v>1</v>
      </c>
      <c r="BW41" s="1">
        <v>1</v>
      </c>
      <c r="BX41" s="1">
        <v>0</v>
      </c>
      <c r="BY41" s="1">
        <v>1</v>
      </c>
      <c r="BZ41" s="1">
        <v>0</v>
      </c>
      <c r="CA41" s="1">
        <v>0</v>
      </c>
      <c r="CB41" s="1">
        <v>1</v>
      </c>
      <c r="CC41" s="1">
        <v>1</v>
      </c>
      <c r="CD41" s="1">
        <v>1</v>
      </c>
      <c r="CE41" s="1">
        <v>1</v>
      </c>
      <c r="CF41" s="1">
        <v>0</v>
      </c>
      <c r="CG41" s="1">
        <v>1</v>
      </c>
      <c r="CH41" s="1">
        <v>0</v>
      </c>
      <c r="CI41" s="1" t="s">
        <v>2982</v>
      </c>
      <c r="CJ41" s="1">
        <v>4</v>
      </c>
      <c r="CK41" s="1">
        <v>4</v>
      </c>
      <c r="CL41" s="1">
        <v>3</v>
      </c>
      <c r="CM41" s="1">
        <v>4</v>
      </c>
      <c r="CN41" s="1">
        <v>3</v>
      </c>
      <c r="CO41" s="1">
        <v>3</v>
      </c>
      <c r="CP41" s="1">
        <v>4</v>
      </c>
      <c r="CU41" s="1">
        <v>1</v>
      </c>
    </row>
    <row r="42" spans="1:99" x14ac:dyDescent="0.35">
      <c r="A42" s="1" t="s">
        <v>2983</v>
      </c>
      <c r="B42" s="1">
        <v>181331047</v>
      </c>
      <c r="S42" s="1">
        <v>4</v>
      </c>
      <c r="T42" s="1">
        <v>1</v>
      </c>
      <c r="U42" s="1">
        <v>3</v>
      </c>
      <c r="V42" s="1">
        <v>3</v>
      </c>
      <c r="W42" s="1">
        <v>3</v>
      </c>
      <c r="X42" s="1">
        <v>3</v>
      </c>
      <c r="Y42" s="1">
        <v>3</v>
      </c>
      <c r="Z42" s="1">
        <v>3</v>
      </c>
      <c r="AA42" s="1">
        <v>3</v>
      </c>
      <c r="CQ42" s="1">
        <v>1</v>
      </c>
      <c r="CR42" s="1" t="s">
        <v>2984</v>
      </c>
      <c r="CS42" s="1" t="s">
        <v>2985</v>
      </c>
      <c r="CT42" s="5">
        <v>44830</v>
      </c>
      <c r="CU42" s="1">
        <v>1</v>
      </c>
    </row>
    <row r="43" spans="1:99" x14ac:dyDescent="0.35">
      <c r="A43" s="1" t="s">
        <v>2986</v>
      </c>
      <c r="B43" s="1">
        <v>181331049</v>
      </c>
      <c r="C43" s="1">
        <v>0</v>
      </c>
      <c r="D43" s="1">
        <v>1</v>
      </c>
      <c r="E43" s="1">
        <v>0</v>
      </c>
      <c r="F43" s="1">
        <v>0</v>
      </c>
      <c r="G43" s="1">
        <v>0</v>
      </c>
      <c r="H43" s="1">
        <v>0</v>
      </c>
      <c r="I43" s="1">
        <v>0</v>
      </c>
      <c r="J43" s="1">
        <v>0</v>
      </c>
      <c r="K43" s="1">
        <v>1</v>
      </c>
      <c r="L43" s="1">
        <v>0</v>
      </c>
      <c r="M43" s="1">
        <v>0</v>
      </c>
      <c r="N43" s="1">
        <v>0</v>
      </c>
      <c r="O43" s="1">
        <v>0</v>
      </c>
      <c r="P43" s="1">
        <v>7</v>
      </c>
      <c r="Q43" s="1">
        <v>5</v>
      </c>
      <c r="R43" s="1">
        <v>5</v>
      </c>
      <c r="S43" s="1">
        <v>1</v>
      </c>
      <c r="T43" s="1">
        <v>3</v>
      </c>
      <c r="U43" s="1">
        <v>4</v>
      </c>
      <c r="V43" s="1">
        <v>2</v>
      </c>
      <c r="W43" s="1">
        <v>2</v>
      </c>
      <c r="X43" s="1">
        <v>4</v>
      </c>
      <c r="Y43" s="1">
        <v>3</v>
      </c>
      <c r="Z43" s="1">
        <v>4</v>
      </c>
      <c r="AA43" s="1">
        <v>4</v>
      </c>
      <c r="AC43" s="1">
        <v>2</v>
      </c>
      <c r="AE43" s="1">
        <v>2</v>
      </c>
      <c r="AF43" s="3">
        <v>6000000</v>
      </c>
      <c r="AG43" s="1">
        <v>11</v>
      </c>
      <c r="AR43" s="1" t="s">
        <v>222</v>
      </c>
      <c r="BP43" s="1">
        <v>3</v>
      </c>
      <c r="BQ43" s="1" t="s">
        <v>2987</v>
      </c>
      <c r="BR43" s="1" t="s">
        <v>2988</v>
      </c>
      <c r="BS43" s="1" t="s">
        <v>2966</v>
      </c>
      <c r="BT43" s="1" t="s">
        <v>79</v>
      </c>
      <c r="BU43" s="1">
        <v>4</v>
      </c>
      <c r="BV43" s="1">
        <v>2</v>
      </c>
      <c r="BW43" s="1">
        <v>0</v>
      </c>
      <c r="BX43" s="1">
        <v>0</v>
      </c>
      <c r="BY43" s="1">
        <v>0</v>
      </c>
      <c r="BZ43" s="1">
        <v>0</v>
      </c>
      <c r="CA43" s="1">
        <v>0</v>
      </c>
      <c r="CB43" s="1">
        <v>0</v>
      </c>
      <c r="CC43" s="1">
        <v>0</v>
      </c>
      <c r="CD43" s="1">
        <v>0</v>
      </c>
      <c r="CE43" s="1">
        <v>0</v>
      </c>
      <c r="CF43" s="1">
        <v>0</v>
      </c>
      <c r="CG43" s="1">
        <v>1</v>
      </c>
      <c r="CH43" s="1">
        <v>1</v>
      </c>
      <c r="CI43" s="1">
        <v>0</v>
      </c>
      <c r="CJ43" s="1">
        <v>4</v>
      </c>
      <c r="CK43" s="1">
        <v>3</v>
      </c>
      <c r="CL43" s="1">
        <v>2</v>
      </c>
      <c r="CM43" s="1">
        <v>4</v>
      </c>
      <c r="CN43" s="1">
        <v>4</v>
      </c>
      <c r="CO43" s="1">
        <v>4</v>
      </c>
      <c r="CP43" s="1">
        <v>4</v>
      </c>
      <c r="CU43" s="1">
        <v>4</v>
      </c>
    </row>
    <row r="44" spans="1:99" x14ac:dyDescent="0.35">
      <c r="A44" s="1" t="s">
        <v>2989</v>
      </c>
      <c r="B44" s="1">
        <v>181331050</v>
      </c>
      <c r="C44" s="1">
        <v>0</v>
      </c>
      <c r="D44" s="1">
        <v>1</v>
      </c>
      <c r="E44" s="1">
        <v>0</v>
      </c>
      <c r="F44" s="1">
        <v>0</v>
      </c>
      <c r="G44" s="1">
        <v>0</v>
      </c>
      <c r="H44" s="1">
        <v>0</v>
      </c>
      <c r="I44" s="1">
        <v>0</v>
      </c>
      <c r="J44" s="1">
        <v>0</v>
      </c>
      <c r="K44" s="1">
        <v>0</v>
      </c>
      <c r="L44" s="1">
        <v>0</v>
      </c>
      <c r="M44" s="1">
        <v>0</v>
      </c>
      <c r="N44" s="1">
        <v>0</v>
      </c>
      <c r="O44" s="1">
        <v>0</v>
      </c>
      <c r="P44" s="1">
        <v>3</v>
      </c>
      <c r="Q44" s="1">
        <v>3</v>
      </c>
      <c r="R44" s="1">
        <v>2</v>
      </c>
      <c r="S44" s="1">
        <v>3</v>
      </c>
      <c r="T44" s="1">
        <v>1</v>
      </c>
      <c r="U44" s="1">
        <v>4</v>
      </c>
      <c r="V44" s="1">
        <v>2</v>
      </c>
      <c r="W44" s="1">
        <v>2</v>
      </c>
      <c r="X44" s="1">
        <v>3</v>
      </c>
      <c r="Y44" s="1">
        <v>3</v>
      </c>
      <c r="Z44" s="1">
        <v>4</v>
      </c>
      <c r="AA44" s="1">
        <v>4</v>
      </c>
      <c r="AB44" s="1">
        <v>2</v>
      </c>
      <c r="AC44" s="1">
        <v>2</v>
      </c>
      <c r="AE44" s="1">
        <v>5</v>
      </c>
      <c r="AF44" s="3">
        <v>10000000</v>
      </c>
      <c r="AG44" s="1">
        <v>13</v>
      </c>
      <c r="AT44" s="1" t="s">
        <v>387</v>
      </c>
      <c r="BP44" s="1">
        <v>4</v>
      </c>
      <c r="BQ44" s="1" t="s">
        <v>2990</v>
      </c>
      <c r="BR44" s="1" t="s">
        <v>2991</v>
      </c>
      <c r="BS44" s="1" t="s">
        <v>2992</v>
      </c>
      <c r="BT44" s="1" t="s">
        <v>79</v>
      </c>
      <c r="BU44" s="1">
        <v>5</v>
      </c>
      <c r="BV44" s="1">
        <v>1</v>
      </c>
      <c r="BW44" s="1">
        <v>0</v>
      </c>
      <c r="BX44" s="1">
        <v>0</v>
      </c>
      <c r="BY44" s="1">
        <v>1</v>
      </c>
      <c r="BZ44" s="1">
        <v>1</v>
      </c>
      <c r="CA44" s="1">
        <v>0</v>
      </c>
      <c r="CB44" s="1">
        <v>1</v>
      </c>
      <c r="CC44" s="1">
        <v>0</v>
      </c>
      <c r="CD44" s="1">
        <v>0</v>
      </c>
      <c r="CE44" s="1">
        <v>0</v>
      </c>
      <c r="CF44" s="1">
        <v>0</v>
      </c>
      <c r="CG44" s="1">
        <v>0</v>
      </c>
      <c r="CH44" s="1">
        <v>0</v>
      </c>
      <c r="CI44" s="1">
        <v>0</v>
      </c>
      <c r="CJ44" s="1">
        <v>4</v>
      </c>
      <c r="CK44" s="1">
        <v>4</v>
      </c>
      <c r="CL44" s="1">
        <v>2</v>
      </c>
      <c r="CM44" s="1">
        <v>3</v>
      </c>
      <c r="CN44" s="1">
        <v>4</v>
      </c>
      <c r="CO44" s="1">
        <v>4</v>
      </c>
      <c r="CP44" s="1">
        <v>4</v>
      </c>
      <c r="CU44" s="1">
        <v>1</v>
      </c>
    </row>
    <row r="45" spans="1:99" x14ac:dyDescent="0.35">
      <c r="A45" s="1" t="s">
        <v>2993</v>
      </c>
      <c r="B45" s="1">
        <v>181331052</v>
      </c>
      <c r="C45" s="1">
        <v>0</v>
      </c>
      <c r="D45" s="1">
        <v>1</v>
      </c>
      <c r="E45" s="1">
        <v>0</v>
      </c>
      <c r="F45" s="1">
        <v>0</v>
      </c>
      <c r="G45" s="1">
        <v>0</v>
      </c>
      <c r="H45" s="1">
        <v>0</v>
      </c>
      <c r="I45" s="1">
        <v>0</v>
      </c>
      <c r="J45" s="1">
        <v>0</v>
      </c>
      <c r="K45" s="1">
        <v>0</v>
      </c>
      <c r="L45" s="1">
        <v>0</v>
      </c>
      <c r="M45" s="1">
        <v>0</v>
      </c>
      <c r="N45" s="1">
        <v>0</v>
      </c>
      <c r="O45" s="1">
        <v>0</v>
      </c>
      <c r="P45" s="1">
        <v>3</v>
      </c>
      <c r="Q45" s="1">
        <v>3</v>
      </c>
      <c r="R45" s="1">
        <v>3</v>
      </c>
      <c r="S45" s="1">
        <v>3</v>
      </c>
      <c r="T45" s="1">
        <v>1</v>
      </c>
      <c r="U45" s="1">
        <v>4</v>
      </c>
      <c r="V45" s="1">
        <v>3</v>
      </c>
      <c r="W45" s="1">
        <v>3</v>
      </c>
      <c r="X45" s="1">
        <v>3</v>
      </c>
      <c r="Y45" s="1">
        <v>4</v>
      </c>
      <c r="Z45" s="1">
        <v>4</v>
      </c>
      <c r="AA45" s="1">
        <v>4</v>
      </c>
      <c r="AB45" s="1">
        <v>3</v>
      </c>
      <c r="AC45" s="1">
        <v>1</v>
      </c>
      <c r="AD45" s="1">
        <v>3</v>
      </c>
      <c r="AF45" s="3">
        <v>4500000</v>
      </c>
      <c r="AG45" s="1">
        <v>11</v>
      </c>
      <c r="AR45" s="1" t="s">
        <v>130</v>
      </c>
      <c r="BP45" s="1">
        <v>3</v>
      </c>
      <c r="BQ45" s="1" t="s">
        <v>2994</v>
      </c>
      <c r="BR45" s="1" t="s">
        <v>2995</v>
      </c>
      <c r="BT45" s="1" t="s">
        <v>79</v>
      </c>
      <c r="BU45" s="1">
        <v>2</v>
      </c>
      <c r="BV45" s="1">
        <v>2</v>
      </c>
      <c r="BW45" s="1">
        <v>1</v>
      </c>
      <c r="BX45" s="1">
        <v>0</v>
      </c>
      <c r="BY45" s="1">
        <v>0</v>
      </c>
      <c r="BZ45" s="1">
        <v>0</v>
      </c>
      <c r="CA45" s="1">
        <v>0</v>
      </c>
      <c r="CB45" s="1">
        <v>0</v>
      </c>
      <c r="CC45" s="1">
        <v>0</v>
      </c>
      <c r="CD45" s="1">
        <v>0</v>
      </c>
      <c r="CE45" s="1">
        <v>0</v>
      </c>
      <c r="CF45" s="1">
        <v>0</v>
      </c>
      <c r="CG45" s="1">
        <v>0</v>
      </c>
      <c r="CH45" s="1">
        <v>0</v>
      </c>
      <c r="CI45" s="1">
        <v>0</v>
      </c>
      <c r="CJ45" s="1">
        <v>4</v>
      </c>
      <c r="CK45" s="1">
        <v>4</v>
      </c>
      <c r="CL45" s="1">
        <v>4</v>
      </c>
      <c r="CM45" s="1">
        <v>4</v>
      </c>
      <c r="CN45" s="1">
        <v>4</v>
      </c>
      <c r="CO45" s="1">
        <v>4</v>
      </c>
      <c r="CP45" s="1">
        <v>4</v>
      </c>
      <c r="CU45" s="1">
        <v>1</v>
      </c>
    </row>
    <row r="46" spans="1:99" x14ac:dyDescent="0.35">
      <c r="A46" s="1" t="s">
        <v>2996</v>
      </c>
      <c r="B46" s="1">
        <v>181331053</v>
      </c>
      <c r="C46" s="1">
        <v>0</v>
      </c>
      <c r="D46" s="1">
        <v>1</v>
      </c>
      <c r="E46" s="1">
        <v>0</v>
      </c>
      <c r="F46" s="1">
        <v>0</v>
      </c>
      <c r="G46" s="1">
        <v>0</v>
      </c>
      <c r="H46" s="1">
        <v>0</v>
      </c>
      <c r="I46" s="1">
        <v>0</v>
      </c>
      <c r="J46" s="1">
        <v>1</v>
      </c>
      <c r="K46" s="1">
        <v>1</v>
      </c>
      <c r="L46" s="1">
        <v>0</v>
      </c>
      <c r="M46" s="1">
        <v>0</v>
      </c>
      <c r="N46" s="1">
        <v>0</v>
      </c>
      <c r="O46" s="1">
        <v>0</v>
      </c>
      <c r="P46" s="1">
        <v>50</v>
      </c>
      <c r="Q46" s="1">
        <v>10</v>
      </c>
      <c r="R46" s="1">
        <v>10</v>
      </c>
      <c r="S46" s="1">
        <v>1</v>
      </c>
      <c r="T46" s="1">
        <v>1</v>
      </c>
      <c r="U46" s="1">
        <v>4</v>
      </c>
      <c r="V46" s="1">
        <v>3</v>
      </c>
      <c r="W46" s="1">
        <v>3</v>
      </c>
      <c r="X46" s="1">
        <v>3</v>
      </c>
      <c r="Y46" s="1">
        <v>4</v>
      </c>
      <c r="Z46" s="1">
        <v>4</v>
      </c>
      <c r="AA46" s="1">
        <v>3</v>
      </c>
      <c r="AC46" s="1">
        <v>1</v>
      </c>
      <c r="AD46" s="1">
        <v>6</v>
      </c>
      <c r="AF46" s="3">
        <v>5000000</v>
      </c>
      <c r="AG46" s="1">
        <v>11</v>
      </c>
      <c r="AR46" s="1" t="s">
        <v>239</v>
      </c>
      <c r="BP46" s="1">
        <v>3</v>
      </c>
      <c r="BQ46" s="1" t="s">
        <v>2997</v>
      </c>
      <c r="BR46" s="1" t="s">
        <v>2998</v>
      </c>
      <c r="BS46" s="1" t="s">
        <v>4339</v>
      </c>
      <c r="BT46" s="1" t="s">
        <v>79</v>
      </c>
      <c r="BU46" s="1">
        <v>1</v>
      </c>
      <c r="BV46" s="1">
        <v>2</v>
      </c>
      <c r="BW46" s="1">
        <v>1</v>
      </c>
      <c r="BX46" s="1">
        <v>0</v>
      </c>
      <c r="BY46" s="1">
        <v>0</v>
      </c>
      <c r="BZ46" s="1">
        <v>0</v>
      </c>
      <c r="CA46" s="1">
        <v>0</v>
      </c>
      <c r="CB46" s="1">
        <v>0</v>
      </c>
      <c r="CC46" s="1">
        <v>0</v>
      </c>
      <c r="CD46" s="1">
        <v>0</v>
      </c>
      <c r="CE46" s="1">
        <v>0</v>
      </c>
      <c r="CF46" s="1">
        <v>0</v>
      </c>
      <c r="CG46" s="1">
        <v>0</v>
      </c>
      <c r="CH46" s="1">
        <v>0</v>
      </c>
      <c r="CI46" s="1">
        <v>0</v>
      </c>
      <c r="CJ46" s="1">
        <v>4</v>
      </c>
      <c r="CK46" s="1">
        <v>4</v>
      </c>
      <c r="CL46" s="1">
        <v>4</v>
      </c>
      <c r="CM46" s="1">
        <v>4</v>
      </c>
      <c r="CN46" s="1">
        <v>4</v>
      </c>
      <c r="CO46" s="1">
        <v>4</v>
      </c>
      <c r="CP46" s="1">
        <v>4</v>
      </c>
      <c r="CU46" s="1">
        <v>1</v>
      </c>
    </row>
    <row r="47" spans="1:99" x14ac:dyDescent="0.35">
      <c r="A47" s="1" t="s">
        <v>2999</v>
      </c>
      <c r="B47" s="1">
        <v>181331054</v>
      </c>
      <c r="C47" s="1">
        <v>0</v>
      </c>
      <c r="D47" s="1">
        <v>1</v>
      </c>
      <c r="E47" s="1">
        <v>0</v>
      </c>
      <c r="F47" s="1">
        <v>0</v>
      </c>
      <c r="G47" s="1">
        <v>0</v>
      </c>
      <c r="H47" s="1">
        <v>0</v>
      </c>
      <c r="I47" s="1">
        <v>0</v>
      </c>
      <c r="J47" s="1">
        <v>1</v>
      </c>
      <c r="K47" s="1">
        <v>1</v>
      </c>
      <c r="L47" s="1">
        <v>0</v>
      </c>
      <c r="M47" s="1">
        <v>0</v>
      </c>
      <c r="N47" s="1">
        <v>0</v>
      </c>
      <c r="O47" s="1">
        <v>0</v>
      </c>
      <c r="P47" s="1">
        <v>6</v>
      </c>
      <c r="Q47" s="1">
        <v>4</v>
      </c>
      <c r="R47" s="1">
        <v>4</v>
      </c>
      <c r="S47" s="1">
        <v>1</v>
      </c>
      <c r="T47" s="1">
        <v>1</v>
      </c>
      <c r="U47" s="1">
        <v>4</v>
      </c>
      <c r="V47" s="1">
        <v>3</v>
      </c>
      <c r="W47" s="1">
        <v>3</v>
      </c>
      <c r="X47" s="1">
        <v>3</v>
      </c>
      <c r="Y47" s="1">
        <v>3</v>
      </c>
      <c r="Z47" s="1">
        <v>3</v>
      </c>
      <c r="AA47" s="1">
        <v>3</v>
      </c>
      <c r="AC47" s="1">
        <v>1</v>
      </c>
      <c r="AD47" s="1">
        <v>4</v>
      </c>
      <c r="AF47" s="3">
        <v>5700700</v>
      </c>
      <c r="AG47" s="1">
        <v>11</v>
      </c>
      <c r="AR47" s="1" t="s">
        <v>130</v>
      </c>
      <c r="BP47" s="1">
        <v>3</v>
      </c>
      <c r="BQ47" s="1" t="s">
        <v>3000</v>
      </c>
      <c r="BR47" s="1" t="s">
        <v>2751</v>
      </c>
      <c r="BS47" s="1" t="s">
        <v>2752</v>
      </c>
      <c r="BT47" s="1" t="s">
        <v>73</v>
      </c>
      <c r="BU47" s="1">
        <v>2</v>
      </c>
      <c r="BV47" s="1">
        <v>1</v>
      </c>
      <c r="BW47" s="1">
        <v>1</v>
      </c>
      <c r="BX47" s="1">
        <v>0</v>
      </c>
      <c r="BY47" s="1">
        <v>0</v>
      </c>
      <c r="BZ47" s="1">
        <v>0</v>
      </c>
      <c r="CA47" s="1">
        <v>0</v>
      </c>
      <c r="CB47" s="1">
        <v>0</v>
      </c>
      <c r="CC47" s="1">
        <v>0</v>
      </c>
      <c r="CD47" s="1">
        <v>0</v>
      </c>
      <c r="CE47" s="1">
        <v>0</v>
      </c>
      <c r="CF47" s="1">
        <v>0</v>
      </c>
      <c r="CG47" s="1">
        <v>0</v>
      </c>
      <c r="CH47" s="1">
        <v>0</v>
      </c>
      <c r="CI47" s="1">
        <v>0</v>
      </c>
      <c r="CJ47" s="1">
        <v>3</v>
      </c>
      <c r="CK47" s="1">
        <v>2</v>
      </c>
      <c r="CL47" s="1">
        <v>3</v>
      </c>
      <c r="CM47" s="1">
        <v>3</v>
      </c>
      <c r="CN47" s="1">
        <v>3</v>
      </c>
      <c r="CO47" s="1">
        <v>3</v>
      </c>
      <c r="CP47" s="1">
        <v>3</v>
      </c>
      <c r="CU47" s="1">
        <v>1</v>
      </c>
    </row>
    <row r="48" spans="1:99" x14ac:dyDescent="0.35">
      <c r="A48" s="1" t="s">
        <v>3001</v>
      </c>
      <c r="B48" s="1">
        <v>181331055</v>
      </c>
      <c r="S48" s="1">
        <v>4</v>
      </c>
      <c r="T48" s="1">
        <v>1</v>
      </c>
      <c r="U48" s="1">
        <v>4</v>
      </c>
      <c r="V48" s="1">
        <v>3</v>
      </c>
      <c r="W48" s="1">
        <v>3</v>
      </c>
      <c r="X48" s="1">
        <v>3</v>
      </c>
      <c r="Y48" s="1">
        <v>4</v>
      </c>
      <c r="Z48" s="1">
        <v>4</v>
      </c>
      <c r="AA48" s="1">
        <v>4</v>
      </c>
      <c r="CQ48" s="1">
        <v>1</v>
      </c>
      <c r="CR48" s="1" t="s">
        <v>2984</v>
      </c>
      <c r="CS48" s="1" t="s">
        <v>3002</v>
      </c>
      <c r="CT48" s="5">
        <v>44830</v>
      </c>
      <c r="CU48" s="1">
        <v>1</v>
      </c>
    </row>
    <row r="49" spans="1:99" x14ac:dyDescent="0.35">
      <c r="A49" s="1" t="s">
        <v>3003</v>
      </c>
      <c r="B49" s="1">
        <v>181331056</v>
      </c>
      <c r="C49" s="1">
        <v>0</v>
      </c>
      <c r="D49" s="1">
        <v>1</v>
      </c>
      <c r="E49" s="1">
        <v>0</v>
      </c>
      <c r="F49" s="1">
        <v>0</v>
      </c>
      <c r="G49" s="1">
        <v>0</v>
      </c>
      <c r="H49" s="1">
        <v>0</v>
      </c>
      <c r="I49" s="1">
        <v>0</v>
      </c>
      <c r="J49" s="1">
        <v>0</v>
      </c>
      <c r="K49" s="1">
        <v>0</v>
      </c>
      <c r="L49" s="1">
        <v>0</v>
      </c>
      <c r="M49" s="1">
        <v>0</v>
      </c>
      <c r="N49" s="1">
        <v>0</v>
      </c>
      <c r="O49" s="1">
        <v>0</v>
      </c>
      <c r="P49" s="1">
        <v>5</v>
      </c>
      <c r="Q49" s="1">
        <v>3</v>
      </c>
      <c r="R49" s="1">
        <v>2</v>
      </c>
      <c r="S49" s="1">
        <v>1</v>
      </c>
      <c r="T49" s="1">
        <v>1</v>
      </c>
      <c r="U49" s="1">
        <v>3</v>
      </c>
      <c r="V49" s="1">
        <v>2</v>
      </c>
      <c r="W49" s="1">
        <v>4</v>
      </c>
      <c r="X49" s="1">
        <v>4</v>
      </c>
      <c r="Y49" s="1">
        <v>3</v>
      </c>
      <c r="Z49" s="1">
        <v>3</v>
      </c>
      <c r="AA49" s="1">
        <v>3</v>
      </c>
      <c r="AC49" s="1">
        <v>2</v>
      </c>
      <c r="AE49" s="1">
        <v>3</v>
      </c>
      <c r="AF49" s="3">
        <v>5000000</v>
      </c>
      <c r="AG49" s="1">
        <v>13</v>
      </c>
      <c r="AT49" s="1" t="s">
        <v>392</v>
      </c>
      <c r="BP49" s="1">
        <v>4</v>
      </c>
      <c r="BQ49" s="1" t="s">
        <v>3004</v>
      </c>
      <c r="BR49" s="1" t="s">
        <v>3005</v>
      </c>
      <c r="BT49" s="1" t="s">
        <v>73</v>
      </c>
      <c r="BU49" s="1">
        <v>3</v>
      </c>
      <c r="BV49" s="1">
        <v>1</v>
      </c>
      <c r="BW49" s="1">
        <v>0</v>
      </c>
      <c r="BX49" s="1">
        <v>0</v>
      </c>
      <c r="BY49" s="1">
        <v>0</v>
      </c>
      <c r="BZ49" s="1">
        <v>1</v>
      </c>
      <c r="CA49" s="1">
        <v>0</v>
      </c>
      <c r="CB49" s="1">
        <v>0</v>
      </c>
      <c r="CC49" s="1">
        <v>0</v>
      </c>
      <c r="CD49" s="1">
        <v>0</v>
      </c>
      <c r="CE49" s="1">
        <v>0</v>
      </c>
      <c r="CF49" s="1">
        <v>0</v>
      </c>
      <c r="CG49" s="1">
        <v>0</v>
      </c>
      <c r="CH49" s="1">
        <v>0</v>
      </c>
      <c r="CI49" s="1">
        <v>0</v>
      </c>
      <c r="CJ49" s="1">
        <v>3</v>
      </c>
      <c r="CK49" s="1">
        <v>4</v>
      </c>
      <c r="CL49" s="1">
        <v>4</v>
      </c>
      <c r="CM49" s="1">
        <v>4</v>
      </c>
      <c r="CN49" s="1">
        <v>4</v>
      </c>
      <c r="CO49" s="1">
        <v>4</v>
      </c>
      <c r="CP49" s="1">
        <v>4</v>
      </c>
      <c r="CU49" s="1">
        <v>1</v>
      </c>
    </row>
    <row r="50" spans="1:99" x14ac:dyDescent="0.35">
      <c r="A50" s="1" t="s">
        <v>3006</v>
      </c>
      <c r="B50" s="1">
        <v>181331057</v>
      </c>
      <c r="C50" s="1">
        <v>0</v>
      </c>
      <c r="D50" s="1">
        <v>1</v>
      </c>
      <c r="E50" s="1">
        <v>0</v>
      </c>
      <c r="F50" s="1">
        <v>0</v>
      </c>
      <c r="G50" s="1">
        <v>0</v>
      </c>
      <c r="H50" s="1">
        <v>1</v>
      </c>
      <c r="I50" s="1">
        <v>0</v>
      </c>
      <c r="J50" s="1">
        <v>0</v>
      </c>
      <c r="K50" s="1">
        <v>0</v>
      </c>
      <c r="L50" s="1">
        <v>0</v>
      </c>
      <c r="M50" s="1">
        <v>0</v>
      </c>
      <c r="N50" s="1">
        <v>0</v>
      </c>
      <c r="O50" s="1">
        <v>0</v>
      </c>
      <c r="P50" s="1">
        <v>21</v>
      </c>
      <c r="Q50" s="1">
        <v>7</v>
      </c>
      <c r="R50" s="1">
        <v>3</v>
      </c>
      <c r="S50" s="1">
        <v>1</v>
      </c>
      <c r="T50" s="1">
        <v>1</v>
      </c>
      <c r="U50" s="1">
        <v>3</v>
      </c>
      <c r="V50" s="1">
        <v>3</v>
      </c>
      <c r="W50" s="1">
        <v>3</v>
      </c>
      <c r="X50" s="1">
        <v>3</v>
      </c>
      <c r="Y50" s="1">
        <v>3</v>
      </c>
      <c r="Z50" s="1">
        <v>3</v>
      </c>
      <c r="AA50" s="1">
        <v>3</v>
      </c>
      <c r="AC50" s="1">
        <v>1</v>
      </c>
      <c r="AD50" s="1">
        <v>4</v>
      </c>
      <c r="AF50" s="3">
        <v>5330000</v>
      </c>
      <c r="AG50" s="1">
        <v>13</v>
      </c>
      <c r="AT50" s="1" t="s">
        <v>86</v>
      </c>
      <c r="BP50" s="1">
        <v>3</v>
      </c>
      <c r="BQ50" s="1" t="s">
        <v>3007</v>
      </c>
      <c r="BR50" s="1" t="s">
        <v>3008</v>
      </c>
      <c r="BS50" s="1" t="s">
        <v>3009</v>
      </c>
      <c r="BT50" s="1" t="s">
        <v>73</v>
      </c>
      <c r="BU50" s="1">
        <v>3</v>
      </c>
      <c r="BV50" s="1">
        <v>2</v>
      </c>
      <c r="BW50" s="1">
        <v>1</v>
      </c>
      <c r="BX50" s="1">
        <v>0</v>
      </c>
      <c r="BY50" s="1">
        <v>0</v>
      </c>
      <c r="BZ50" s="1">
        <v>0</v>
      </c>
      <c r="CA50" s="1">
        <v>0</v>
      </c>
      <c r="CB50" s="1">
        <v>0</v>
      </c>
      <c r="CC50" s="1">
        <v>0</v>
      </c>
      <c r="CD50" s="1">
        <v>0</v>
      </c>
      <c r="CE50" s="1">
        <v>0</v>
      </c>
      <c r="CF50" s="1">
        <v>0</v>
      </c>
      <c r="CG50" s="1">
        <v>0</v>
      </c>
      <c r="CH50" s="1">
        <v>0</v>
      </c>
      <c r="CI50" s="1">
        <v>0</v>
      </c>
      <c r="CJ50" s="1">
        <v>4</v>
      </c>
      <c r="CK50" s="1">
        <v>3</v>
      </c>
      <c r="CL50" s="1">
        <v>4</v>
      </c>
      <c r="CM50" s="1">
        <v>4</v>
      </c>
      <c r="CN50" s="1">
        <v>3</v>
      </c>
      <c r="CO50" s="1">
        <v>3</v>
      </c>
      <c r="CP50" s="1">
        <v>3</v>
      </c>
      <c r="CU50" s="1">
        <v>1</v>
      </c>
    </row>
    <row r="51" spans="1:99" x14ac:dyDescent="0.35">
      <c r="A51" s="1" t="s">
        <v>3010</v>
      </c>
      <c r="B51" s="1">
        <v>181331058</v>
      </c>
      <c r="C51" s="1">
        <v>0</v>
      </c>
      <c r="D51" s="1">
        <v>0</v>
      </c>
      <c r="E51" s="1">
        <v>1</v>
      </c>
      <c r="F51" s="1">
        <v>0</v>
      </c>
      <c r="G51" s="1">
        <v>0</v>
      </c>
      <c r="H51" s="1">
        <v>0</v>
      </c>
      <c r="I51" s="1">
        <v>1</v>
      </c>
      <c r="J51" s="1">
        <v>0</v>
      </c>
      <c r="K51" s="1">
        <v>1</v>
      </c>
      <c r="L51" s="1">
        <v>0</v>
      </c>
      <c r="M51" s="1">
        <v>1</v>
      </c>
      <c r="N51" s="1">
        <v>0</v>
      </c>
      <c r="O51" s="1">
        <v>0</v>
      </c>
      <c r="P51" s="1" t="s">
        <v>841</v>
      </c>
      <c r="Q51" s="1" t="s">
        <v>841</v>
      </c>
      <c r="R51" s="1" t="s">
        <v>841</v>
      </c>
      <c r="S51" s="1">
        <v>1</v>
      </c>
      <c r="T51" s="1">
        <v>1</v>
      </c>
      <c r="U51" s="1">
        <v>4</v>
      </c>
      <c r="V51" s="1">
        <v>4</v>
      </c>
      <c r="W51" s="1">
        <v>4</v>
      </c>
      <c r="X51" s="1">
        <v>4</v>
      </c>
      <c r="Y51" s="1">
        <v>4</v>
      </c>
      <c r="Z51" s="1">
        <v>4</v>
      </c>
      <c r="AA51" s="1">
        <v>4</v>
      </c>
      <c r="AC51" s="1">
        <v>1</v>
      </c>
      <c r="AD51" s="1">
        <v>3</v>
      </c>
      <c r="AF51" s="3">
        <v>6000000</v>
      </c>
      <c r="AG51" s="1">
        <v>11</v>
      </c>
      <c r="AR51" s="1" t="s">
        <v>144</v>
      </c>
      <c r="BP51" s="1">
        <v>3</v>
      </c>
      <c r="BQ51" s="1" t="s">
        <v>3011</v>
      </c>
      <c r="BR51" s="1" t="s">
        <v>3012</v>
      </c>
      <c r="BT51" s="1" t="s">
        <v>79</v>
      </c>
      <c r="BU51" s="1">
        <v>4</v>
      </c>
      <c r="BV51" s="1">
        <v>1</v>
      </c>
      <c r="BW51" s="1">
        <v>0</v>
      </c>
      <c r="BX51" s="1">
        <v>0</v>
      </c>
      <c r="BY51" s="1">
        <v>1</v>
      </c>
      <c r="BZ51" s="1">
        <v>1</v>
      </c>
      <c r="CA51" s="1">
        <v>0</v>
      </c>
      <c r="CB51" s="1">
        <v>0</v>
      </c>
      <c r="CC51" s="1">
        <v>0</v>
      </c>
      <c r="CD51" s="1">
        <v>1</v>
      </c>
      <c r="CE51" s="1">
        <v>0</v>
      </c>
      <c r="CF51" s="1">
        <v>0</v>
      </c>
      <c r="CG51" s="1">
        <v>1</v>
      </c>
      <c r="CH51" s="1">
        <v>0</v>
      </c>
      <c r="CI51" s="1">
        <v>0</v>
      </c>
      <c r="CJ51" s="1">
        <v>4</v>
      </c>
      <c r="CK51" s="1">
        <v>4</v>
      </c>
      <c r="CL51" s="1">
        <v>4</v>
      </c>
      <c r="CM51" s="1">
        <v>4</v>
      </c>
      <c r="CN51" s="1">
        <v>4</v>
      </c>
      <c r="CO51" s="1">
        <v>4</v>
      </c>
      <c r="CP51" s="1">
        <v>4</v>
      </c>
      <c r="CU51" s="1">
        <v>1</v>
      </c>
    </row>
    <row r="52" spans="1:99" x14ac:dyDescent="0.35">
      <c r="A52" s="1" t="s">
        <v>3013</v>
      </c>
      <c r="B52" s="1">
        <v>181331059</v>
      </c>
      <c r="C52" s="1">
        <v>0</v>
      </c>
      <c r="D52" s="1">
        <v>1</v>
      </c>
      <c r="E52" s="1">
        <v>0</v>
      </c>
      <c r="F52" s="1">
        <v>0</v>
      </c>
      <c r="G52" s="1">
        <v>0</v>
      </c>
      <c r="H52" s="1">
        <v>0</v>
      </c>
      <c r="I52" s="1">
        <v>0</v>
      </c>
      <c r="J52" s="1">
        <v>0</v>
      </c>
      <c r="K52" s="1">
        <v>0</v>
      </c>
      <c r="L52" s="1">
        <v>0</v>
      </c>
      <c r="M52" s="1">
        <v>0</v>
      </c>
      <c r="N52" s="1">
        <v>0</v>
      </c>
      <c r="O52" s="1">
        <v>0</v>
      </c>
      <c r="P52" s="1">
        <v>20</v>
      </c>
      <c r="Q52" s="1">
        <v>18</v>
      </c>
      <c r="R52" s="1">
        <v>16</v>
      </c>
      <c r="S52" s="1">
        <v>1</v>
      </c>
      <c r="T52" s="1">
        <v>1</v>
      </c>
      <c r="U52" s="1">
        <v>4</v>
      </c>
      <c r="V52" s="1">
        <v>3</v>
      </c>
      <c r="W52" s="1">
        <v>2</v>
      </c>
      <c r="X52" s="1">
        <v>3</v>
      </c>
      <c r="Y52" s="1">
        <v>3</v>
      </c>
      <c r="Z52" s="1">
        <v>4</v>
      </c>
      <c r="AA52" s="1">
        <v>4</v>
      </c>
      <c r="AC52" s="1">
        <v>1</v>
      </c>
      <c r="AD52" s="1">
        <v>2</v>
      </c>
      <c r="AF52" s="3">
        <v>5400000</v>
      </c>
      <c r="AG52" s="1">
        <v>11</v>
      </c>
      <c r="AR52" s="1" t="s">
        <v>130</v>
      </c>
      <c r="BP52" s="1">
        <v>4</v>
      </c>
      <c r="BQ52" s="1" t="s">
        <v>3014</v>
      </c>
      <c r="BR52" s="1" t="s">
        <v>3015</v>
      </c>
      <c r="BT52" s="1" t="s">
        <v>79</v>
      </c>
      <c r="BU52" s="1">
        <v>2</v>
      </c>
      <c r="BV52" s="1">
        <v>1</v>
      </c>
      <c r="BW52" s="1">
        <v>1</v>
      </c>
      <c r="BX52" s="1">
        <v>0</v>
      </c>
      <c r="BY52" s="1">
        <v>1</v>
      </c>
      <c r="BZ52" s="1">
        <v>0</v>
      </c>
      <c r="CA52" s="1">
        <v>0</v>
      </c>
      <c r="CB52" s="1">
        <v>0</v>
      </c>
      <c r="CC52" s="1">
        <v>0</v>
      </c>
      <c r="CD52" s="1">
        <v>0</v>
      </c>
      <c r="CE52" s="1">
        <v>0</v>
      </c>
      <c r="CF52" s="1">
        <v>0</v>
      </c>
      <c r="CG52" s="1">
        <v>0</v>
      </c>
      <c r="CH52" s="1">
        <v>0</v>
      </c>
      <c r="CI52" s="1">
        <v>0</v>
      </c>
      <c r="CJ52" s="1">
        <v>4</v>
      </c>
      <c r="CK52" s="1">
        <v>3</v>
      </c>
      <c r="CL52" s="1">
        <v>2</v>
      </c>
      <c r="CM52" s="1">
        <v>3</v>
      </c>
      <c r="CN52" s="1">
        <v>4</v>
      </c>
      <c r="CO52" s="1">
        <v>4</v>
      </c>
      <c r="CP52" s="1">
        <v>4</v>
      </c>
      <c r="CU52" s="1">
        <v>1</v>
      </c>
    </row>
    <row r="53" spans="1:99" x14ac:dyDescent="0.35">
      <c r="A53" s="1" t="s">
        <v>3016</v>
      </c>
      <c r="B53" s="1">
        <v>181331060</v>
      </c>
      <c r="C53" s="1">
        <v>0</v>
      </c>
      <c r="D53" s="1">
        <v>1</v>
      </c>
      <c r="E53" s="1">
        <v>0</v>
      </c>
      <c r="F53" s="1">
        <v>0</v>
      </c>
      <c r="G53" s="1">
        <v>0</v>
      </c>
      <c r="H53" s="1">
        <v>0</v>
      </c>
      <c r="I53" s="1">
        <v>0</v>
      </c>
      <c r="J53" s="1">
        <v>0</v>
      </c>
      <c r="K53" s="1">
        <v>1</v>
      </c>
      <c r="L53" s="1">
        <v>0</v>
      </c>
      <c r="M53" s="1">
        <v>0</v>
      </c>
      <c r="N53" s="1">
        <v>0</v>
      </c>
      <c r="O53" s="1">
        <v>0</v>
      </c>
      <c r="P53" s="1">
        <v>10</v>
      </c>
      <c r="Q53" s="1">
        <v>6</v>
      </c>
      <c r="R53" s="1">
        <v>3</v>
      </c>
      <c r="S53" s="1">
        <v>1</v>
      </c>
      <c r="T53" s="1">
        <v>1</v>
      </c>
      <c r="U53" s="1">
        <v>3</v>
      </c>
      <c r="V53" s="1">
        <v>3</v>
      </c>
      <c r="W53" s="1">
        <v>3</v>
      </c>
      <c r="X53" s="1">
        <v>3</v>
      </c>
      <c r="Y53" s="1">
        <v>3</v>
      </c>
      <c r="Z53" s="1">
        <v>3</v>
      </c>
      <c r="AA53" s="1">
        <v>3</v>
      </c>
      <c r="AC53" s="1">
        <v>2</v>
      </c>
      <c r="AE53" s="1">
        <v>7</v>
      </c>
      <c r="AF53" s="3">
        <v>4642000</v>
      </c>
      <c r="AG53" s="1">
        <v>11</v>
      </c>
      <c r="AR53" s="1" t="s">
        <v>239</v>
      </c>
      <c r="BP53" s="1">
        <v>3</v>
      </c>
      <c r="BQ53" s="1" t="s">
        <v>3017</v>
      </c>
      <c r="BR53" s="1" t="s">
        <v>3018</v>
      </c>
      <c r="BS53" s="1" t="s">
        <v>4339</v>
      </c>
      <c r="BT53" s="1" t="s">
        <v>79</v>
      </c>
      <c r="BU53" s="1">
        <v>3</v>
      </c>
      <c r="BV53" s="1">
        <v>2</v>
      </c>
      <c r="BW53" s="1">
        <v>0</v>
      </c>
      <c r="BX53" s="1">
        <v>1</v>
      </c>
      <c r="BY53" s="1">
        <v>0</v>
      </c>
      <c r="BZ53" s="1">
        <v>0</v>
      </c>
      <c r="CA53" s="1">
        <v>0</v>
      </c>
      <c r="CB53" s="1">
        <v>0</v>
      </c>
      <c r="CC53" s="1">
        <v>0</v>
      </c>
      <c r="CD53" s="1">
        <v>0</v>
      </c>
      <c r="CE53" s="1">
        <v>1</v>
      </c>
      <c r="CF53" s="1">
        <v>0</v>
      </c>
      <c r="CG53" s="1">
        <v>0</v>
      </c>
      <c r="CH53" s="1">
        <v>0</v>
      </c>
      <c r="CI53" s="1">
        <v>0</v>
      </c>
      <c r="CJ53" s="1">
        <v>4</v>
      </c>
      <c r="CK53" s="1">
        <v>3</v>
      </c>
      <c r="CL53" s="1">
        <v>3</v>
      </c>
      <c r="CM53" s="1">
        <v>3</v>
      </c>
      <c r="CN53" s="1">
        <v>4</v>
      </c>
      <c r="CO53" s="1">
        <v>4</v>
      </c>
      <c r="CP53" s="1">
        <v>4</v>
      </c>
      <c r="CU53" s="1">
        <v>1</v>
      </c>
    </row>
    <row r="54" spans="1:99" x14ac:dyDescent="0.35">
      <c r="A54" s="1" t="s">
        <v>3019</v>
      </c>
      <c r="B54" s="1">
        <v>181331061</v>
      </c>
      <c r="C54" s="1">
        <v>1</v>
      </c>
      <c r="D54" s="1">
        <v>1</v>
      </c>
      <c r="E54" s="1">
        <v>0</v>
      </c>
      <c r="F54" s="1">
        <v>0</v>
      </c>
      <c r="G54" s="1">
        <v>0</v>
      </c>
      <c r="H54" s="1">
        <v>0</v>
      </c>
      <c r="I54" s="1">
        <v>0</v>
      </c>
      <c r="J54" s="1">
        <v>0</v>
      </c>
      <c r="K54" s="1">
        <v>0</v>
      </c>
      <c r="L54" s="1">
        <v>0</v>
      </c>
      <c r="M54" s="1">
        <v>0</v>
      </c>
      <c r="N54" s="1">
        <v>0</v>
      </c>
      <c r="O54" s="1">
        <v>0</v>
      </c>
      <c r="P54" s="1">
        <v>50</v>
      </c>
      <c r="Q54" s="1">
        <v>5</v>
      </c>
      <c r="R54" s="1">
        <v>2</v>
      </c>
      <c r="S54" s="1">
        <v>1</v>
      </c>
      <c r="T54" s="1">
        <v>1</v>
      </c>
      <c r="U54" s="1">
        <v>4</v>
      </c>
      <c r="V54" s="1">
        <v>3</v>
      </c>
      <c r="W54" s="1">
        <v>4</v>
      </c>
      <c r="X54" s="1">
        <v>4</v>
      </c>
      <c r="Y54" s="1">
        <v>4</v>
      </c>
      <c r="Z54" s="1">
        <v>4</v>
      </c>
      <c r="AA54" s="1">
        <v>4</v>
      </c>
      <c r="AC54" s="1">
        <v>2</v>
      </c>
      <c r="AE54" s="1">
        <v>6</v>
      </c>
      <c r="AF54" s="3">
        <v>2300000</v>
      </c>
      <c r="AG54" s="1">
        <v>13</v>
      </c>
      <c r="AT54" s="1" t="s">
        <v>75</v>
      </c>
      <c r="BP54" s="1">
        <v>3</v>
      </c>
      <c r="BQ54" s="1" t="s">
        <v>3020</v>
      </c>
      <c r="BR54" s="1" t="s">
        <v>3021</v>
      </c>
      <c r="BS54" s="1" t="s">
        <v>3022</v>
      </c>
      <c r="BT54" s="1" t="s">
        <v>107</v>
      </c>
      <c r="BU54" s="1">
        <v>5</v>
      </c>
      <c r="BV54" s="1">
        <v>2</v>
      </c>
      <c r="BW54" s="1">
        <v>0</v>
      </c>
      <c r="BX54" s="1">
        <v>1</v>
      </c>
      <c r="BY54" s="1">
        <v>1</v>
      </c>
      <c r="BZ54" s="1">
        <v>1</v>
      </c>
      <c r="CA54" s="1">
        <v>0</v>
      </c>
      <c r="CB54" s="1">
        <v>0</v>
      </c>
      <c r="CC54" s="1">
        <v>0</v>
      </c>
      <c r="CD54" s="1">
        <v>0</v>
      </c>
      <c r="CE54" s="1">
        <v>0</v>
      </c>
      <c r="CF54" s="1">
        <v>1</v>
      </c>
      <c r="CG54" s="1">
        <v>0</v>
      </c>
      <c r="CH54" s="1">
        <v>0</v>
      </c>
      <c r="CI54" s="1">
        <v>0</v>
      </c>
      <c r="CJ54" s="1">
        <v>4</v>
      </c>
      <c r="CK54" s="1">
        <v>2</v>
      </c>
      <c r="CL54" s="1">
        <v>4</v>
      </c>
      <c r="CM54" s="1">
        <v>4</v>
      </c>
      <c r="CN54" s="1">
        <v>4</v>
      </c>
      <c r="CO54" s="1">
        <v>4</v>
      </c>
      <c r="CP54" s="1">
        <v>4</v>
      </c>
      <c r="CU54" s="1">
        <v>2</v>
      </c>
    </row>
    <row r="55" spans="1:99" x14ac:dyDescent="0.35">
      <c r="A55" s="1" t="s">
        <v>3023</v>
      </c>
      <c r="B55" s="1">
        <v>181331062</v>
      </c>
      <c r="S55" s="1">
        <v>5</v>
      </c>
      <c r="T55" s="1">
        <v>1</v>
      </c>
      <c r="U55" s="1">
        <v>4</v>
      </c>
      <c r="V55" s="1">
        <v>4</v>
      </c>
      <c r="W55" s="1">
        <v>4</v>
      </c>
      <c r="X55" s="1">
        <v>4</v>
      </c>
      <c r="Y55" s="1">
        <v>4</v>
      </c>
      <c r="Z55" s="1">
        <v>4</v>
      </c>
      <c r="AA55" s="1">
        <v>4</v>
      </c>
      <c r="CU55" s="1">
        <v>1</v>
      </c>
    </row>
    <row r="56" spans="1:99" x14ac:dyDescent="0.35">
      <c r="A56" s="1" t="s">
        <v>3024</v>
      </c>
      <c r="B56" s="1">
        <v>181331063</v>
      </c>
      <c r="C56" s="1">
        <v>0</v>
      </c>
      <c r="D56" s="1">
        <v>1</v>
      </c>
      <c r="E56" s="1">
        <v>1</v>
      </c>
      <c r="F56" s="1">
        <v>0</v>
      </c>
      <c r="G56" s="1">
        <v>0</v>
      </c>
      <c r="H56" s="1">
        <v>0</v>
      </c>
      <c r="I56" s="1">
        <v>0</v>
      </c>
      <c r="J56" s="1">
        <v>0</v>
      </c>
      <c r="K56" s="1">
        <v>0</v>
      </c>
      <c r="L56" s="1">
        <v>0</v>
      </c>
      <c r="M56" s="1">
        <v>0</v>
      </c>
      <c r="N56" s="1">
        <v>0</v>
      </c>
      <c r="O56" s="1">
        <v>0</v>
      </c>
      <c r="P56" s="1">
        <v>300</v>
      </c>
      <c r="Q56" s="1">
        <v>100</v>
      </c>
      <c r="R56" s="1">
        <v>50</v>
      </c>
      <c r="S56" s="1">
        <v>1</v>
      </c>
      <c r="T56" s="1">
        <v>3</v>
      </c>
      <c r="U56" s="1">
        <v>4</v>
      </c>
      <c r="V56" s="1">
        <v>3</v>
      </c>
      <c r="W56" s="1">
        <v>3</v>
      </c>
      <c r="X56" s="1">
        <v>4</v>
      </c>
      <c r="Y56" s="1">
        <v>4</v>
      </c>
      <c r="Z56" s="1">
        <v>4</v>
      </c>
      <c r="AA56" s="1">
        <v>4</v>
      </c>
      <c r="AC56" s="1">
        <v>1</v>
      </c>
      <c r="AD56" s="1">
        <v>3</v>
      </c>
      <c r="AF56" s="3">
        <v>3000000</v>
      </c>
      <c r="AG56" s="1">
        <v>13</v>
      </c>
      <c r="AT56" s="1" t="s">
        <v>93</v>
      </c>
      <c r="BP56" s="1">
        <v>3</v>
      </c>
      <c r="BQ56" s="1" t="s">
        <v>3025</v>
      </c>
      <c r="BR56" s="1" t="s">
        <v>3026</v>
      </c>
      <c r="BS56" s="1" t="s">
        <v>3027</v>
      </c>
      <c r="BT56" s="1" t="s">
        <v>79</v>
      </c>
      <c r="BU56" s="1">
        <v>5</v>
      </c>
      <c r="BV56" s="1">
        <v>2</v>
      </c>
      <c r="BW56" s="1">
        <v>0</v>
      </c>
      <c r="BX56" s="1">
        <v>1</v>
      </c>
      <c r="BY56" s="1">
        <v>1</v>
      </c>
      <c r="BZ56" s="1">
        <v>1</v>
      </c>
      <c r="CA56" s="1">
        <v>0</v>
      </c>
      <c r="CB56" s="1">
        <v>0</v>
      </c>
      <c r="CC56" s="1">
        <v>0</v>
      </c>
      <c r="CD56" s="1">
        <v>0</v>
      </c>
      <c r="CE56" s="1">
        <v>0</v>
      </c>
      <c r="CF56" s="1">
        <v>0</v>
      </c>
      <c r="CG56" s="1">
        <v>0</v>
      </c>
      <c r="CH56" s="1">
        <v>0</v>
      </c>
      <c r="CI56" s="1">
        <v>0</v>
      </c>
      <c r="CJ56" s="1">
        <v>4</v>
      </c>
      <c r="CK56" s="1">
        <v>4</v>
      </c>
      <c r="CL56" s="1">
        <v>4</v>
      </c>
      <c r="CM56" s="1">
        <v>4</v>
      </c>
      <c r="CN56" s="1">
        <v>4</v>
      </c>
      <c r="CO56" s="1">
        <v>4</v>
      </c>
      <c r="CP56" s="1">
        <v>4</v>
      </c>
      <c r="CU56" s="1">
        <v>4</v>
      </c>
    </row>
    <row r="57" spans="1:99" x14ac:dyDescent="0.35">
      <c r="A57" s="1" t="s">
        <v>3028</v>
      </c>
      <c r="B57" s="1">
        <v>181331064</v>
      </c>
      <c r="C57" s="1">
        <v>0</v>
      </c>
      <c r="D57" s="1">
        <v>1</v>
      </c>
      <c r="E57" s="1">
        <v>1</v>
      </c>
      <c r="F57" s="1">
        <v>0</v>
      </c>
      <c r="G57" s="1">
        <v>0</v>
      </c>
      <c r="H57" s="1">
        <v>0</v>
      </c>
      <c r="I57" s="1">
        <v>0</v>
      </c>
      <c r="J57" s="1">
        <v>0</v>
      </c>
      <c r="K57" s="1">
        <v>0</v>
      </c>
      <c r="L57" s="1">
        <v>0</v>
      </c>
      <c r="M57" s="1">
        <v>0</v>
      </c>
      <c r="N57" s="1">
        <v>0</v>
      </c>
      <c r="O57" s="1">
        <v>0</v>
      </c>
      <c r="P57" s="1">
        <v>2</v>
      </c>
      <c r="Q57" s="1">
        <v>3</v>
      </c>
      <c r="R57" s="1">
        <v>3</v>
      </c>
      <c r="S57" s="1">
        <v>1</v>
      </c>
      <c r="T57" s="1">
        <v>1</v>
      </c>
      <c r="U57" s="1">
        <v>4</v>
      </c>
      <c r="V57" s="1">
        <v>3</v>
      </c>
      <c r="W57" s="1">
        <v>3</v>
      </c>
      <c r="X57" s="1">
        <v>4</v>
      </c>
      <c r="Y57" s="1">
        <v>3</v>
      </c>
      <c r="Z57" s="1">
        <v>4</v>
      </c>
      <c r="AA57" s="1">
        <v>4</v>
      </c>
      <c r="AC57" s="1">
        <v>1</v>
      </c>
      <c r="AD57" s="1">
        <v>3</v>
      </c>
      <c r="AF57" s="3">
        <v>5600000</v>
      </c>
      <c r="AG57" s="1">
        <v>11</v>
      </c>
      <c r="AR57" s="1" t="s">
        <v>130</v>
      </c>
      <c r="BP57" s="1">
        <v>3</v>
      </c>
      <c r="BQ57" s="1" t="s">
        <v>2769</v>
      </c>
      <c r="BR57" s="1" t="s">
        <v>3029</v>
      </c>
      <c r="BS57" s="1" t="s">
        <v>3030</v>
      </c>
      <c r="BT57" s="1" t="s">
        <v>79</v>
      </c>
      <c r="BU57" s="1">
        <v>3</v>
      </c>
      <c r="BV57" s="1">
        <v>1</v>
      </c>
      <c r="BW57" s="1">
        <v>0</v>
      </c>
      <c r="BX57" s="1">
        <v>0</v>
      </c>
      <c r="BY57" s="1">
        <v>1</v>
      </c>
      <c r="BZ57" s="1">
        <v>0</v>
      </c>
      <c r="CA57" s="1">
        <v>0</v>
      </c>
      <c r="CB57" s="1">
        <v>0</v>
      </c>
      <c r="CC57" s="1">
        <v>0</v>
      </c>
      <c r="CD57" s="1">
        <v>1</v>
      </c>
      <c r="CE57" s="1">
        <v>0</v>
      </c>
      <c r="CF57" s="1">
        <v>0</v>
      </c>
      <c r="CG57" s="1">
        <v>0</v>
      </c>
      <c r="CH57" s="1">
        <v>0</v>
      </c>
      <c r="CI57" s="1">
        <v>0</v>
      </c>
      <c r="CJ57" s="1">
        <v>4</v>
      </c>
      <c r="CK57" s="1">
        <v>4</v>
      </c>
      <c r="CL57" s="1">
        <v>3</v>
      </c>
      <c r="CM57" s="1">
        <v>4</v>
      </c>
      <c r="CN57" s="1">
        <v>3</v>
      </c>
      <c r="CO57" s="1">
        <v>4</v>
      </c>
      <c r="CP57" s="1">
        <v>4</v>
      </c>
      <c r="CU57" s="1">
        <v>1</v>
      </c>
    </row>
    <row r="58" spans="1:99" x14ac:dyDescent="0.35">
      <c r="A58" s="1" t="s">
        <v>3804</v>
      </c>
      <c r="B58" s="1">
        <v>161331002</v>
      </c>
    </row>
    <row r="59" spans="1:99" x14ac:dyDescent="0.35">
      <c r="A59" s="1" t="s">
        <v>3805</v>
      </c>
      <c r="B59" s="1">
        <v>161331017</v>
      </c>
    </row>
    <row r="60" spans="1:99" x14ac:dyDescent="0.35">
      <c r="A60" s="1" t="s">
        <v>3806</v>
      </c>
      <c r="B60" s="1">
        <v>171331055</v>
      </c>
    </row>
    <row r="61" spans="1:99" x14ac:dyDescent="0.35">
      <c r="A61" s="1" t="s">
        <v>4187</v>
      </c>
      <c r="B61" s="1">
        <v>181331013</v>
      </c>
      <c r="C61" s="1">
        <v>0</v>
      </c>
      <c r="D61" s="1">
        <v>0</v>
      </c>
      <c r="E61" s="1">
        <v>0</v>
      </c>
      <c r="F61" s="1">
        <v>0</v>
      </c>
      <c r="G61" s="1">
        <v>0</v>
      </c>
      <c r="H61" s="1">
        <v>0</v>
      </c>
      <c r="I61" s="1">
        <v>0</v>
      </c>
      <c r="J61" s="1">
        <v>1</v>
      </c>
      <c r="K61" s="1">
        <v>0</v>
      </c>
      <c r="L61" s="1">
        <v>0</v>
      </c>
      <c r="M61" s="1">
        <v>0</v>
      </c>
      <c r="N61" s="1">
        <v>0</v>
      </c>
      <c r="O61" s="1">
        <v>0</v>
      </c>
      <c r="P61" s="1" t="s">
        <v>4188</v>
      </c>
      <c r="Q61" s="1" t="s">
        <v>4189</v>
      </c>
      <c r="R61" s="1" t="s">
        <v>4190</v>
      </c>
      <c r="S61" s="1">
        <v>1</v>
      </c>
      <c r="T61" s="1">
        <v>3</v>
      </c>
      <c r="U61" s="1">
        <v>3</v>
      </c>
      <c r="V61" s="1">
        <v>3</v>
      </c>
      <c r="W61" s="1">
        <v>4</v>
      </c>
      <c r="X61" s="1">
        <v>4</v>
      </c>
      <c r="Y61" s="1">
        <v>4</v>
      </c>
      <c r="Z61" s="1">
        <v>4</v>
      </c>
      <c r="AA61" s="1">
        <v>4</v>
      </c>
      <c r="AC61" s="1">
        <v>1</v>
      </c>
      <c r="AD61" s="1">
        <v>1</v>
      </c>
      <c r="AF61" s="3">
        <v>7000000</v>
      </c>
      <c r="AG61" s="1">
        <v>11</v>
      </c>
      <c r="AR61" s="1" t="s">
        <v>130</v>
      </c>
      <c r="BP61" s="1">
        <v>6</v>
      </c>
      <c r="BQ61" s="1" t="s">
        <v>4191</v>
      </c>
      <c r="BR61" s="1" t="s">
        <v>4192</v>
      </c>
      <c r="BS61" s="1" t="s">
        <v>4193</v>
      </c>
      <c r="BT61" s="1" t="s">
        <v>79</v>
      </c>
      <c r="BU61" s="1">
        <v>5</v>
      </c>
      <c r="BV61" s="1">
        <v>2</v>
      </c>
      <c r="BW61" s="1">
        <v>0</v>
      </c>
      <c r="BX61" s="1">
        <v>0</v>
      </c>
      <c r="BY61" s="1">
        <v>0</v>
      </c>
      <c r="BZ61" s="1">
        <v>1</v>
      </c>
      <c r="CA61" s="1">
        <v>0</v>
      </c>
      <c r="CB61" s="1">
        <v>0</v>
      </c>
      <c r="CC61" s="1">
        <v>0</v>
      </c>
      <c r="CD61" s="1">
        <v>1</v>
      </c>
      <c r="CE61" s="1">
        <v>0</v>
      </c>
      <c r="CF61" s="1">
        <v>0</v>
      </c>
      <c r="CG61" s="1">
        <v>1</v>
      </c>
      <c r="CH61" s="1">
        <v>0</v>
      </c>
      <c r="CI61" s="1">
        <v>0</v>
      </c>
      <c r="CJ61" s="1">
        <v>4</v>
      </c>
      <c r="CK61" s="1">
        <v>4</v>
      </c>
      <c r="CL61" s="1">
        <v>4</v>
      </c>
      <c r="CM61" s="1">
        <v>4</v>
      </c>
      <c r="CN61" s="1">
        <v>4</v>
      </c>
      <c r="CO61" s="1">
        <v>4</v>
      </c>
      <c r="CP61" s="1">
        <v>4</v>
      </c>
      <c r="CU61" s="1">
        <v>4</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CA08BB-DB81-4715-A3C4-DB4D9108D2A9}">
  <dimension ref="A1:CU28"/>
  <sheetViews>
    <sheetView topLeftCell="T1" zoomScale="55" zoomScaleNormal="55" workbookViewId="0">
      <pane ySplit="1" topLeftCell="A2" activePane="bottomLeft" state="frozen"/>
      <selection pane="bottomLeft" activeCell="T1" sqref="T1"/>
    </sheetView>
  </sheetViews>
  <sheetFormatPr defaultColWidth="8.90625" defaultRowHeight="14.5" x14ac:dyDescent="0.35"/>
  <cols>
    <col min="1" max="1" width="36.90625" style="1" bestFit="1" customWidth="1"/>
    <col min="2" max="2" width="10" style="1" customWidth="1"/>
    <col min="3" max="9" width="64.08984375" style="1" bestFit="1" customWidth="1"/>
    <col min="10" max="14" width="65.08984375" style="1" bestFit="1" customWidth="1"/>
    <col min="15" max="15" width="67.54296875" style="1" bestFit="1" customWidth="1"/>
    <col min="16" max="16" width="110" style="1" bestFit="1" customWidth="1"/>
    <col min="17" max="17" width="63.90625" style="1" bestFit="1" customWidth="1"/>
    <col min="18" max="18" width="73" style="1" bestFit="1" customWidth="1"/>
    <col min="19" max="19" width="25" style="1" bestFit="1" customWidth="1"/>
    <col min="20" max="20" width="41.26953125" style="1" bestFit="1" customWidth="1"/>
    <col min="21" max="21" width="67.08984375" style="1" bestFit="1" customWidth="1"/>
    <col min="22" max="22" width="90.453125" style="1" bestFit="1" customWidth="1"/>
    <col min="23" max="23" width="74.90625" style="1" bestFit="1" customWidth="1"/>
    <col min="24" max="24" width="89.36328125" style="1" bestFit="1" customWidth="1"/>
    <col min="25" max="25" width="72.453125" style="1" bestFit="1" customWidth="1"/>
    <col min="26" max="26" width="75.1796875" style="1" bestFit="1" customWidth="1"/>
    <col min="27" max="27" width="79" style="1" bestFit="1" customWidth="1"/>
    <col min="28" max="28" width="43.08984375" style="1" bestFit="1" customWidth="1"/>
    <col min="29" max="29" width="73.1796875" style="1" bestFit="1" customWidth="1"/>
    <col min="30" max="30" width="43.36328125" style="1" bestFit="1" customWidth="1"/>
    <col min="31" max="31" width="50.54296875" style="1" bestFit="1" customWidth="1"/>
    <col min="32" max="32" width="120.26953125" style="1" bestFit="1" customWidth="1"/>
    <col min="33" max="33" width="39.08984375" style="1" bestFit="1" customWidth="1"/>
    <col min="34" max="35" width="45.7265625" style="1" bestFit="1" customWidth="1"/>
    <col min="36" max="37" width="46.1796875" style="1" bestFit="1" customWidth="1"/>
    <col min="38" max="38" width="45.7265625" style="1" bestFit="1" customWidth="1"/>
    <col min="39" max="52" width="46.1796875" style="1" bestFit="1" customWidth="1"/>
    <col min="53" max="55" width="45.7265625" style="1" bestFit="1" customWidth="1"/>
    <col min="56" max="64" width="46.1796875" style="1" bestFit="1" customWidth="1"/>
    <col min="65" max="67" width="45.7265625" style="1" bestFit="1" customWidth="1"/>
    <col min="68" max="68" width="58.90625" style="1" bestFit="1" customWidth="1"/>
    <col min="69" max="69" width="48" style="1" bestFit="1" customWidth="1"/>
    <col min="70" max="70" width="45.36328125" style="1" bestFit="1" customWidth="1"/>
    <col min="71" max="71" width="45.26953125" style="1" bestFit="1" customWidth="1"/>
    <col min="72" max="72" width="55.453125" style="1" bestFit="1" customWidth="1"/>
    <col min="73" max="73" width="217.453125" style="1" bestFit="1" customWidth="1"/>
    <col min="74" max="74" width="65.08984375" style="1" bestFit="1" customWidth="1"/>
    <col min="75" max="83" width="117.26953125" style="1" bestFit="1" customWidth="1"/>
    <col min="84" max="86" width="118.26953125" style="1" bestFit="1" customWidth="1"/>
    <col min="87" max="87" width="120.7265625" style="1" bestFit="1" customWidth="1"/>
    <col min="88" max="88" width="76.6328125" style="1" bestFit="1" customWidth="1"/>
    <col min="89" max="89" width="100.26953125" style="1" bestFit="1" customWidth="1"/>
    <col min="90" max="90" width="84.36328125" style="1" bestFit="1" customWidth="1"/>
    <col min="91" max="91" width="98.6328125" style="1" bestFit="1" customWidth="1"/>
    <col min="92" max="92" width="81.90625" style="1" bestFit="1" customWidth="1"/>
    <col min="93" max="93" width="84.7265625" style="1" bestFit="1" customWidth="1"/>
    <col min="94" max="94" width="88.54296875" style="1" bestFit="1" customWidth="1"/>
    <col min="95" max="95" width="40.54296875" style="1" bestFit="1" customWidth="1"/>
    <col min="96" max="96" width="53.36328125" style="1" bestFit="1" customWidth="1"/>
    <col min="97" max="97" width="23.90625" style="1" bestFit="1" customWidth="1"/>
    <col min="98" max="98" width="24.7265625" style="1" bestFit="1" customWidth="1"/>
    <col min="99" max="99" width="51.90625" style="1" bestFit="1" customWidth="1"/>
    <col min="100" max="16384" width="8.90625" style="1"/>
  </cols>
  <sheetData>
    <row r="1" spans="1:99" s="6" customFormat="1" x14ac:dyDescent="0.35">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6" t="s">
        <v>15</v>
      </c>
      <c r="Q1" s="6" t="s">
        <v>16</v>
      </c>
      <c r="R1" s="6" t="s">
        <v>17</v>
      </c>
      <c r="S1" s="6" t="s">
        <v>18</v>
      </c>
      <c r="T1" s="6" t="s">
        <v>19</v>
      </c>
      <c r="U1" s="6" t="s">
        <v>20</v>
      </c>
      <c r="V1" s="6" t="s">
        <v>21</v>
      </c>
      <c r="W1" s="6" t="s">
        <v>22</v>
      </c>
      <c r="X1" s="6" t="s">
        <v>23</v>
      </c>
      <c r="Y1" s="6" t="s">
        <v>24</v>
      </c>
      <c r="Z1" s="6" t="s">
        <v>25</v>
      </c>
      <c r="AA1" s="6" t="s">
        <v>26</v>
      </c>
      <c r="AB1" s="6" t="s">
        <v>27</v>
      </c>
      <c r="AC1" s="6" t="s">
        <v>28</v>
      </c>
      <c r="AD1" s="6" t="s">
        <v>29</v>
      </c>
      <c r="AE1" s="6" t="s">
        <v>30</v>
      </c>
      <c r="AF1" s="6" t="s">
        <v>31</v>
      </c>
      <c r="AG1" s="6" t="s">
        <v>32</v>
      </c>
      <c r="AH1" s="6" t="s">
        <v>33</v>
      </c>
      <c r="AI1" s="6" t="s">
        <v>33</v>
      </c>
      <c r="AJ1" s="6" t="s">
        <v>34</v>
      </c>
      <c r="AK1" s="6" t="s">
        <v>34</v>
      </c>
      <c r="AL1" s="6" t="s">
        <v>33</v>
      </c>
      <c r="AM1" s="6" t="s">
        <v>34</v>
      </c>
      <c r="AN1" s="6" t="s">
        <v>34</v>
      </c>
      <c r="AO1" s="6" t="s">
        <v>34</v>
      </c>
      <c r="AP1" s="6" t="s">
        <v>34</v>
      </c>
      <c r="AQ1" s="6" t="s">
        <v>34</v>
      </c>
      <c r="AR1" s="6" t="s">
        <v>34</v>
      </c>
      <c r="AS1" s="6" t="s">
        <v>34</v>
      </c>
      <c r="AT1" s="6" t="s">
        <v>34</v>
      </c>
      <c r="AU1" s="6" t="s">
        <v>34</v>
      </c>
      <c r="AV1" s="6" t="s">
        <v>34</v>
      </c>
      <c r="AW1" s="6" t="s">
        <v>34</v>
      </c>
      <c r="AX1" s="6" t="s">
        <v>34</v>
      </c>
      <c r="AY1" s="6" t="s">
        <v>34</v>
      </c>
      <c r="AZ1" s="6" t="s">
        <v>34</v>
      </c>
      <c r="BA1" s="6" t="s">
        <v>33</v>
      </c>
      <c r="BB1" s="6" t="s">
        <v>33</v>
      </c>
      <c r="BC1" s="6" t="s">
        <v>33</v>
      </c>
      <c r="BD1" s="6" t="s">
        <v>34</v>
      </c>
      <c r="BE1" s="6" t="s">
        <v>34</v>
      </c>
      <c r="BF1" s="6" t="s">
        <v>34</v>
      </c>
      <c r="BG1" s="6" t="s">
        <v>34</v>
      </c>
      <c r="BH1" s="6" t="s">
        <v>34</v>
      </c>
      <c r="BI1" s="6" t="s">
        <v>34</v>
      </c>
      <c r="BJ1" s="6" t="s">
        <v>34</v>
      </c>
      <c r="BK1" s="6" t="s">
        <v>34</v>
      </c>
      <c r="BL1" s="6" t="s">
        <v>34</v>
      </c>
      <c r="BM1" s="6" t="s">
        <v>33</v>
      </c>
      <c r="BN1" s="6" t="s">
        <v>33</v>
      </c>
      <c r="BO1" s="6" t="s">
        <v>33</v>
      </c>
      <c r="BP1" s="6" t="s">
        <v>35</v>
      </c>
      <c r="BQ1" s="6" t="s">
        <v>36</v>
      </c>
      <c r="BR1" s="6" t="s">
        <v>37</v>
      </c>
      <c r="BS1" s="6" t="s">
        <v>38</v>
      </c>
      <c r="BT1" s="6" t="s">
        <v>39</v>
      </c>
      <c r="BU1" s="6" t="s">
        <v>40</v>
      </c>
      <c r="BV1" s="6" t="s">
        <v>41</v>
      </c>
      <c r="BW1" s="6" t="s">
        <v>42</v>
      </c>
      <c r="BX1" s="6" t="s">
        <v>43</v>
      </c>
      <c r="BY1" s="6" t="s">
        <v>44</v>
      </c>
      <c r="BZ1" s="6" t="s">
        <v>45</v>
      </c>
      <c r="CA1" s="6" t="s">
        <v>46</v>
      </c>
      <c r="CB1" s="6" t="s">
        <v>47</v>
      </c>
      <c r="CC1" s="6" t="s">
        <v>48</v>
      </c>
      <c r="CD1" s="6" t="s">
        <v>49</v>
      </c>
      <c r="CE1" s="6" t="s">
        <v>50</v>
      </c>
      <c r="CF1" s="6" t="s">
        <v>51</v>
      </c>
      <c r="CG1" s="6" t="s">
        <v>52</v>
      </c>
      <c r="CH1" s="6" t="s">
        <v>53</v>
      </c>
      <c r="CI1" s="6" t="s">
        <v>54</v>
      </c>
      <c r="CJ1" s="6" t="s">
        <v>55</v>
      </c>
      <c r="CK1" s="6" t="s">
        <v>56</v>
      </c>
      <c r="CL1" s="6" t="s">
        <v>57</v>
      </c>
      <c r="CM1" s="6" t="s">
        <v>58</v>
      </c>
      <c r="CN1" s="6" t="s">
        <v>59</v>
      </c>
      <c r="CO1" s="6" t="s">
        <v>60</v>
      </c>
      <c r="CP1" s="6" t="s">
        <v>61</v>
      </c>
      <c r="CQ1" s="6" t="s">
        <v>62</v>
      </c>
      <c r="CR1" s="6" t="s">
        <v>63</v>
      </c>
      <c r="CS1" s="6" t="s">
        <v>64</v>
      </c>
      <c r="CT1" s="6" t="s">
        <v>65</v>
      </c>
      <c r="CU1" s="6" t="s">
        <v>66</v>
      </c>
    </row>
    <row r="2" spans="1:99" x14ac:dyDescent="0.35">
      <c r="A2" s="1" t="s">
        <v>3031</v>
      </c>
      <c r="B2" s="1">
        <v>161724014</v>
      </c>
    </row>
    <row r="3" spans="1:99" x14ac:dyDescent="0.35">
      <c r="A3" s="1" t="s">
        <v>3032</v>
      </c>
      <c r="B3" s="1">
        <v>161724025</v>
      </c>
      <c r="S3" s="1">
        <v>3</v>
      </c>
      <c r="T3" s="1">
        <v>1</v>
      </c>
      <c r="U3" s="1">
        <v>4</v>
      </c>
      <c r="V3" s="1">
        <v>3</v>
      </c>
      <c r="W3" s="1">
        <v>2</v>
      </c>
      <c r="X3" s="1">
        <v>4</v>
      </c>
      <c r="Y3" s="1">
        <v>4</v>
      </c>
      <c r="Z3" s="1">
        <v>4</v>
      </c>
      <c r="AA3" s="1">
        <v>4</v>
      </c>
      <c r="AB3" s="1">
        <v>2</v>
      </c>
      <c r="AC3" s="1">
        <v>1</v>
      </c>
      <c r="AD3" s="1">
        <v>0</v>
      </c>
      <c r="AE3" s="1">
        <v>1</v>
      </c>
      <c r="AF3" s="3">
        <v>10000000</v>
      </c>
      <c r="AG3" s="1">
        <v>13</v>
      </c>
      <c r="AT3" s="1" t="s">
        <v>812</v>
      </c>
      <c r="BP3" s="1">
        <v>4</v>
      </c>
      <c r="BQ3" s="1" t="s">
        <v>3033</v>
      </c>
      <c r="BR3" s="1" t="s">
        <v>3032</v>
      </c>
      <c r="BS3" s="1" t="s">
        <v>3034</v>
      </c>
      <c r="BT3" s="1" t="s">
        <v>79</v>
      </c>
      <c r="BU3" s="1">
        <v>5</v>
      </c>
      <c r="BV3" s="1">
        <v>4</v>
      </c>
      <c r="BW3" s="1">
        <v>0</v>
      </c>
      <c r="BX3" s="1">
        <v>0</v>
      </c>
      <c r="BY3" s="1">
        <v>0</v>
      </c>
      <c r="BZ3" s="1">
        <v>0</v>
      </c>
      <c r="CA3" s="1">
        <v>0</v>
      </c>
      <c r="CB3" s="1">
        <v>1</v>
      </c>
      <c r="CC3" s="1">
        <v>0</v>
      </c>
      <c r="CD3" s="1">
        <v>0</v>
      </c>
      <c r="CE3" s="1">
        <v>0</v>
      </c>
      <c r="CF3" s="1">
        <v>0</v>
      </c>
      <c r="CG3" s="1">
        <v>0</v>
      </c>
      <c r="CH3" s="1">
        <v>0</v>
      </c>
      <c r="CI3" s="1">
        <v>0</v>
      </c>
      <c r="CJ3" s="1">
        <v>3</v>
      </c>
      <c r="CK3" s="1">
        <v>1</v>
      </c>
      <c r="CL3" s="1">
        <v>1</v>
      </c>
      <c r="CM3" s="1">
        <v>3</v>
      </c>
      <c r="CN3" s="1">
        <v>3</v>
      </c>
      <c r="CO3" s="1">
        <v>3</v>
      </c>
      <c r="CP3" s="1">
        <v>3</v>
      </c>
      <c r="CU3" s="1">
        <v>1</v>
      </c>
    </row>
    <row r="4" spans="1:99" x14ac:dyDescent="0.35">
      <c r="A4" s="1" t="s">
        <v>3035</v>
      </c>
      <c r="B4" s="1">
        <v>171724001</v>
      </c>
      <c r="C4" s="1">
        <v>0</v>
      </c>
      <c r="D4" s="1">
        <v>1</v>
      </c>
      <c r="E4" s="1">
        <v>0</v>
      </c>
      <c r="F4" s="1">
        <v>0</v>
      </c>
      <c r="G4" s="1">
        <v>0</v>
      </c>
      <c r="H4" s="1">
        <v>1</v>
      </c>
      <c r="I4" s="1">
        <v>0</v>
      </c>
      <c r="J4" s="1">
        <v>0</v>
      </c>
      <c r="K4" s="1">
        <v>1</v>
      </c>
      <c r="L4" s="1">
        <v>0</v>
      </c>
      <c r="M4" s="1">
        <v>0</v>
      </c>
      <c r="N4" s="1">
        <v>0</v>
      </c>
      <c r="O4" s="1">
        <v>0</v>
      </c>
      <c r="P4" s="1">
        <v>30</v>
      </c>
      <c r="Q4" s="1">
        <v>10</v>
      </c>
      <c r="R4" s="1">
        <v>4</v>
      </c>
      <c r="S4" s="1">
        <v>1</v>
      </c>
      <c r="T4" s="1">
        <v>1</v>
      </c>
      <c r="U4" s="1">
        <v>4</v>
      </c>
      <c r="V4" s="1">
        <v>3</v>
      </c>
      <c r="W4" s="1">
        <v>3</v>
      </c>
      <c r="X4" s="1">
        <v>3</v>
      </c>
      <c r="Y4" s="1">
        <v>3</v>
      </c>
      <c r="Z4" s="1">
        <v>3</v>
      </c>
      <c r="AA4" s="1">
        <v>3</v>
      </c>
      <c r="AC4" s="1">
        <v>2</v>
      </c>
      <c r="AE4" s="1">
        <v>8</v>
      </c>
      <c r="AF4" s="3">
        <v>7000000</v>
      </c>
      <c r="AG4" s="1">
        <v>32</v>
      </c>
      <c r="BM4" s="1" t="s">
        <v>3036</v>
      </c>
      <c r="BP4" s="1">
        <v>3</v>
      </c>
      <c r="BQ4" s="1" t="s">
        <v>3037</v>
      </c>
      <c r="BR4" s="1" t="s">
        <v>3038</v>
      </c>
      <c r="BT4" s="1" t="s">
        <v>73</v>
      </c>
      <c r="BU4" s="1">
        <v>1</v>
      </c>
      <c r="BV4" s="1">
        <v>2</v>
      </c>
      <c r="BW4" s="1">
        <v>1</v>
      </c>
      <c r="BX4" s="1">
        <v>0</v>
      </c>
      <c r="BY4" s="1">
        <v>0</v>
      </c>
      <c r="BZ4" s="1">
        <v>0</v>
      </c>
      <c r="CA4" s="1">
        <v>0</v>
      </c>
      <c r="CB4" s="1">
        <v>0</v>
      </c>
      <c r="CC4" s="1">
        <v>0</v>
      </c>
      <c r="CD4" s="1">
        <v>0</v>
      </c>
      <c r="CE4" s="1">
        <v>0</v>
      </c>
      <c r="CF4" s="1">
        <v>0</v>
      </c>
      <c r="CG4" s="1">
        <v>0</v>
      </c>
      <c r="CH4" s="1">
        <v>0</v>
      </c>
      <c r="CI4" s="1">
        <v>0</v>
      </c>
      <c r="CJ4" s="1">
        <v>4</v>
      </c>
      <c r="CK4" s="1">
        <v>4</v>
      </c>
      <c r="CL4" s="1">
        <v>4</v>
      </c>
      <c r="CM4" s="1">
        <v>3</v>
      </c>
      <c r="CN4" s="1">
        <v>4</v>
      </c>
      <c r="CO4" s="1">
        <v>4</v>
      </c>
      <c r="CP4" s="1">
        <v>3</v>
      </c>
      <c r="CU4" s="1">
        <v>1</v>
      </c>
    </row>
    <row r="5" spans="1:99" x14ac:dyDescent="0.35">
      <c r="A5" s="1" t="s">
        <v>3039</v>
      </c>
      <c r="B5" s="1">
        <v>171724006</v>
      </c>
      <c r="C5" s="1">
        <v>0</v>
      </c>
      <c r="D5" s="1">
        <v>1</v>
      </c>
      <c r="E5" s="1">
        <v>0</v>
      </c>
      <c r="F5" s="1">
        <v>0</v>
      </c>
      <c r="G5" s="1">
        <v>0</v>
      </c>
      <c r="H5" s="1">
        <v>1</v>
      </c>
      <c r="I5" s="1">
        <v>0</v>
      </c>
      <c r="J5" s="1">
        <v>0</v>
      </c>
      <c r="K5" s="1">
        <v>1</v>
      </c>
      <c r="L5" s="1">
        <v>0</v>
      </c>
      <c r="M5" s="1">
        <v>1</v>
      </c>
      <c r="N5" s="1">
        <v>0</v>
      </c>
      <c r="O5" s="1">
        <v>0</v>
      </c>
      <c r="P5" s="1" t="s">
        <v>2963</v>
      </c>
      <c r="Q5" s="1">
        <v>15</v>
      </c>
      <c r="R5" s="1">
        <v>8</v>
      </c>
      <c r="S5" s="1">
        <v>1</v>
      </c>
      <c r="T5" s="1">
        <v>1</v>
      </c>
      <c r="U5" s="1">
        <v>4</v>
      </c>
      <c r="V5" s="1">
        <v>4</v>
      </c>
      <c r="W5" s="1">
        <v>3</v>
      </c>
      <c r="X5" s="1">
        <v>2</v>
      </c>
      <c r="Y5" s="1">
        <v>4</v>
      </c>
      <c r="Z5" s="1">
        <v>4</v>
      </c>
      <c r="AA5" s="1">
        <v>3</v>
      </c>
      <c r="AC5" s="1">
        <v>1</v>
      </c>
      <c r="AD5" s="1">
        <v>2</v>
      </c>
      <c r="AE5" s="1">
        <v>2</v>
      </c>
      <c r="AF5" s="3">
        <v>7000000</v>
      </c>
      <c r="AG5" s="1">
        <v>32</v>
      </c>
      <c r="BM5" s="1" t="s">
        <v>3036</v>
      </c>
      <c r="BP5" s="1">
        <v>3</v>
      </c>
      <c r="BQ5" s="1" t="s">
        <v>3037</v>
      </c>
      <c r="BR5" s="1" t="s">
        <v>3040</v>
      </c>
      <c r="BT5" s="1" t="s">
        <v>73</v>
      </c>
      <c r="BU5" s="1">
        <v>1</v>
      </c>
      <c r="BV5" s="1">
        <v>2</v>
      </c>
      <c r="BW5" s="1">
        <v>1</v>
      </c>
      <c r="BX5" s="1">
        <v>0</v>
      </c>
      <c r="BY5" s="1">
        <v>0</v>
      </c>
      <c r="BZ5" s="1">
        <v>0</v>
      </c>
      <c r="CA5" s="1">
        <v>0</v>
      </c>
      <c r="CB5" s="1">
        <v>0</v>
      </c>
      <c r="CC5" s="1">
        <v>0</v>
      </c>
      <c r="CD5" s="1">
        <v>0</v>
      </c>
      <c r="CE5" s="1">
        <v>0</v>
      </c>
      <c r="CF5" s="1">
        <v>0</v>
      </c>
      <c r="CG5" s="1">
        <v>0</v>
      </c>
      <c r="CH5" s="1">
        <v>0</v>
      </c>
      <c r="CI5" s="1">
        <v>0</v>
      </c>
      <c r="CJ5" s="1">
        <v>4</v>
      </c>
      <c r="CK5" s="1">
        <v>4</v>
      </c>
      <c r="CL5" s="1">
        <v>4</v>
      </c>
      <c r="CM5" s="1">
        <v>4</v>
      </c>
      <c r="CN5" s="1">
        <v>4</v>
      </c>
      <c r="CO5" s="1">
        <v>4</v>
      </c>
      <c r="CP5" s="1">
        <v>4</v>
      </c>
      <c r="CU5" s="1">
        <v>4</v>
      </c>
    </row>
    <row r="6" spans="1:99" x14ac:dyDescent="0.35">
      <c r="A6" s="1" t="s">
        <v>3041</v>
      </c>
      <c r="B6" s="1">
        <v>171724007</v>
      </c>
      <c r="C6" s="1">
        <v>0</v>
      </c>
      <c r="D6" s="1">
        <v>1</v>
      </c>
      <c r="E6" s="1">
        <v>0</v>
      </c>
      <c r="F6" s="1">
        <v>0</v>
      </c>
      <c r="G6" s="1">
        <v>0</v>
      </c>
      <c r="H6" s="1">
        <v>0</v>
      </c>
      <c r="I6" s="1">
        <v>0</v>
      </c>
      <c r="J6" s="1">
        <v>0</v>
      </c>
      <c r="K6" s="1">
        <v>1</v>
      </c>
      <c r="L6" s="1">
        <v>0</v>
      </c>
      <c r="M6" s="1">
        <v>0</v>
      </c>
      <c r="N6" s="1">
        <v>0</v>
      </c>
      <c r="O6" s="1">
        <v>0</v>
      </c>
      <c r="P6" s="1">
        <v>80</v>
      </c>
      <c r="Q6" s="1">
        <v>14</v>
      </c>
      <c r="R6" s="1">
        <v>6</v>
      </c>
      <c r="S6" s="1">
        <v>1</v>
      </c>
      <c r="T6" s="1">
        <v>1</v>
      </c>
      <c r="U6" s="1">
        <v>3</v>
      </c>
      <c r="V6" s="1">
        <v>3</v>
      </c>
      <c r="W6" s="1">
        <v>3</v>
      </c>
      <c r="X6" s="1">
        <v>2</v>
      </c>
      <c r="Y6" s="1">
        <v>3</v>
      </c>
      <c r="Z6" s="1">
        <v>3</v>
      </c>
      <c r="AA6" s="1">
        <v>3</v>
      </c>
      <c r="AC6" s="1">
        <v>2</v>
      </c>
      <c r="AE6" s="1">
        <v>11</v>
      </c>
      <c r="AF6" s="3">
        <v>4500000</v>
      </c>
      <c r="AG6" s="1">
        <v>12</v>
      </c>
      <c r="AS6" s="1" t="s">
        <v>1021</v>
      </c>
      <c r="BP6" s="1">
        <v>3</v>
      </c>
      <c r="BQ6" s="1" t="s">
        <v>3042</v>
      </c>
      <c r="BR6" s="1" t="s">
        <v>3043</v>
      </c>
      <c r="BS6" s="1" t="s">
        <v>3044</v>
      </c>
      <c r="BT6" s="1" t="s">
        <v>79</v>
      </c>
      <c r="BU6" s="1">
        <v>3</v>
      </c>
      <c r="BV6" s="1">
        <v>2</v>
      </c>
      <c r="BW6" s="1">
        <v>0</v>
      </c>
      <c r="BX6" s="1">
        <v>1</v>
      </c>
      <c r="BY6" s="1">
        <v>1</v>
      </c>
      <c r="BZ6" s="1">
        <v>0</v>
      </c>
      <c r="CA6" s="1">
        <v>0</v>
      </c>
      <c r="CB6" s="1">
        <v>0</v>
      </c>
      <c r="CC6" s="1">
        <v>0</v>
      </c>
      <c r="CD6" s="1">
        <v>0</v>
      </c>
      <c r="CE6" s="1">
        <v>0</v>
      </c>
      <c r="CF6" s="1">
        <v>0</v>
      </c>
      <c r="CG6" s="1">
        <v>0</v>
      </c>
      <c r="CH6" s="1">
        <v>0</v>
      </c>
      <c r="CI6" s="1">
        <v>0</v>
      </c>
      <c r="CJ6" s="1">
        <v>3</v>
      </c>
      <c r="CK6" s="1">
        <v>4</v>
      </c>
      <c r="CL6" s="1">
        <v>2</v>
      </c>
      <c r="CM6" s="1">
        <v>3</v>
      </c>
      <c r="CN6" s="1">
        <v>3</v>
      </c>
      <c r="CO6" s="1">
        <v>4</v>
      </c>
      <c r="CP6" s="1">
        <v>4</v>
      </c>
      <c r="CU6" s="1">
        <v>1</v>
      </c>
    </row>
    <row r="7" spans="1:99" x14ac:dyDescent="0.35">
      <c r="A7" s="1" t="s">
        <v>3045</v>
      </c>
      <c r="B7" s="1">
        <v>171724009</v>
      </c>
      <c r="C7" s="1">
        <v>1</v>
      </c>
      <c r="D7" s="1">
        <v>1</v>
      </c>
      <c r="E7" s="1">
        <v>1</v>
      </c>
      <c r="F7" s="1">
        <v>1</v>
      </c>
      <c r="G7" s="1">
        <v>1</v>
      </c>
      <c r="H7" s="1">
        <v>1</v>
      </c>
      <c r="I7" s="1">
        <v>0</v>
      </c>
      <c r="J7" s="1">
        <v>0</v>
      </c>
      <c r="K7" s="1">
        <v>0</v>
      </c>
      <c r="L7" s="1">
        <v>0</v>
      </c>
      <c r="M7" s="1">
        <v>0</v>
      </c>
      <c r="N7" s="1">
        <v>0</v>
      </c>
      <c r="O7" s="1">
        <v>0</v>
      </c>
      <c r="P7" s="1">
        <v>60</v>
      </c>
      <c r="Q7" s="1">
        <v>15</v>
      </c>
      <c r="R7" s="1">
        <v>10</v>
      </c>
      <c r="S7" s="1">
        <v>1</v>
      </c>
      <c r="T7" s="1">
        <v>3</v>
      </c>
      <c r="U7" s="1">
        <v>4</v>
      </c>
      <c r="V7" s="1">
        <v>3</v>
      </c>
      <c r="W7" s="1">
        <v>1</v>
      </c>
      <c r="X7" s="1">
        <v>3</v>
      </c>
      <c r="Y7" s="1">
        <v>3</v>
      </c>
      <c r="Z7" s="1">
        <v>3</v>
      </c>
      <c r="AA7" s="1">
        <v>3</v>
      </c>
      <c r="AC7" s="1">
        <v>2</v>
      </c>
      <c r="AE7" s="1">
        <v>9</v>
      </c>
      <c r="AF7" s="3">
        <v>3400000</v>
      </c>
      <c r="AG7" s="1">
        <v>13</v>
      </c>
      <c r="AT7" s="1" t="s">
        <v>86</v>
      </c>
      <c r="BP7" s="1">
        <v>3</v>
      </c>
      <c r="BQ7" s="1" t="s">
        <v>3046</v>
      </c>
      <c r="BR7" s="1" t="s">
        <v>3047</v>
      </c>
      <c r="BT7" s="1" t="s">
        <v>79</v>
      </c>
      <c r="BU7" s="1">
        <v>5</v>
      </c>
      <c r="BV7" s="1">
        <v>3</v>
      </c>
      <c r="BW7" s="1">
        <v>1</v>
      </c>
      <c r="BX7" s="1">
        <v>1</v>
      </c>
      <c r="BY7" s="1">
        <v>0</v>
      </c>
      <c r="BZ7" s="1">
        <v>0</v>
      </c>
      <c r="CA7" s="1">
        <v>0</v>
      </c>
      <c r="CB7" s="1">
        <v>0</v>
      </c>
      <c r="CC7" s="1">
        <v>0</v>
      </c>
      <c r="CD7" s="1">
        <v>0</v>
      </c>
      <c r="CE7" s="1">
        <v>0</v>
      </c>
      <c r="CF7" s="1">
        <v>0</v>
      </c>
      <c r="CG7" s="1">
        <v>0</v>
      </c>
      <c r="CH7" s="1">
        <v>0</v>
      </c>
      <c r="CI7" s="1">
        <v>0</v>
      </c>
      <c r="CJ7" s="1">
        <v>4</v>
      </c>
      <c r="CK7" s="1">
        <v>3</v>
      </c>
      <c r="CL7" s="1">
        <v>3</v>
      </c>
      <c r="CM7" s="1">
        <v>2</v>
      </c>
      <c r="CN7" s="1">
        <v>3</v>
      </c>
      <c r="CO7" s="1">
        <v>2</v>
      </c>
      <c r="CP7" s="1">
        <v>2</v>
      </c>
      <c r="CU7" s="1">
        <v>4</v>
      </c>
    </row>
    <row r="8" spans="1:99" x14ac:dyDescent="0.35">
      <c r="A8" s="1" t="s">
        <v>3048</v>
      </c>
      <c r="B8" s="1">
        <v>171724011</v>
      </c>
      <c r="C8" s="1">
        <v>0</v>
      </c>
      <c r="D8" s="1">
        <v>1</v>
      </c>
      <c r="E8" s="1">
        <v>0</v>
      </c>
      <c r="F8" s="1">
        <v>0</v>
      </c>
      <c r="G8" s="1">
        <v>0</v>
      </c>
      <c r="H8" s="1">
        <v>1</v>
      </c>
      <c r="I8" s="1">
        <v>0</v>
      </c>
      <c r="J8" s="1">
        <v>1</v>
      </c>
      <c r="K8" s="1">
        <v>1</v>
      </c>
      <c r="L8" s="1">
        <v>0</v>
      </c>
      <c r="M8" s="1">
        <v>0</v>
      </c>
      <c r="N8" s="1">
        <v>0</v>
      </c>
      <c r="O8" s="1">
        <v>0</v>
      </c>
      <c r="P8" s="1">
        <v>35</v>
      </c>
      <c r="Q8" s="1">
        <v>5</v>
      </c>
      <c r="R8" s="1">
        <v>4</v>
      </c>
      <c r="S8" s="1">
        <v>1</v>
      </c>
      <c r="T8" s="1">
        <v>1</v>
      </c>
      <c r="U8" s="1">
        <v>4</v>
      </c>
      <c r="V8" s="1">
        <v>3</v>
      </c>
      <c r="W8" s="1">
        <v>2</v>
      </c>
      <c r="X8" s="1">
        <v>3</v>
      </c>
      <c r="Y8" s="1">
        <v>4</v>
      </c>
      <c r="Z8" s="1">
        <v>4</v>
      </c>
      <c r="AA8" s="1">
        <v>4</v>
      </c>
      <c r="AC8" s="1">
        <v>1</v>
      </c>
      <c r="AD8" s="1">
        <v>6</v>
      </c>
      <c r="AF8" s="3">
        <v>2400000</v>
      </c>
      <c r="AG8" s="1">
        <v>13</v>
      </c>
      <c r="AT8" s="1" t="s">
        <v>1272</v>
      </c>
      <c r="BP8" s="1">
        <v>3</v>
      </c>
      <c r="BQ8" s="1" t="s">
        <v>3049</v>
      </c>
      <c r="BR8" s="1" t="s">
        <v>3050</v>
      </c>
      <c r="BT8" s="1" t="s">
        <v>107</v>
      </c>
      <c r="BU8" s="1">
        <v>5</v>
      </c>
      <c r="BV8" s="1">
        <v>4</v>
      </c>
      <c r="BW8" s="1">
        <v>0</v>
      </c>
      <c r="BX8" s="1">
        <v>1</v>
      </c>
      <c r="BY8" s="1">
        <v>0</v>
      </c>
      <c r="BZ8" s="1">
        <v>0</v>
      </c>
      <c r="CA8" s="1">
        <v>0</v>
      </c>
      <c r="CB8" s="1">
        <v>0</v>
      </c>
      <c r="CC8" s="1">
        <v>0</v>
      </c>
      <c r="CD8" s="1">
        <v>1</v>
      </c>
      <c r="CE8" s="1">
        <v>0</v>
      </c>
      <c r="CF8" s="1">
        <v>1</v>
      </c>
      <c r="CG8" s="1">
        <v>0</v>
      </c>
      <c r="CH8" s="1">
        <v>1</v>
      </c>
      <c r="CI8" s="1">
        <v>0</v>
      </c>
      <c r="CJ8" s="1">
        <v>4</v>
      </c>
      <c r="CK8" s="1">
        <v>4</v>
      </c>
      <c r="CL8" s="1">
        <v>2</v>
      </c>
      <c r="CM8" s="1">
        <v>2</v>
      </c>
      <c r="CN8" s="1">
        <v>3</v>
      </c>
      <c r="CO8" s="1">
        <v>4</v>
      </c>
      <c r="CP8" s="1">
        <v>4</v>
      </c>
      <c r="CU8" s="1">
        <v>4</v>
      </c>
    </row>
    <row r="9" spans="1:99" x14ac:dyDescent="0.35">
      <c r="A9" s="1" t="s">
        <v>3051</v>
      </c>
      <c r="B9" s="1">
        <v>171724014</v>
      </c>
      <c r="C9" s="1">
        <v>0</v>
      </c>
      <c r="D9" s="1">
        <v>0</v>
      </c>
      <c r="E9" s="1">
        <v>0</v>
      </c>
      <c r="F9" s="1">
        <v>0</v>
      </c>
      <c r="G9" s="1">
        <v>0</v>
      </c>
      <c r="H9" s="1">
        <v>0</v>
      </c>
      <c r="I9" s="1">
        <v>0</v>
      </c>
      <c r="J9" s="1">
        <v>0</v>
      </c>
      <c r="K9" s="1">
        <v>1</v>
      </c>
      <c r="L9" s="1">
        <v>0</v>
      </c>
      <c r="M9" s="1">
        <v>1</v>
      </c>
      <c r="N9" s="1">
        <v>0</v>
      </c>
      <c r="O9" s="1">
        <v>0</v>
      </c>
      <c r="P9" s="1">
        <v>50</v>
      </c>
      <c r="Q9" s="1">
        <v>20</v>
      </c>
      <c r="R9" s="1">
        <v>12</v>
      </c>
      <c r="S9" s="1">
        <v>1</v>
      </c>
      <c r="T9" s="1">
        <v>1</v>
      </c>
      <c r="U9" s="1">
        <v>3</v>
      </c>
      <c r="V9" s="1">
        <v>4</v>
      </c>
      <c r="W9" s="1">
        <v>2</v>
      </c>
      <c r="X9" s="1">
        <v>3</v>
      </c>
      <c r="Y9" s="1">
        <v>3</v>
      </c>
      <c r="Z9" s="1">
        <v>3</v>
      </c>
      <c r="AA9" s="1">
        <v>2</v>
      </c>
      <c r="AC9" s="1">
        <v>2</v>
      </c>
      <c r="AE9" s="1">
        <v>7</v>
      </c>
      <c r="AF9" s="3">
        <v>4000000</v>
      </c>
      <c r="AG9" s="1">
        <v>12</v>
      </c>
      <c r="AS9" s="1" t="s">
        <v>1021</v>
      </c>
      <c r="BP9" s="1">
        <v>3</v>
      </c>
      <c r="BQ9" s="1" t="s">
        <v>3052</v>
      </c>
      <c r="BR9" s="1" t="s">
        <v>3053</v>
      </c>
      <c r="BS9" s="1" t="s">
        <v>3054</v>
      </c>
      <c r="BT9" s="1" t="s">
        <v>79</v>
      </c>
      <c r="BU9" s="1">
        <v>2</v>
      </c>
      <c r="BV9" s="1">
        <v>2</v>
      </c>
      <c r="BW9" s="1">
        <v>0</v>
      </c>
      <c r="BX9" s="1">
        <v>1</v>
      </c>
      <c r="BY9" s="1">
        <v>0</v>
      </c>
      <c r="BZ9" s="1">
        <v>0</v>
      </c>
      <c r="CA9" s="1">
        <v>0</v>
      </c>
      <c r="CB9" s="1">
        <v>0</v>
      </c>
      <c r="CC9" s="1">
        <v>0</v>
      </c>
      <c r="CD9" s="1">
        <v>0</v>
      </c>
      <c r="CE9" s="1">
        <v>0</v>
      </c>
      <c r="CF9" s="1">
        <v>0</v>
      </c>
      <c r="CG9" s="1">
        <v>0</v>
      </c>
      <c r="CH9" s="1">
        <v>1</v>
      </c>
      <c r="CI9" s="1">
        <v>0</v>
      </c>
      <c r="CJ9" s="1">
        <v>3</v>
      </c>
      <c r="CK9" s="1">
        <v>4</v>
      </c>
      <c r="CL9" s="1">
        <v>2</v>
      </c>
      <c r="CM9" s="1">
        <v>4</v>
      </c>
      <c r="CN9" s="1">
        <v>2</v>
      </c>
      <c r="CO9" s="1">
        <v>1</v>
      </c>
      <c r="CP9" s="1">
        <v>3</v>
      </c>
      <c r="CU9" s="1">
        <v>1</v>
      </c>
    </row>
    <row r="10" spans="1:99" x14ac:dyDescent="0.35">
      <c r="A10" s="1" t="s">
        <v>3055</v>
      </c>
      <c r="B10" s="1">
        <v>171724017</v>
      </c>
      <c r="C10" s="1">
        <v>1</v>
      </c>
      <c r="D10" s="1">
        <v>1</v>
      </c>
      <c r="E10" s="1">
        <v>0</v>
      </c>
      <c r="F10" s="1">
        <v>0</v>
      </c>
      <c r="G10" s="1">
        <v>0</v>
      </c>
      <c r="H10" s="1">
        <v>1</v>
      </c>
      <c r="I10" s="1">
        <v>1</v>
      </c>
      <c r="J10" s="1">
        <v>0</v>
      </c>
      <c r="K10" s="1">
        <v>1</v>
      </c>
      <c r="L10" s="1">
        <v>0</v>
      </c>
      <c r="M10" s="1">
        <v>1</v>
      </c>
      <c r="N10" s="1">
        <v>1</v>
      </c>
      <c r="O10" s="1">
        <v>0</v>
      </c>
      <c r="P10" s="1">
        <v>150</v>
      </c>
      <c r="Q10" s="1">
        <v>20</v>
      </c>
      <c r="R10" s="1">
        <v>10</v>
      </c>
      <c r="S10" s="1">
        <v>1</v>
      </c>
      <c r="T10" s="1">
        <v>1</v>
      </c>
      <c r="U10" s="1">
        <v>4</v>
      </c>
      <c r="V10" s="1">
        <v>3</v>
      </c>
      <c r="W10" s="1">
        <v>3</v>
      </c>
      <c r="X10" s="1">
        <v>4</v>
      </c>
      <c r="Y10" s="1">
        <v>4</v>
      </c>
      <c r="Z10" s="1">
        <v>4</v>
      </c>
      <c r="AA10" s="1">
        <v>4</v>
      </c>
      <c r="AC10" s="1">
        <v>1</v>
      </c>
      <c r="AD10" s="1">
        <v>3</v>
      </c>
      <c r="AF10" s="3">
        <v>5500000</v>
      </c>
      <c r="AG10" s="1">
        <v>13</v>
      </c>
      <c r="AT10" s="1" t="s">
        <v>1272</v>
      </c>
      <c r="BP10" s="1">
        <v>3</v>
      </c>
      <c r="BQ10" s="1" t="s">
        <v>3056</v>
      </c>
      <c r="BR10" s="1" t="s">
        <v>3057</v>
      </c>
      <c r="BS10" s="1" t="s">
        <v>3058</v>
      </c>
      <c r="BT10" s="1" t="s">
        <v>79</v>
      </c>
      <c r="BU10" s="1">
        <v>3</v>
      </c>
      <c r="BV10" s="1">
        <v>2</v>
      </c>
      <c r="BW10" s="1">
        <v>0</v>
      </c>
      <c r="BX10" s="1">
        <v>1</v>
      </c>
      <c r="BY10" s="1">
        <v>0</v>
      </c>
      <c r="BZ10" s="1">
        <v>0</v>
      </c>
      <c r="CA10" s="1">
        <v>0</v>
      </c>
      <c r="CB10" s="1">
        <v>0</v>
      </c>
      <c r="CC10" s="1">
        <v>0</v>
      </c>
      <c r="CD10" s="1">
        <v>0</v>
      </c>
      <c r="CE10" s="1">
        <v>0</v>
      </c>
      <c r="CF10" s="1">
        <v>0</v>
      </c>
      <c r="CG10" s="1">
        <v>0</v>
      </c>
      <c r="CH10" s="1">
        <v>0</v>
      </c>
      <c r="CI10" s="1">
        <v>0</v>
      </c>
      <c r="CJ10" s="1">
        <v>4</v>
      </c>
      <c r="CK10" s="1">
        <v>4</v>
      </c>
      <c r="CL10" s="1">
        <v>4</v>
      </c>
      <c r="CM10" s="1">
        <v>4</v>
      </c>
      <c r="CN10" s="1">
        <v>4</v>
      </c>
      <c r="CO10" s="1">
        <v>4</v>
      </c>
      <c r="CP10" s="1">
        <v>4</v>
      </c>
      <c r="CU10" s="1">
        <v>3</v>
      </c>
    </row>
    <row r="11" spans="1:99" x14ac:dyDescent="0.35">
      <c r="A11" s="1" t="s">
        <v>3059</v>
      </c>
      <c r="B11" s="1">
        <v>171724019</v>
      </c>
      <c r="C11" s="1">
        <v>0</v>
      </c>
      <c r="D11" s="1">
        <v>1</v>
      </c>
      <c r="E11" s="1">
        <v>0</v>
      </c>
      <c r="F11" s="1">
        <v>0</v>
      </c>
      <c r="G11" s="1">
        <v>0</v>
      </c>
      <c r="H11" s="1">
        <v>0</v>
      </c>
      <c r="I11" s="1">
        <v>0</v>
      </c>
      <c r="J11" s="1">
        <v>0</v>
      </c>
      <c r="K11" s="1">
        <v>1</v>
      </c>
      <c r="L11" s="1">
        <v>0</v>
      </c>
      <c r="M11" s="1">
        <v>0</v>
      </c>
      <c r="N11" s="1">
        <v>0</v>
      </c>
      <c r="O11" s="1">
        <v>0</v>
      </c>
      <c r="P11" s="1" t="s">
        <v>180</v>
      </c>
      <c r="Q11" s="1" t="s">
        <v>555</v>
      </c>
      <c r="R11" s="1">
        <v>5</v>
      </c>
      <c r="S11" s="1">
        <v>1</v>
      </c>
      <c r="T11" s="1">
        <v>3</v>
      </c>
      <c r="U11" s="1">
        <v>4</v>
      </c>
      <c r="V11" s="1">
        <v>4</v>
      </c>
      <c r="W11" s="1">
        <v>3</v>
      </c>
      <c r="X11" s="1">
        <v>3</v>
      </c>
      <c r="Y11" s="1">
        <v>4</v>
      </c>
      <c r="Z11" s="1">
        <v>4</v>
      </c>
      <c r="AA11" s="1">
        <v>4</v>
      </c>
      <c r="AC11" s="1">
        <v>1</v>
      </c>
      <c r="AD11" s="1">
        <v>0</v>
      </c>
      <c r="AF11" s="3">
        <v>2850000</v>
      </c>
      <c r="AG11" s="1">
        <v>13</v>
      </c>
      <c r="AT11" s="1" t="s">
        <v>86</v>
      </c>
      <c r="BP11" s="1">
        <v>3</v>
      </c>
      <c r="BQ11" s="1" t="s">
        <v>3060</v>
      </c>
      <c r="BR11" s="1" t="s">
        <v>3061</v>
      </c>
      <c r="BS11" s="1" t="s">
        <v>3062</v>
      </c>
      <c r="BT11" s="1" t="s">
        <v>79</v>
      </c>
      <c r="BU11" s="1">
        <v>4</v>
      </c>
      <c r="BV11" s="1">
        <v>2</v>
      </c>
      <c r="BW11" s="1">
        <v>0</v>
      </c>
      <c r="BX11" s="1">
        <v>1</v>
      </c>
      <c r="BY11" s="1">
        <v>0</v>
      </c>
      <c r="BZ11" s="1">
        <v>0</v>
      </c>
      <c r="CA11" s="1">
        <v>0</v>
      </c>
      <c r="CB11" s="1">
        <v>0</v>
      </c>
      <c r="CC11" s="1">
        <v>0</v>
      </c>
      <c r="CD11" s="1">
        <v>0</v>
      </c>
      <c r="CE11" s="1">
        <v>1</v>
      </c>
      <c r="CF11" s="1">
        <v>1</v>
      </c>
      <c r="CG11" s="1">
        <v>0</v>
      </c>
      <c r="CH11" s="1">
        <v>0</v>
      </c>
      <c r="CI11" s="1">
        <v>0</v>
      </c>
      <c r="CJ11" s="1">
        <v>4</v>
      </c>
      <c r="CK11" s="1">
        <v>4</v>
      </c>
      <c r="CL11" s="1">
        <v>4</v>
      </c>
      <c r="CM11" s="1">
        <v>4</v>
      </c>
      <c r="CN11" s="1">
        <v>4</v>
      </c>
      <c r="CO11" s="1">
        <v>4</v>
      </c>
      <c r="CP11" s="1">
        <v>4</v>
      </c>
      <c r="CU11" s="1">
        <v>2</v>
      </c>
    </row>
    <row r="12" spans="1:99" x14ac:dyDescent="0.35">
      <c r="A12" s="1" t="s">
        <v>3063</v>
      </c>
      <c r="B12" s="1">
        <v>171724021</v>
      </c>
      <c r="C12" s="1">
        <v>0</v>
      </c>
      <c r="D12" s="1">
        <v>1</v>
      </c>
      <c r="E12" s="1">
        <v>0</v>
      </c>
      <c r="F12" s="1">
        <v>0</v>
      </c>
      <c r="G12" s="1">
        <v>0</v>
      </c>
      <c r="H12" s="1">
        <v>0</v>
      </c>
      <c r="I12" s="1">
        <v>0</v>
      </c>
      <c r="J12" s="1">
        <v>1</v>
      </c>
      <c r="K12" s="1">
        <v>1</v>
      </c>
      <c r="L12" s="1">
        <v>0</v>
      </c>
      <c r="M12" s="1">
        <v>0</v>
      </c>
      <c r="N12" s="1">
        <v>0</v>
      </c>
      <c r="O12" s="1">
        <v>0</v>
      </c>
      <c r="P12" s="1" t="s">
        <v>3064</v>
      </c>
      <c r="Q12" s="1" t="s">
        <v>3065</v>
      </c>
      <c r="R12" s="1">
        <v>5</v>
      </c>
      <c r="S12" s="1">
        <v>1</v>
      </c>
      <c r="T12" s="1">
        <v>1</v>
      </c>
      <c r="U12" s="1">
        <v>4</v>
      </c>
      <c r="V12" s="1">
        <v>3</v>
      </c>
      <c r="W12" s="1">
        <v>3</v>
      </c>
      <c r="X12" s="1">
        <v>3</v>
      </c>
      <c r="Y12" s="1">
        <v>3</v>
      </c>
      <c r="Z12" s="1">
        <v>3</v>
      </c>
      <c r="AA12" s="1">
        <v>3</v>
      </c>
      <c r="AC12" s="1">
        <v>2</v>
      </c>
      <c r="AE12" s="1">
        <v>7</v>
      </c>
      <c r="AF12" s="3">
        <v>10000000</v>
      </c>
      <c r="AG12" s="1" t="s">
        <v>3066</v>
      </c>
      <c r="BP12" s="1">
        <v>3</v>
      </c>
      <c r="BQ12" s="1" t="s">
        <v>3067</v>
      </c>
      <c r="BR12" s="1" t="s">
        <v>3068</v>
      </c>
      <c r="BT12" s="1" t="s">
        <v>79</v>
      </c>
      <c r="BU12" s="1">
        <v>2</v>
      </c>
      <c r="BV12" s="1">
        <v>2</v>
      </c>
      <c r="BW12" s="1">
        <v>1</v>
      </c>
      <c r="BX12" s="1">
        <v>0</v>
      </c>
      <c r="BY12" s="1">
        <v>0</v>
      </c>
      <c r="BZ12" s="1">
        <v>0</v>
      </c>
      <c r="CA12" s="1">
        <v>0</v>
      </c>
      <c r="CB12" s="1">
        <v>0</v>
      </c>
      <c r="CC12" s="1">
        <v>0</v>
      </c>
      <c r="CD12" s="1">
        <v>0</v>
      </c>
      <c r="CE12" s="1">
        <v>0</v>
      </c>
      <c r="CF12" s="1">
        <v>0</v>
      </c>
      <c r="CG12" s="1">
        <v>0</v>
      </c>
      <c r="CH12" s="1">
        <v>0</v>
      </c>
      <c r="CI12" s="1">
        <v>0</v>
      </c>
      <c r="CJ12" s="1">
        <v>4</v>
      </c>
      <c r="CK12" s="1">
        <v>3</v>
      </c>
      <c r="CL12" s="1">
        <v>3</v>
      </c>
      <c r="CM12" s="1">
        <v>3</v>
      </c>
      <c r="CN12" s="1">
        <v>3</v>
      </c>
      <c r="CO12" s="1">
        <v>4</v>
      </c>
      <c r="CP12" s="1">
        <v>4</v>
      </c>
      <c r="CU12" s="1">
        <v>1</v>
      </c>
    </row>
    <row r="13" spans="1:99" x14ac:dyDescent="0.35">
      <c r="A13" s="1" t="s">
        <v>3069</v>
      </c>
      <c r="B13" s="1">
        <v>171724022</v>
      </c>
      <c r="C13" s="1">
        <v>0</v>
      </c>
      <c r="D13" s="1">
        <v>1</v>
      </c>
      <c r="E13" s="1">
        <v>0</v>
      </c>
      <c r="F13" s="1">
        <v>0</v>
      </c>
      <c r="G13" s="1">
        <v>0</v>
      </c>
      <c r="H13" s="1">
        <v>1</v>
      </c>
      <c r="I13" s="1">
        <v>0</v>
      </c>
      <c r="J13" s="1">
        <v>0</v>
      </c>
      <c r="K13" s="1">
        <v>1</v>
      </c>
      <c r="L13" s="1">
        <v>0</v>
      </c>
      <c r="M13" s="1">
        <v>0</v>
      </c>
      <c r="N13" s="1">
        <v>0</v>
      </c>
      <c r="O13" s="1">
        <v>0</v>
      </c>
      <c r="P13" s="1">
        <v>30</v>
      </c>
      <c r="Q13" s="1">
        <v>5</v>
      </c>
      <c r="R13" s="1">
        <v>5</v>
      </c>
      <c r="S13" s="1">
        <v>5</v>
      </c>
      <c r="T13" s="1">
        <v>1</v>
      </c>
      <c r="U13" s="1">
        <v>4</v>
      </c>
      <c r="V13" s="1">
        <v>3</v>
      </c>
      <c r="W13" s="1">
        <v>3</v>
      </c>
      <c r="X13" s="1">
        <v>4</v>
      </c>
      <c r="Y13" s="1">
        <v>4</v>
      </c>
      <c r="Z13" s="1">
        <v>4</v>
      </c>
      <c r="AA13" s="1">
        <v>4</v>
      </c>
      <c r="CU13" s="1">
        <v>4</v>
      </c>
    </row>
    <row r="14" spans="1:99" x14ac:dyDescent="0.35">
      <c r="A14" s="1" t="s">
        <v>3070</v>
      </c>
      <c r="B14" s="1">
        <v>171724027</v>
      </c>
      <c r="C14" s="1">
        <v>0</v>
      </c>
      <c r="D14" s="1">
        <v>1</v>
      </c>
      <c r="E14" s="1">
        <v>0</v>
      </c>
      <c r="F14" s="1">
        <v>0</v>
      </c>
      <c r="G14" s="1">
        <v>0</v>
      </c>
      <c r="H14" s="1">
        <v>1</v>
      </c>
      <c r="I14" s="1">
        <v>0</v>
      </c>
      <c r="J14" s="1">
        <v>0</v>
      </c>
      <c r="K14" s="1">
        <v>1</v>
      </c>
      <c r="L14" s="1">
        <v>0</v>
      </c>
      <c r="M14" s="1">
        <v>0</v>
      </c>
      <c r="N14" s="1">
        <v>0</v>
      </c>
      <c r="O14" s="1">
        <v>0</v>
      </c>
      <c r="P14" s="1" t="s">
        <v>3071</v>
      </c>
      <c r="Q14" s="1" t="s">
        <v>3071</v>
      </c>
      <c r="R14" s="1" t="s">
        <v>3071</v>
      </c>
      <c r="S14" s="1">
        <v>1</v>
      </c>
      <c r="T14" s="1">
        <v>1</v>
      </c>
      <c r="U14" s="1">
        <v>4</v>
      </c>
      <c r="V14" s="1">
        <v>3</v>
      </c>
      <c r="W14" s="1">
        <v>4</v>
      </c>
      <c r="X14" s="1">
        <v>4</v>
      </c>
      <c r="Y14" s="1">
        <v>4</v>
      </c>
      <c r="Z14" s="1">
        <v>4</v>
      </c>
      <c r="AA14" s="1">
        <v>4</v>
      </c>
      <c r="AC14" s="1">
        <v>1</v>
      </c>
      <c r="AD14" s="1">
        <v>0</v>
      </c>
      <c r="AF14" s="3">
        <v>6000000</v>
      </c>
      <c r="AG14" s="1">
        <v>11</v>
      </c>
      <c r="AR14" s="1" t="s">
        <v>239</v>
      </c>
      <c r="BP14" s="1">
        <v>3</v>
      </c>
      <c r="BQ14" s="1" t="s">
        <v>3072</v>
      </c>
      <c r="BR14" s="1" t="s">
        <v>3073</v>
      </c>
      <c r="BS14" s="1" t="s">
        <v>3074</v>
      </c>
      <c r="BT14" s="1" t="s">
        <v>73</v>
      </c>
      <c r="BU14" s="1">
        <v>2</v>
      </c>
      <c r="BV14" s="1">
        <v>2</v>
      </c>
      <c r="BW14" s="1">
        <v>0</v>
      </c>
      <c r="BX14" s="1">
        <v>0</v>
      </c>
      <c r="BY14" s="1">
        <v>1</v>
      </c>
      <c r="BZ14" s="1">
        <v>0</v>
      </c>
      <c r="CA14" s="1">
        <v>0</v>
      </c>
      <c r="CB14" s="1">
        <v>0</v>
      </c>
      <c r="CC14" s="1">
        <v>1</v>
      </c>
      <c r="CD14" s="1">
        <v>1</v>
      </c>
      <c r="CE14" s="1">
        <v>0</v>
      </c>
      <c r="CF14" s="1">
        <v>0</v>
      </c>
      <c r="CG14" s="1">
        <v>0</v>
      </c>
      <c r="CH14" s="1">
        <v>0</v>
      </c>
      <c r="CI14" s="1">
        <v>0</v>
      </c>
      <c r="CJ14" s="1">
        <v>4</v>
      </c>
      <c r="CK14" s="1">
        <v>4</v>
      </c>
      <c r="CL14" s="1">
        <v>4</v>
      </c>
      <c r="CM14" s="1">
        <v>4</v>
      </c>
      <c r="CN14" s="1">
        <v>4</v>
      </c>
      <c r="CO14" s="1">
        <v>4</v>
      </c>
      <c r="CP14" s="1">
        <v>4</v>
      </c>
      <c r="CU14" s="1">
        <v>1</v>
      </c>
    </row>
    <row r="15" spans="1:99" x14ac:dyDescent="0.35">
      <c r="A15" s="1" t="s">
        <v>3075</v>
      </c>
      <c r="B15" s="1">
        <v>171724029</v>
      </c>
      <c r="C15" s="1">
        <v>0</v>
      </c>
      <c r="D15" s="1">
        <v>1</v>
      </c>
      <c r="E15" s="1">
        <v>0</v>
      </c>
      <c r="F15" s="1">
        <v>0</v>
      </c>
      <c r="G15" s="1">
        <v>0</v>
      </c>
      <c r="H15" s="1">
        <v>0</v>
      </c>
      <c r="I15" s="1">
        <v>0</v>
      </c>
      <c r="J15" s="1">
        <v>1</v>
      </c>
      <c r="K15" s="1">
        <v>1</v>
      </c>
      <c r="L15" s="1">
        <v>0</v>
      </c>
      <c r="M15" s="1">
        <v>0</v>
      </c>
      <c r="N15" s="1">
        <v>0</v>
      </c>
      <c r="O15" s="1">
        <v>0</v>
      </c>
      <c r="P15" s="1">
        <v>100</v>
      </c>
      <c r="Q15" s="1">
        <v>20</v>
      </c>
      <c r="R15" s="1">
        <v>10</v>
      </c>
      <c r="S15" s="1">
        <v>1</v>
      </c>
      <c r="T15" s="1">
        <v>1</v>
      </c>
      <c r="U15" s="1">
        <v>4</v>
      </c>
      <c r="V15" s="1">
        <v>3</v>
      </c>
      <c r="W15" s="1">
        <v>3</v>
      </c>
      <c r="X15" s="1">
        <v>4</v>
      </c>
      <c r="Y15" s="1">
        <v>4</v>
      </c>
      <c r="Z15" s="1">
        <v>4</v>
      </c>
      <c r="AA15" s="1">
        <v>3</v>
      </c>
      <c r="AC15" s="1">
        <v>2</v>
      </c>
      <c r="AE15" s="1">
        <v>9</v>
      </c>
      <c r="AF15" s="3">
        <v>8500000</v>
      </c>
      <c r="AG15" s="1">
        <v>22</v>
      </c>
      <c r="BC15" s="1" t="s">
        <v>3076</v>
      </c>
      <c r="BP15" s="1">
        <v>3</v>
      </c>
      <c r="BQ15" s="1" t="s">
        <v>3077</v>
      </c>
      <c r="BR15" s="1" t="s">
        <v>3078</v>
      </c>
      <c r="BT15" s="1" t="s">
        <v>79</v>
      </c>
      <c r="BU15" s="1">
        <v>3</v>
      </c>
      <c r="BV15" s="1">
        <v>2</v>
      </c>
      <c r="BW15" s="1">
        <v>1</v>
      </c>
      <c r="BX15" s="1">
        <v>0</v>
      </c>
      <c r="BY15" s="1">
        <v>0</v>
      </c>
      <c r="BZ15" s="1">
        <v>0</v>
      </c>
      <c r="CA15" s="1">
        <v>0</v>
      </c>
      <c r="CB15" s="1">
        <v>0</v>
      </c>
      <c r="CC15" s="1">
        <v>0</v>
      </c>
      <c r="CD15" s="1">
        <v>0</v>
      </c>
      <c r="CE15" s="1">
        <v>0</v>
      </c>
      <c r="CF15" s="1">
        <v>0</v>
      </c>
      <c r="CG15" s="1">
        <v>0</v>
      </c>
      <c r="CH15" s="1">
        <v>0</v>
      </c>
      <c r="CI15" s="1">
        <v>0</v>
      </c>
      <c r="CJ15" s="1">
        <v>4</v>
      </c>
      <c r="CK15" s="1">
        <v>2</v>
      </c>
      <c r="CL15" s="1">
        <v>3</v>
      </c>
      <c r="CM15" s="1">
        <v>3</v>
      </c>
      <c r="CN15" s="1">
        <v>4</v>
      </c>
      <c r="CO15" s="1">
        <v>4</v>
      </c>
      <c r="CP15" s="1">
        <v>4</v>
      </c>
      <c r="CU15" s="1">
        <v>1</v>
      </c>
    </row>
    <row r="16" spans="1:99" x14ac:dyDescent="0.35">
      <c r="A16" s="1" t="s">
        <v>3079</v>
      </c>
      <c r="B16" s="1">
        <v>171724031</v>
      </c>
      <c r="C16" s="1">
        <v>0</v>
      </c>
      <c r="D16" s="1">
        <v>1</v>
      </c>
      <c r="E16" s="1">
        <v>0</v>
      </c>
      <c r="F16" s="1">
        <v>0</v>
      </c>
      <c r="G16" s="1">
        <v>0</v>
      </c>
      <c r="H16" s="1">
        <v>0</v>
      </c>
      <c r="I16" s="1">
        <v>0</v>
      </c>
      <c r="J16" s="1">
        <v>0</v>
      </c>
      <c r="K16" s="1">
        <v>0</v>
      </c>
      <c r="L16" s="1">
        <v>0</v>
      </c>
      <c r="M16" s="1">
        <v>0</v>
      </c>
      <c r="N16" s="1">
        <v>0</v>
      </c>
      <c r="O16" s="1">
        <v>0</v>
      </c>
      <c r="P16" s="1" t="s">
        <v>289</v>
      </c>
      <c r="Q16" s="1" t="s">
        <v>117</v>
      </c>
      <c r="R16" s="1">
        <v>2</v>
      </c>
      <c r="S16" s="1">
        <v>5</v>
      </c>
      <c r="T16" s="1">
        <v>1</v>
      </c>
      <c r="U16" s="1">
        <v>3</v>
      </c>
      <c r="V16" s="1">
        <v>2</v>
      </c>
      <c r="W16" s="1">
        <v>3</v>
      </c>
      <c r="X16" s="1">
        <v>3</v>
      </c>
      <c r="Y16" s="1">
        <v>3</v>
      </c>
      <c r="Z16" s="1">
        <v>3</v>
      </c>
      <c r="AA16" s="1">
        <v>3</v>
      </c>
      <c r="CU16" s="1">
        <v>4</v>
      </c>
    </row>
    <row r="17" spans="1:99" x14ac:dyDescent="0.35">
      <c r="A17" s="1" t="s">
        <v>3080</v>
      </c>
      <c r="B17" s="1">
        <v>171724032</v>
      </c>
      <c r="C17" s="1">
        <v>0</v>
      </c>
      <c r="D17" s="1">
        <v>1</v>
      </c>
      <c r="E17" s="1">
        <v>1</v>
      </c>
      <c r="F17" s="1">
        <v>0</v>
      </c>
      <c r="G17" s="1">
        <v>0</v>
      </c>
      <c r="H17" s="1">
        <v>0</v>
      </c>
      <c r="I17" s="1">
        <v>0</v>
      </c>
      <c r="J17" s="1">
        <v>0</v>
      </c>
      <c r="K17" s="1">
        <v>1</v>
      </c>
      <c r="L17" s="1">
        <v>0</v>
      </c>
      <c r="M17" s="1">
        <v>1</v>
      </c>
      <c r="N17" s="1">
        <v>0</v>
      </c>
      <c r="O17" s="1">
        <v>0</v>
      </c>
      <c r="P17" s="1">
        <v>0</v>
      </c>
      <c r="Q17" s="1">
        <v>12</v>
      </c>
      <c r="R17" s="1">
        <v>8</v>
      </c>
      <c r="S17" s="1">
        <v>5</v>
      </c>
      <c r="T17" s="1">
        <v>1</v>
      </c>
      <c r="U17" s="1">
        <v>4</v>
      </c>
      <c r="V17" s="1">
        <v>3</v>
      </c>
      <c r="W17" s="1">
        <v>4</v>
      </c>
      <c r="X17" s="1">
        <v>3</v>
      </c>
      <c r="Y17" s="1">
        <v>4</v>
      </c>
      <c r="Z17" s="1">
        <v>4</v>
      </c>
      <c r="AA17" s="1">
        <v>3</v>
      </c>
      <c r="CU17" s="1">
        <v>4</v>
      </c>
    </row>
    <row r="18" spans="1:99" x14ac:dyDescent="0.35">
      <c r="A18" s="1" t="s">
        <v>3807</v>
      </c>
      <c r="B18" s="1">
        <v>161724007</v>
      </c>
    </row>
    <row r="19" spans="1:99" x14ac:dyDescent="0.35">
      <c r="A19" s="1" t="s">
        <v>3808</v>
      </c>
      <c r="B19" s="1">
        <v>161724018</v>
      </c>
    </row>
    <row r="20" spans="1:99" x14ac:dyDescent="0.35">
      <c r="A20" s="1" t="s">
        <v>3809</v>
      </c>
      <c r="B20" s="1">
        <v>171724003</v>
      </c>
    </row>
    <row r="21" spans="1:99" x14ac:dyDescent="0.35">
      <c r="A21" s="1" t="s">
        <v>3810</v>
      </c>
      <c r="B21" s="1">
        <v>171724005</v>
      </c>
    </row>
    <row r="22" spans="1:99" x14ac:dyDescent="0.35">
      <c r="A22" s="1" t="s">
        <v>3811</v>
      </c>
      <c r="B22" s="1">
        <v>171724008</v>
      </c>
    </row>
    <row r="23" spans="1:99" x14ac:dyDescent="0.35">
      <c r="A23" s="1" t="s">
        <v>3812</v>
      </c>
      <c r="B23" s="1">
        <v>171724012</v>
      </c>
    </row>
    <row r="24" spans="1:99" x14ac:dyDescent="0.35">
      <c r="A24" s="1" t="s">
        <v>3813</v>
      </c>
      <c r="B24" s="1">
        <v>171724018</v>
      </c>
    </row>
    <row r="25" spans="1:99" x14ac:dyDescent="0.35">
      <c r="A25" s="1" t="s">
        <v>3814</v>
      </c>
      <c r="B25" s="1">
        <v>171724020</v>
      </c>
    </row>
    <row r="26" spans="1:99" x14ac:dyDescent="0.35">
      <c r="A26" s="1" t="s">
        <v>3815</v>
      </c>
      <c r="B26" s="1">
        <v>171724024</v>
      </c>
    </row>
    <row r="27" spans="1:99" x14ac:dyDescent="0.35">
      <c r="A27" s="1" t="s">
        <v>3816</v>
      </c>
      <c r="B27" s="1">
        <v>171724028</v>
      </c>
    </row>
    <row r="28" spans="1:99" x14ac:dyDescent="0.35">
      <c r="A28" s="1" t="s">
        <v>4309</v>
      </c>
      <c r="B28" s="1">
        <v>171724023</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D8437A-B927-445A-99A2-C3180DDA0E01}">
  <dimension ref="A1:CU29"/>
  <sheetViews>
    <sheetView topLeftCell="T1" zoomScale="55" zoomScaleNormal="55" workbookViewId="0">
      <pane ySplit="1" topLeftCell="A17" activePane="bottomLeft" state="frozen"/>
      <selection pane="bottomLeft" activeCell="T1" sqref="T1"/>
    </sheetView>
  </sheetViews>
  <sheetFormatPr defaultColWidth="8.90625" defaultRowHeight="14.5" x14ac:dyDescent="0.35"/>
  <cols>
    <col min="1" max="1" width="32.36328125" style="1" bestFit="1" customWidth="1"/>
    <col min="2" max="2" width="10" style="1" bestFit="1" customWidth="1"/>
    <col min="3" max="9" width="64.08984375" style="1" bestFit="1" customWidth="1"/>
    <col min="10" max="14" width="65.08984375" style="1" bestFit="1" customWidth="1"/>
    <col min="15" max="15" width="67.54296875" style="1" bestFit="1" customWidth="1"/>
    <col min="16" max="16" width="110" style="1" bestFit="1" customWidth="1"/>
    <col min="17" max="17" width="63.90625" style="1" bestFit="1" customWidth="1"/>
    <col min="18" max="18" width="73" style="1" bestFit="1" customWidth="1"/>
    <col min="19" max="19" width="25" style="1" bestFit="1" customWidth="1"/>
    <col min="20" max="20" width="41.26953125" style="1" bestFit="1" customWidth="1"/>
    <col min="21" max="21" width="67.08984375" style="1" bestFit="1" customWidth="1"/>
    <col min="22" max="22" width="90.453125" style="1" bestFit="1" customWidth="1"/>
    <col min="23" max="23" width="74.90625" style="1" bestFit="1" customWidth="1"/>
    <col min="24" max="24" width="89.36328125" style="1" bestFit="1" customWidth="1"/>
    <col min="25" max="25" width="72.453125" style="1" bestFit="1" customWidth="1"/>
    <col min="26" max="26" width="75.1796875" style="1" bestFit="1" customWidth="1"/>
    <col min="27" max="27" width="79" style="1" bestFit="1" customWidth="1"/>
    <col min="28" max="28" width="43.08984375" style="1" bestFit="1" customWidth="1"/>
    <col min="29" max="29" width="73.1796875" style="1" bestFit="1" customWidth="1"/>
    <col min="30" max="30" width="43.36328125" style="1" bestFit="1" customWidth="1"/>
    <col min="31" max="31" width="50.54296875" style="1" bestFit="1" customWidth="1"/>
    <col min="32" max="32" width="120.26953125" style="1" bestFit="1" customWidth="1"/>
    <col min="33" max="33" width="39.08984375" style="1" bestFit="1" customWidth="1"/>
    <col min="34" max="35" width="45.7265625" style="1" bestFit="1" customWidth="1"/>
    <col min="36" max="37" width="46.1796875" style="1" bestFit="1" customWidth="1"/>
    <col min="38" max="38" width="45.7265625" style="1" bestFit="1" customWidth="1"/>
    <col min="39" max="52" width="46.1796875" style="1" bestFit="1" customWidth="1"/>
    <col min="53" max="55" width="45.7265625" style="1" bestFit="1" customWidth="1"/>
    <col min="56" max="64" width="46.1796875" style="1" bestFit="1" customWidth="1"/>
    <col min="65" max="67" width="45.7265625" style="1" bestFit="1" customWidth="1"/>
    <col min="68" max="68" width="58.90625" style="1" bestFit="1" customWidth="1"/>
    <col min="69" max="69" width="43.26953125" style="1" bestFit="1" customWidth="1"/>
    <col min="70" max="70" width="45.36328125" style="1" bestFit="1" customWidth="1"/>
    <col min="71" max="71" width="45.26953125" style="1" bestFit="1" customWidth="1"/>
    <col min="72" max="72" width="55.453125" style="1" bestFit="1" customWidth="1"/>
    <col min="73" max="73" width="217.453125" style="1" bestFit="1" customWidth="1"/>
    <col min="74" max="74" width="65.08984375" style="1" bestFit="1" customWidth="1"/>
    <col min="75" max="83" width="117.26953125" style="1" bestFit="1" customWidth="1"/>
    <col min="84" max="86" width="118.26953125" style="1" bestFit="1" customWidth="1"/>
    <col min="87" max="87" width="120.7265625" style="1" bestFit="1" customWidth="1"/>
    <col min="88" max="88" width="76.6328125" style="1" bestFit="1" customWidth="1"/>
    <col min="89" max="89" width="100.26953125" style="1" bestFit="1" customWidth="1"/>
    <col min="90" max="90" width="84.36328125" style="1" bestFit="1" customWidth="1"/>
    <col min="91" max="91" width="98.6328125" style="1" bestFit="1" customWidth="1"/>
    <col min="92" max="92" width="81.90625" style="1" bestFit="1" customWidth="1"/>
    <col min="93" max="93" width="84.7265625" style="1" bestFit="1" customWidth="1"/>
    <col min="94" max="94" width="88.54296875" style="1" bestFit="1" customWidth="1"/>
    <col min="95" max="95" width="40.54296875" style="1" bestFit="1" customWidth="1"/>
    <col min="96" max="96" width="53.36328125" style="1" bestFit="1" customWidth="1"/>
    <col min="97" max="97" width="23.90625" style="1" bestFit="1" customWidth="1"/>
    <col min="98" max="98" width="24.7265625" style="1" bestFit="1" customWidth="1"/>
    <col min="99" max="99" width="51.90625" style="1" bestFit="1" customWidth="1"/>
    <col min="100" max="16384" width="8.90625" style="1"/>
  </cols>
  <sheetData>
    <row r="1" spans="1:99" s="6" customFormat="1" x14ac:dyDescent="0.35">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6" t="s">
        <v>15</v>
      </c>
      <c r="Q1" s="6" t="s">
        <v>16</v>
      </c>
      <c r="R1" s="6" t="s">
        <v>17</v>
      </c>
      <c r="S1" s="6" t="s">
        <v>18</v>
      </c>
      <c r="T1" s="6" t="s">
        <v>19</v>
      </c>
      <c r="U1" s="6" t="s">
        <v>20</v>
      </c>
      <c r="V1" s="6" t="s">
        <v>21</v>
      </c>
      <c r="W1" s="6" t="s">
        <v>22</v>
      </c>
      <c r="X1" s="6" t="s">
        <v>23</v>
      </c>
      <c r="Y1" s="6" t="s">
        <v>24</v>
      </c>
      <c r="Z1" s="6" t="s">
        <v>25</v>
      </c>
      <c r="AA1" s="6" t="s">
        <v>26</v>
      </c>
      <c r="AB1" s="6" t="s">
        <v>27</v>
      </c>
      <c r="AC1" s="6" t="s">
        <v>28</v>
      </c>
      <c r="AD1" s="6" t="s">
        <v>29</v>
      </c>
      <c r="AE1" s="6" t="s">
        <v>30</v>
      </c>
      <c r="AF1" s="6" t="s">
        <v>31</v>
      </c>
      <c r="AG1" s="6" t="s">
        <v>32</v>
      </c>
      <c r="AH1" s="6" t="s">
        <v>33</v>
      </c>
      <c r="AI1" s="6" t="s">
        <v>33</v>
      </c>
      <c r="AJ1" s="6" t="s">
        <v>34</v>
      </c>
      <c r="AK1" s="6" t="s">
        <v>34</v>
      </c>
      <c r="AL1" s="6" t="s">
        <v>33</v>
      </c>
      <c r="AM1" s="6" t="s">
        <v>34</v>
      </c>
      <c r="AN1" s="6" t="s">
        <v>34</v>
      </c>
      <c r="AO1" s="6" t="s">
        <v>34</v>
      </c>
      <c r="AP1" s="6" t="s">
        <v>34</v>
      </c>
      <c r="AQ1" s="6" t="s">
        <v>34</v>
      </c>
      <c r="AR1" s="6" t="s">
        <v>34</v>
      </c>
      <c r="AS1" s="6" t="s">
        <v>34</v>
      </c>
      <c r="AT1" s="6" t="s">
        <v>34</v>
      </c>
      <c r="AU1" s="6" t="s">
        <v>34</v>
      </c>
      <c r="AV1" s="6" t="s">
        <v>34</v>
      </c>
      <c r="AW1" s="6" t="s">
        <v>34</v>
      </c>
      <c r="AX1" s="6" t="s">
        <v>34</v>
      </c>
      <c r="AY1" s="6" t="s">
        <v>34</v>
      </c>
      <c r="AZ1" s="6" t="s">
        <v>34</v>
      </c>
      <c r="BA1" s="6" t="s">
        <v>33</v>
      </c>
      <c r="BB1" s="6" t="s">
        <v>33</v>
      </c>
      <c r="BC1" s="6" t="s">
        <v>33</v>
      </c>
      <c r="BD1" s="6" t="s">
        <v>34</v>
      </c>
      <c r="BE1" s="6" t="s">
        <v>34</v>
      </c>
      <c r="BF1" s="6" t="s">
        <v>34</v>
      </c>
      <c r="BG1" s="6" t="s">
        <v>34</v>
      </c>
      <c r="BH1" s="6" t="s">
        <v>34</v>
      </c>
      <c r="BI1" s="6" t="s">
        <v>34</v>
      </c>
      <c r="BJ1" s="6" t="s">
        <v>34</v>
      </c>
      <c r="BK1" s="6" t="s">
        <v>34</v>
      </c>
      <c r="BL1" s="6" t="s">
        <v>34</v>
      </c>
      <c r="BM1" s="6" t="s">
        <v>33</v>
      </c>
      <c r="BN1" s="6" t="s">
        <v>33</v>
      </c>
      <c r="BO1" s="6" t="s">
        <v>33</v>
      </c>
      <c r="BP1" s="6" t="s">
        <v>35</v>
      </c>
      <c r="BQ1" s="6" t="s">
        <v>36</v>
      </c>
      <c r="BR1" s="6" t="s">
        <v>37</v>
      </c>
      <c r="BS1" s="6" t="s">
        <v>38</v>
      </c>
      <c r="BT1" s="6" t="s">
        <v>39</v>
      </c>
      <c r="BU1" s="6" t="s">
        <v>40</v>
      </c>
      <c r="BV1" s="6" t="s">
        <v>41</v>
      </c>
      <c r="BW1" s="6" t="s">
        <v>42</v>
      </c>
      <c r="BX1" s="6" t="s">
        <v>43</v>
      </c>
      <c r="BY1" s="6" t="s">
        <v>44</v>
      </c>
      <c r="BZ1" s="6" t="s">
        <v>45</v>
      </c>
      <c r="CA1" s="6" t="s">
        <v>46</v>
      </c>
      <c r="CB1" s="6" t="s">
        <v>47</v>
      </c>
      <c r="CC1" s="6" t="s">
        <v>48</v>
      </c>
      <c r="CD1" s="6" t="s">
        <v>49</v>
      </c>
      <c r="CE1" s="6" t="s">
        <v>50</v>
      </c>
      <c r="CF1" s="6" t="s">
        <v>51</v>
      </c>
      <c r="CG1" s="6" t="s">
        <v>52</v>
      </c>
      <c r="CH1" s="6" t="s">
        <v>53</v>
      </c>
      <c r="CI1" s="6" t="s">
        <v>54</v>
      </c>
      <c r="CJ1" s="6" t="s">
        <v>55</v>
      </c>
      <c r="CK1" s="6" t="s">
        <v>56</v>
      </c>
      <c r="CL1" s="6" t="s">
        <v>57</v>
      </c>
      <c r="CM1" s="6" t="s">
        <v>58</v>
      </c>
      <c r="CN1" s="6" t="s">
        <v>59</v>
      </c>
      <c r="CO1" s="6" t="s">
        <v>60</v>
      </c>
      <c r="CP1" s="6" t="s">
        <v>61</v>
      </c>
      <c r="CQ1" s="6" t="s">
        <v>62</v>
      </c>
      <c r="CR1" s="6" t="s">
        <v>63</v>
      </c>
      <c r="CS1" s="6" t="s">
        <v>64</v>
      </c>
      <c r="CT1" s="6" t="s">
        <v>65</v>
      </c>
      <c r="CU1" s="6" t="s">
        <v>66</v>
      </c>
    </row>
    <row r="2" spans="1:99" x14ac:dyDescent="0.35">
      <c r="A2" s="1" t="s">
        <v>3081</v>
      </c>
      <c r="B2" s="1">
        <v>175221019</v>
      </c>
      <c r="S2" s="1">
        <v>5</v>
      </c>
      <c r="T2" s="1">
        <v>1</v>
      </c>
      <c r="U2" s="1">
        <v>3</v>
      </c>
      <c r="V2" s="1">
        <v>3</v>
      </c>
      <c r="W2" s="1">
        <v>3</v>
      </c>
      <c r="X2" s="1">
        <v>2</v>
      </c>
      <c r="Y2" s="1">
        <v>4</v>
      </c>
      <c r="Z2" s="1">
        <v>3</v>
      </c>
      <c r="AA2" s="1">
        <v>4</v>
      </c>
      <c r="CU2" s="1">
        <v>4</v>
      </c>
    </row>
    <row r="3" spans="1:99" x14ac:dyDescent="0.35">
      <c r="A3" s="1" t="s">
        <v>3082</v>
      </c>
      <c r="B3" s="1">
        <v>185221002</v>
      </c>
      <c r="C3" s="1">
        <v>0</v>
      </c>
      <c r="D3" s="1">
        <v>1</v>
      </c>
      <c r="E3" s="1">
        <v>0</v>
      </c>
      <c r="F3" s="1">
        <v>0</v>
      </c>
      <c r="G3" s="1">
        <v>0</v>
      </c>
      <c r="H3" s="1">
        <v>0</v>
      </c>
      <c r="I3" s="1">
        <v>0</v>
      </c>
      <c r="J3" s="1">
        <v>0</v>
      </c>
      <c r="K3" s="1">
        <v>0</v>
      </c>
      <c r="L3" s="1">
        <v>0</v>
      </c>
      <c r="M3" s="1">
        <v>0</v>
      </c>
      <c r="N3" s="1">
        <v>0</v>
      </c>
      <c r="O3" s="1">
        <v>0</v>
      </c>
      <c r="P3" s="1" t="s">
        <v>712</v>
      </c>
      <c r="Q3" s="1">
        <v>8</v>
      </c>
      <c r="R3" s="1">
        <v>5</v>
      </c>
      <c r="S3" s="1">
        <v>1</v>
      </c>
      <c r="T3" s="1">
        <v>6</v>
      </c>
      <c r="U3" s="1">
        <v>3</v>
      </c>
      <c r="V3" s="1">
        <v>3</v>
      </c>
      <c r="W3" s="1">
        <v>3</v>
      </c>
      <c r="X3" s="1">
        <v>3</v>
      </c>
      <c r="Y3" s="1">
        <v>3</v>
      </c>
      <c r="Z3" s="1">
        <v>3</v>
      </c>
      <c r="AA3" s="1">
        <v>3</v>
      </c>
      <c r="AC3" s="1">
        <v>1</v>
      </c>
      <c r="AD3" s="1">
        <v>2</v>
      </c>
      <c r="AF3" s="3">
        <v>4800000</v>
      </c>
      <c r="AG3" s="1">
        <v>12</v>
      </c>
      <c r="AS3" s="1" t="s">
        <v>69</v>
      </c>
      <c r="BP3" s="1">
        <v>3</v>
      </c>
      <c r="BQ3" s="1" t="s">
        <v>3083</v>
      </c>
      <c r="BR3" s="1" t="s">
        <v>3084</v>
      </c>
      <c r="BT3" s="1" t="s">
        <v>79</v>
      </c>
      <c r="BU3" s="1">
        <v>4</v>
      </c>
      <c r="BV3" s="1">
        <v>1</v>
      </c>
      <c r="BW3" s="1">
        <v>0</v>
      </c>
      <c r="BX3" s="1">
        <v>1</v>
      </c>
      <c r="BY3" s="1">
        <v>0</v>
      </c>
      <c r="BZ3" s="1">
        <v>0</v>
      </c>
      <c r="CA3" s="1">
        <v>0</v>
      </c>
      <c r="CB3" s="1">
        <v>0</v>
      </c>
      <c r="CC3" s="1">
        <v>0</v>
      </c>
      <c r="CD3" s="1">
        <v>0</v>
      </c>
      <c r="CE3" s="1">
        <v>0</v>
      </c>
      <c r="CF3" s="1">
        <v>0</v>
      </c>
      <c r="CG3" s="1">
        <v>0</v>
      </c>
      <c r="CH3" s="1">
        <v>0</v>
      </c>
      <c r="CI3" s="1">
        <v>0</v>
      </c>
      <c r="CJ3" s="1">
        <v>4</v>
      </c>
      <c r="CK3" s="1">
        <v>4</v>
      </c>
      <c r="CL3" s="1">
        <v>3</v>
      </c>
      <c r="CM3" s="1">
        <v>3</v>
      </c>
      <c r="CN3" s="1">
        <v>4</v>
      </c>
      <c r="CO3" s="1">
        <v>4</v>
      </c>
      <c r="CP3" s="1">
        <v>4</v>
      </c>
      <c r="CU3" s="1">
        <v>1</v>
      </c>
    </row>
    <row r="4" spans="1:99" x14ac:dyDescent="0.35">
      <c r="A4" s="1" t="s">
        <v>3085</v>
      </c>
      <c r="B4" s="1">
        <v>185221003</v>
      </c>
      <c r="C4" s="1">
        <v>0</v>
      </c>
      <c r="D4" s="1">
        <v>1</v>
      </c>
      <c r="E4" s="1">
        <v>0</v>
      </c>
      <c r="F4" s="1">
        <v>0</v>
      </c>
      <c r="G4" s="1">
        <v>0</v>
      </c>
      <c r="H4" s="1">
        <v>1</v>
      </c>
      <c r="I4" s="1">
        <v>0</v>
      </c>
      <c r="J4" s="1">
        <v>0</v>
      </c>
      <c r="K4" s="1">
        <v>1</v>
      </c>
      <c r="L4" s="1">
        <v>0</v>
      </c>
      <c r="M4" s="1">
        <v>0</v>
      </c>
      <c r="N4" s="1">
        <v>0</v>
      </c>
      <c r="O4" s="1">
        <v>0</v>
      </c>
      <c r="P4" s="1">
        <v>28</v>
      </c>
      <c r="Q4" s="1">
        <v>4</v>
      </c>
      <c r="R4" s="1">
        <v>0</v>
      </c>
      <c r="S4" s="1">
        <v>5</v>
      </c>
      <c r="T4" s="1">
        <v>1</v>
      </c>
      <c r="U4" s="1">
        <v>3</v>
      </c>
      <c r="V4" s="1">
        <v>3</v>
      </c>
      <c r="W4" s="1">
        <v>3</v>
      </c>
      <c r="X4" s="1">
        <v>3</v>
      </c>
      <c r="Y4" s="1">
        <v>3</v>
      </c>
      <c r="Z4" s="1">
        <v>3</v>
      </c>
      <c r="AA4" s="1">
        <v>3</v>
      </c>
      <c r="CU4" s="1">
        <v>4</v>
      </c>
    </row>
    <row r="5" spans="1:99" x14ac:dyDescent="0.35">
      <c r="A5" s="1" t="s">
        <v>3086</v>
      </c>
      <c r="B5" s="1">
        <v>185221004</v>
      </c>
      <c r="C5" s="1">
        <v>0</v>
      </c>
      <c r="D5" s="1">
        <v>1</v>
      </c>
      <c r="E5" s="1">
        <v>0</v>
      </c>
      <c r="F5" s="1">
        <v>0</v>
      </c>
      <c r="G5" s="1">
        <v>0</v>
      </c>
      <c r="H5" s="1">
        <v>0</v>
      </c>
      <c r="I5" s="1">
        <v>0</v>
      </c>
      <c r="J5" s="1">
        <v>0</v>
      </c>
      <c r="K5" s="1">
        <v>0</v>
      </c>
      <c r="L5" s="1">
        <v>0</v>
      </c>
      <c r="M5" s="1">
        <v>0</v>
      </c>
      <c r="N5" s="1">
        <v>0</v>
      </c>
      <c r="O5" s="1">
        <v>0</v>
      </c>
      <c r="P5" s="1">
        <v>20</v>
      </c>
      <c r="Q5" s="1">
        <v>10</v>
      </c>
      <c r="R5" s="1">
        <v>1</v>
      </c>
      <c r="S5" s="1">
        <v>1</v>
      </c>
      <c r="T5" s="1">
        <v>1</v>
      </c>
      <c r="U5" s="1">
        <v>4</v>
      </c>
      <c r="V5" s="1">
        <v>3</v>
      </c>
      <c r="W5" s="1">
        <v>4</v>
      </c>
      <c r="X5" s="1">
        <v>4</v>
      </c>
      <c r="Y5" s="1">
        <v>4</v>
      </c>
      <c r="Z5" s="1">
        <v>4</v>
      </c>
      <c r="AA5" s="1">
        <v>4</v>
      </c>
      <c r="AC5" s="1">
        <v>2</v>
      </c>
      <c r="AE5" s="1">
        <v>2</v>
      </c>
      <c r="AF5" s="3">
        <v>3500000</v>
      </c>
      <c r="AG5" s="1">
        <v>13</v>
      </c>
      <c r="AT5" s="1" t="s">
        <v>86</v>
      </c>
      <c r="BP5" s="1">
        <v>3</v>
      </c>
      <c r="BQ5" s="1" t="s">
        <v>3087</v>
      </c>
      <c r="BR5" s="1" t="s">
        <v>3088</v>
      </c>
      <c r="BS5" s="1" t="s">
        <v>3089</v>
      </c>
      <c r="BT5" s="1" t="s">
        <v>107</v>
      </c>
      <c r="BU5" s="1">
        <v>3</v>
      </c>
      <c r="BV5" s="1">
        <v>1</v>
      </c>
      <c r="BW5" s="1">
        <v>0</v>
      </c>
      <c r="BX5" s="1">
        <v>0</v>
      </c>
      <c r="BY5" s="1">
        <v>1</v>
      </c>
      <c r="BZ5" s="1">
        <v>1</v>
      </c>
      <c r="CA5" s="1">
        <v>0</v>
      </c>
      <c r="CB5" s="1">
        <v>0</v>
      </c>
      <c r="CC5" s="1">
        <v>0</v>
      </c>
      <c r="CD5" s="1">
        <v>0</v>
      </c>
      <c r="CE5" s="1">
        <v>0</v>
      </c>
      <c r="CF5" s="1">
        <v>1</v>
      </c>
      <c r="CG5" s="1">
        <v>1</v>
      </c>
      <c r="CH5" s="1">
        <v>0</v>
      </c>
      <c r="CI5" s="1">
        <v>0</v>
      </c>
      <c r="CJ5" s="1">
        <v>4</v>
      </c>
      <c r="CK5" s="1">
        <v>4</v>
      </c>
      <c r="CL5" s="1">
        <v>4</v>
      </c>
      <c r="CM5" s="1">
        <v>4</v>
      </c>
      <c r="CN5" s="1">
        <v>4</v>
      </c>
      <c r="CO5" s="1">
        <v>4</v>
      </c>
      <c r="CP5" s="1">
        <v>4</v>
      </c>
      <c r="CU5" s="1">
        <v>1</v>
      </c>
    </row>
    <row r="6" spans="1:99" x14ac:dyDescent="0.35">
      <c r="A6" s="1" t="s">
        <v>3090</v>
      </c>
      <c r="B6" s="1">
        <v>185221005</v>
      </c>
      <c r="C6" s="1">
        <v>0</v>
      </c>
      <c r="D6" s="1">
        <v>1</v>
      </c>
      <c r="E6" s="1">
        <v>0</v>
      </c>
      <c r="F6" s="1">
        <v>0</v>
      </c>
      <c r="G6" s="1">
        <v>0</v>
      </c>
      <c r="H6" s="1">
        <v>1</v>
      </c>
      <c r="I6" s="1">
        <v>0</v>
      </c>
      <c r="J6" s="1">
        <v>1</v>
      </c>
      <c r="K6" s="1">
        <v>0</v>
      </c>
      <c r="L6" s="1">
        <v>1</v>
      </c>
      <c r="M6" s="1">
        <v>1</v>
      </c>
      <c r="N6" s="1">
        <v>0</v>
      </c>
      <c r="O6" s="1">
        <v>0</v>
      </c>
      <c r="P6" s="1">
        <v>30</v>
      </c>
      <c r="Q6" s="1">
        <v>2</v>
      </c>
      <c r="R6" s="1">
        <v>1</v>
      </c>
      <c r="S6" s="1">
        <v>3</v>
      </c>
      <c r="T6" s="1">
        <v>3</v>
      </c>
      <c r="U6" s="1">
        <v>4</v>
      </c>
      <c r="V6" s="1">
        <v>4</v>
      </c>
      <c r="W6" s="1">
        <v>3</v>
      </c>
      <c r="X6" s="1">
        <v>4</v>
      </c>
      <c r="Y6" s="1">
        <v>4</v>
      </c>
      <c r="Z6" s="1">
        <v>4</v>
      </c>
      <c r="AA6" s="1">
        <v>4</v>
      </c>
      <c r="AB6" s="1">
        <v>3</v>
      </c>
      <c r="AC6" s="1">
        <v>2</v>
      </c>
      <c r="AE6" s="1">
        <v>5</v>
      </c>
      <c r="AF6" s="3">
        <v>1500000</v>
      </c>
      <c r="AG6" s="1">
        <v>13</v>
      </c>
      <c r="AT6" s="1" t="s">
        <v>86</v>
      </c>
      <c r="BP6" s="1">
        <v>4</v>
      </c>
      <c r="BQ6" s="1" t="s">
        <v>3091</v>
      </c>
      <c r="BT6" s="1" t="s">
        <v>107</v>
      </c>
      <c r="BU6" s="1">
        <v>4</v>
      </c>
      <c r="BV6" s="1">
        <v>2</v>
      </c>
      <c r="BW6" s="1">
        <v>0</v>
      </c>
      <c r="BX6" s="1">
        <v>0</v>
      </c>
      <c r="BY6" s="1">
        <v>1</v>
      </c>
      <c r="BZ6" s="1">
        <v>0</v>
      </c>
      <c r="CA6" s="1">
        <v>0</v>
      </c>
      <c r="CB6" s="1">
        <v>0</v>
      </c>
      <c r="CC6" s="1">
        <v>0</v>
      </c>
      <c r="CD6" s="1">
        <v>0</v>
      </c>
      <c r="CE6" s="1">
        <v>0</v>
      </c>
      <c r="CF6" s="1">
        <v>0</v>
      </c>
      <c r="CG6" s="1">
        <v>0</v>
      </c>
      <c r="CH6" s="1">
        <v>0</v>
      </c>
      <c r="CI6" s="1">
        <v>0</v>
      </c>
      <c r="CJ6" s="1">
        <v>4</v>
      </c>
      <c r="CK6" s="1">
        <v>3</v>
      </c>
      <c r="CL6" s="1">
        <v>3</v>
      </c>
      <c r="CM6" s="1">
        <v>4</v>
      </c>
      <c r="CN6" s="1">
        <v>4</v>
      </c>
      <c r="CO6" s="1">
        <v>4</v>
      </c>
      <c r="CP6" s="1">
        <v>4</v>
      </c>
      <c r="CU6" s="1">
        <v>4</v>
      </c>
    </row>
    <row r="7" spans="1:99" x14ac:dyDescent="0.35">
      <c r="A7" s="1" t="s">
        <v>3092</v>
      </c>
      <c r="B7" s="1">
        <v>185221006</v>
      </c>
      <c r="C7" s="1">
        <v>0</v>
      </c>
      <c r="D7" s="1">
        <v>0</v>
      </c>
      <c r="E7" s="1">
        <v>0</v>
      </c>
      <c r="F7" s="1">
        <v>0</v>
      </c>
      <c r="G7" s="1">
        <v>0</v>
      </c>
      <c r="H7" s="1">
        <v>0</v>
      </c>
      <c r="I7" s="1">
        <v>0</v>
      </c>
      <c r="J7" s="1">
        <v>0</v>
      </c>
      <c r="K7" s="1">
        <v>0</v>
      </c>
      <c r="L7" s="1">
        <v>0</v>
      </c>
      <c r="M7" s="1">
        <v>0</v>
      </c>
      <c r="N7" s="1">
        <v>0</v>
      </c>
      <c r="P7" s="1">
        <v>35</v>
      </c>
      <c r="Q7" s="1">
        <v>15</v>
      </c>
      <c r="R7" s="1">
        <v>10</v>
      </c>
      <c r="S7" s="1">
        <v>5</v>
      </c>
      <c r="T7" s="1">
        <v>1</v>
      </c>
      <c r="U7" s="1">
        <v>4</v>
      </c>
      <c r="V7" s="1">
        <v>4</v>
      </c>
      <c r="W7" s="1">
        <v>2</v>
      </c>
      <c r="X7" s="1">
        <v>4</v>
      </c>
      <c r="Y7" s="1">
        <v>4</v>
      </c>
      <c r="Z7" s="1">
        <v>4</v>
      </c>
      <c r="AA7" s="1">
        <v>4</v>
      </c>
      <c r="CU7" s="1">
        <v>3</v>
      </c>
    </row>
    <row r="8" spans="1:99" x14ac:dyDescent="0.35">
      <c r="A8" s="1" t="s">
        <v>3093</v>
      </c>
      <c r="B8" s="1">
        <v>185221007</v>
      </c>
      <c r="C8" s="1">
        <v>1</v>
      </c>
      <c r="D8" s="1">
        <v>1</v>
      </c>
      <c r="E8" s="1">
        <v>0</v>
      </c>
      <c r="F8" s="1">
        <v>0</v>
      </c>
      <c r="G8" s="1">
        <v>0</v>
      </c>
      <c r="H8" s="1">
        <v>0</v>
      </c>
      <c r="I8" s="1">
        <v>0</v>
      </c>
      <c r="J8" s="1">
        <v>0</v>
      </c>
      <c r="K8" s="1">
        <v>0</v>
      </c>
      <c r="L8" s="1">
        <v>0</v>
      </c>
      <c r="M8" s="1">
        <v>0</v>
      </c>
      <c r="N8" s="1">
        <v>0</v>
      </c>
      <c r="O8" s="1">
        <v>0</v>
      </c>
      <c r="P8" s="1">
        <v>20</v>
      </c>
      <c r="Q8" s="1">
        <v>20</v>
      </c>
      <c r="R8" s="1">
        <v>3</v>
      </c>
      <c r="S8" s="1">
        <v>5</v>
      </c>
      <c r="T8" s="1">
        <v>1</v>
      </c>
      <c r="U8" s="1">
        <v>4</v>
      </c>
      <c r="V8" s="1">
        <v>4</v>
      </c>
      <c r="W8" s="1">
        <v>3</v>
      </c>
      <c r="X8" s="1">
        <v>4</v>
      </c>
      <c r="Y8" s="1">
        <v>4</v>
      </c>
      <c r="Z8" s="1">
        <v>4</v>
      </c>
      <c r="AA8" s="1">
        <v>4</v>
      </c>
      <c r="CU8" s="1">
        <v>4</v>
      </c>
    </row>
    <row r="9" spans="1:99" x14ac:dyDescent="0.35">
      <c r="A9" s="1" t="s">
        <v>3094</v>
      </c>
      <c r="B9" s="1">
        <v>185221008</v>
      </c>
      <c r="C9" s="1">
        <v>0</v>
      </c>
      <c r="D9" s="1">
        <v>0</v>
      </c>
      <c r="E9" s="1">
        <v>0</v>
      </c>
      <c r="F9" s="1">
        <v>0</v>
      </c>
      <c r="G9" s="1">
        <v>0</v>
      </c>
      <c r="H9" s="1">
        <v>0</v>
      </c>
      <c r="I9" s="1">
        <v>0</v>
      </c>
      <c r="J9" s="1">
        <v>0</v>
      </c>
      <c r="K9" s="1">
        <v>1</v>
      </c>
      <c r="L9" s="1">
        <v>0</v>
      </c>
      <c r="M9" s="1">
        <v>0</v>
      </c>
      <c r="N9" s="1">
        <v>0</v>
      </c>
      <c r="O9" s="1">
        <v>0</v>
      </c>
      <c r="P9" s="1">
        <v>10</v>
      </c>
      <c r="Q9" s="1">
        <v>1</v>
      </c>
      <c r="R9" s="1">
        <v>1</v>
      </c>
      <c r="S9" s="1">
        <v>1</v>
      </c>
      <c r="T9" s="1">
        <v>1</v>
      </c>
      <c r="U9" s="1">
        <v>4</v>
      </c>
      <c r="V9" s="1">
        <v>3</v>
      </c>
      <c r="W9" s="1">
        <v>4</v>
      </c>
      <c r="X9" s="1">
        <v>4</v>
      </c>
      <c r="Y9" s="1">
        <v>4</v>
      </c>
      <c r="Z9" s="1">
        <v>4</v>
      </c>
      <c r="AA9" s="1">
        <v>4</v>
      </c>
      <c r="AC9" s="1">
        <v>1</v>
      </c>
      <c r="AD9" s="1">
        <v>3</v>
      </c>
      <c r="AF9" s="3">
        <v>3000000</v>
      </c>
      <c r="AG9" s="1">
        <v>13</v>
      </c>
      <c r="AT9" s="1" t="s">
        <v>427</v>
      </c>
      <c r="BP9" s="1">
        <v>7</v>
      </c>
      <c r="BQ9" s="1" t="s">
        <v>3095</v>
      </c>
      <c r="BR9" s="1" t="s">
        <v>3096</v>
      </c>
      <c r="BT9" s="1" t="s">
        <v>79</v>
      </c>
      <c r="BU9" s="1">
        <v>2</v>
      </c>
      <c r="BV9" s="1">
        <v>1</v>
      </c>
      <c r="BW9" s="1">
        <v>1</v>
      </c>
      <c r="BX9" s="1">
        <v>0</v>
      </c>
      <c r="BY9" s="1">
        <v>0</v>
      </c>
      <c r="BZ9" s="1">
        <v>0</v>
      </c>
      <c r="CA9" s="1">
        <v>0</v>
      </c>
      <c r="CB9" s="1">
        <v>0</v>
      </c>
      <c r="CC9" s="1">
        <v>0</v>
      </c>
      <c r="CD9" s="1">
        <v>0</v>
      </c>
      <c r="CE9" s="1">
        <v>0</v>
      </c>
      <c r="CF9" s="1">
        <v>0</v>
      </c>
      <c r="CG9" s="1">
        <v>0</v>
      </c>
      <c r="CH9" s="1">
        <v>0</v>
      </c>
      <c r="CI9" s="1">
        <v>0</v>
      </c>
      <c r="CJ9" s="1">
        <v>3</v>
      </c>
      <c r="CK9" s="1">
        <v>4</v>
      </c>
      <c r="CL9" s="1">
        <v>4</v>
      </c>
      <c r="CM9" s="1">
        <v>4</v>
      </c>
      <c r="CN9" s="1">
        <v>4</v>
      </c>
      <c r="CO9" s="1">
        <v>4</v>
      </c>
      <c r="CP9" s="1">
        <v>3</v>
      </c>
      <c r="CU9" s="1">
        <v>1</v>
      </c>
    </row>
    <row r="10" spans="1:99" x14ac:dyDescent="0.35">
      <c r="A10" s="1" t="s">
        <v>3097</v>
      </c>
      <c r="B10" s="1">
        <v>185221009</v>
      </c>
      <c r="C10" s="1">
        <v>1</v>
      </c>
      <c r="D10" s="1">
        <v>1</v>
      </c>
      <c r="E10" s="1">
        <v>0</v>
      </c>
      <c r="F10" s="1">
        <v>0</v>
      </c>
      <c r="G10" s="1">
        <v>1</v>
      </c>
      <c r="H10" s="1">
        <v>0</v>
      </c>
      <c r="I10" s="1">
        <v>1</v>
      </c>
      <c r="J10" s="1">
        <v>1</v>
      </c>
      <c r="K10" s="1">
        <v>1</v>
      </c>
      <c r="L10" s="1">
        <v>1</v>
      </c>
      <c r="M10" s="1">
        <v>0</v>
      </c>
      <c r="N10" s="1">
        <v>0</v>
      </c>
      <c r="O10" s="1">
        <v>0</v>
      </c>
      <c r="P10" s="1">
        <v>73</v>
      </c>
      <c r="Q10" s="1">
        <v>30</v>
      </c>
      <c r="R10" s="1">
        <v>18</v>
      </c>
      <c r="S10" s="1">
        <v>5</v>
      </c>
      <c r="T10" s="1">
        <v>1</v>
      </c>
      <c r="U10" s="1">
        <v>3</v>
      </c>
      <c r="V10" s="1">
        <v>3</v>
      </c>
      <c r="W10" s="1">
        <v>2</v>
      </c>
      <c r="X10" s="1">
        <v>3</v>
      </c>
      <c r="Y10" s="1">
        <v>4</v>
      </c>
      <c r="Z10" s="1">
        <v>3</v>
      </c>
      <c r="AA10" s="1">
        <v>4</v>
      </c>
      <c r="CU10" s="1">
        <v>4</v>
      </c>
    </row>
    <row r="11" spans="1:99" x14ac:dyDescent="0.35">
      <c r="A11" s="1" t="s">
        <v>3098</v>
      </c>
      <c r="B11" s="1">
        <v>185221010</v>
      </c>
      <c r="C11" s="1">
        <v>0</v>
      </c>
      <c r="D11" s="1">
        <v>1</v>
      </c>
      <c r="E11" s="1">
        <v>0</v>
      </c>
      <c r="F11" s="1">
        <v>0</v>
      </c>
      <c r="G11" s="1">
        <v>0</v>
      </c>
      <c r="H11" s="1">
        <v>1</v>
      </c>
      <c r="I11" s="1">
        <v>0</v>
      </c>
      <c r="J11" s="1">
        <v>1</v>
      </c>
      <c r="K11" s="1">
        <v>1</v>
      </c>
      <c r="L11" s="1">
        <v>0</v>
      </c>
      <c r="M11" s="1">
        <v>1</v>
      </c>
      <c r="N11" s="1">
        <v>0</v>
      </c>
      <c r="O11" s="1">
        <v>0</v>
      </c>
      <c r="P11" s="1">
        <v>50</v>
      </c>
      <c r="Q11" s="1">
        <v>4</v>
      </c>
      <c r="R11" s="1">
        <v>3</v>
      </c>
      <c r="S11" s="1">
        <v>1</v>
      </c>
      <c r="T11" s="1">
        <v>1</v>
      </c>
      <c r="U11" s="1">
        <v>4</v>
      </c>
      <c r="V11" s="1">
        <v>4</v>
      </c>
      <c r="W11" s="1">
        <v>4</v>
      </c>
      <c r="X11" s="1">
        <v>4</v>
      </c>
      <c r="Y11" s="1">
        <v>4</v>
      </c>
      <c r="Z11" s="1">
        <v>4</v>
      </c>
      <c r="AA11" s="1">
        <v>4</v>
      </c>
      <c r="AC11" s="1">
        <v>1</v>
      </c>
      <c r="AD11" s="1">
        <v>2</v>
      </c>
      <c r="AF11" s="3">
        <v>3500000</v>
      </c>
      <c r="AG11" s="1">
        <v>13</v>
      </c>
      <c r="AT11" s="1" t="s">
        <v>86</v>
      </c>
      <c r="BP11" s="1">
        <v>3</v>
      </c>
      <c r="BQ11" s="1" t="s">
        <v>3099</v>
      </c>
      <c r="BR11" s="1" t="s">
        <v>3100</v>
      </c>
      <c r="BS11" s="1" t="s">
        <v>3101</v>
      </c>
      <c r="BT11" s="1" t="s">
        <v>79</v>
      </c>
      <c r="BU11" s="1">
        <v>2</v>
      </c>
      <c r="BV11" s="1">
        <v>2</v>
      </c>
      <c r="BW11" s="1">
        <v>0</v>
      </c>
      <c r="BX11" s="1">
        <v>1</v>
      </c>
      <c r="BY11" s="1">
        <v>0</v>
      </c>
      <c r="BZ11" s="1">
        <v>0</v>
      </c>
      <c r="CA11" s="1">
        <v>0</v>
      </c>
      <c r="CB11" s="1">
        <v>0</v>
      </c>
      <c r="CC11" s="1">
        <v>0</v>
      </c>
      <c r="CD11" s="1">
        <v>0</v>
      </c>
      <c r="CE11" s="1">
        <v>0</v>
      </c>
      <c r="CF11" s="1">
        <v>0</v>
      </c>
      <c r="CG11" s="1">
        <v>0</v>
      </c>
      <c r="CH11" s="1">
        <v>0</v>
      </c>
      <c r="CI11" s="1">
        <v>0</v>
      </c>
      <c r="CJ11" s="1">
        <v>4</v>
      </c>
      <c r="CK11" s="1">
        <v>4</v>
      </c>
      <c r="CL11" s="1">
        <v>4</v>
      </c>
      <c r="CM11" s="1">
        <v>4</v>
      </c>
      <c r="CN11" s="1">
        <v>4</v>
      </c>
      <c r="CO11" s="1">
        <v>4</v>
      </c>
      <c r="CP11" s="1">
        <v>4</v>
      </c>
      <c r="CU11" s="1">
        <v>1</v>
      </c>
    </row>
    <row r="12" spans="1:99" x14ac:dyDescent="0.35">
      <c r="A12" s="1" t="s">
        <v>3102</v>
      </c>
      <c r="B12" s="1">
        <v>185221011</v>
      </c>
      <c r="C12" s="1">
        <v>1</v>
      </c>
      <c r="D12" s="1">
        <v>1</v>
      </c>
      <c r="E12" s="1">
        <v>0</v>
      </c>
      <c r="F12" s="1">
        <v>0</v>
      </c>
      <c r="G12" s="1">
        <v>0</v>
      </c>
      <c r="H12" s="1">
        <v>1</v>
      </c>
      <c r="I12" s="1">
        <v>0</v>
      </c>
      <c r="J12" s="1">
        <v>0</v>
      </c>
      <c r="K12" s="1">
        <v>0</v>
      </c>
      <c r="L12" s="1">
        <v>0</v>
      </c>
      <c r="M12" s="1">
        <v>0</v>
      </c>
      <c r="N12" s="1">
        <v>0</v>
      </c>
      <c r="O12" s="1">
        <v>0</v>
      </c>
      <c r="P12" s="1" t="s">
        <v>3103</v>
      </c>
      <c r="Q12" s="1">
        <v>2</v>
      </c>
      <c r="R12" s="1">
        <v>2</v>
      </c>
      <c r="S12" s="1">
        <v>5</v>
      </c>
      <c r="T12" s="1">
        <v>1</v>
      </c>
      <c r="U12" s="1">
        <v>4</v>
      </c>
      <c r="V12" s="1">
        <v>3</v>
      </c>
      <c r="W12" s="1">
        <v>4</v>
      </c>
      <c r="X12" s="1">
        <v>4</v>
      </c>
      <c r="Y12" s="1">
        <v>4</v>
      </c>
      <c r="Z12" s="1">
        <v>4</v>
      </c>
      <c r="AA12" s="1">
        <v>4</v>
      </c>
      <c r="CU12" s="1">
        <v>2</v>
      </c>
    </row>
    <row r="13" spans="1:99" x14ac:dyDescent="0.35">
      <c r="A13" s="1" t="s">
        <v>3104</v>
      </c>
      <c r="B13" s="1">
        <v>185221012</v>
      </c>
      <c r="C13" s="1">
        <v>0</v>
      </c>
      <c r="D13" s="1">
        <v>1</v>
      </c>
      <c r="E13" s="1">
        <v>0</v>
      </c>
      <c r="F13" s="1">
        <v>1</v>
      </c>
      <c r="G13" s="1">
        <v>0</v>
      </c>
      <c r="H13" s="1">
        <v>0</v>
      </c>
      <c r="I13" s="1">
        <v>0</v>
      </c>
      <c r="J13" s="1">
        <v>1</v>
      </c>
      <c r="K13" s="1">
        <v>1</v>
      </c>
      <c r="L13" s="1">
        <v>0</v>
      </c>
      <c r="M13" s="1">
        <v>0</v>
      </c>
      <c r="N13" s="1">
        <v>0</v>
      </c>
      <c r="O13" s="1">
        <v>0</v>
      </c>
      <c r="P13" s="1" t="s">
        <v>289</v>
      </c>
      <c r="Q13" s="1" t="s">
        <v>3105</v>
      </c>
      <c r="R13" s="1" t="s">
        <v>3106</v>
      </c>
      <c r="S13" s="1">
        <v>5</v>
      </c>
      <c r="T13" s="1">
        <v>1</v>
      </c>
      <c r="U13" s="1">
        <v>4</v>
      </c>
      <c r="V13" s="1">
        <v>4</v>
      </c>
      <c r="W13" s="1">
        <v>3</v>
      </c>
      <c r="X13" s="1">
        <v>4</v>
      </c>
      <c r="Y13" s="1">
        <v>4</v>
      </c>
      <c r="Z13" s="1">
        <v>4</v>
      </c>
      <c r="AA13" s="1">
        <v>4</v>
      </c>
      <c r="CU13" s="1">
        <v>4</v>
      </c>
    </row>
    <row r="14" spans="1:99" x14ac:dyDescent="0.35">
      <c r="A14" s="1" t="s">
        <v>3107</v>
      </c>
      <c r="B14" s="1">
        <v>185221013</v>
      </c>
      <c r="C14" s="1">
        <v>0</v>
      </c>
      <c r="D14" s="1">
        <v>0</v>
      </c>
      <c r="E14" s="1">
        <v>1</v>
      </c>
      <c r="F14" s="1">
        <v>0</v>
      </c>
      <c r="G14" s="1">
        <v>0</v>
      </c>
      <c r="H14" s="1">
        <v>0</v>
      </c>
      <c r="I14" s="1">
        <v>0</v>
      </c>
      <c r="J14" s="1">
        <v>0</v>
      </c>
      <c r="K14" s="1">
        <v>0</v>
      </c>
      <c r="L14" s="1">
        <v>0</v>
      </c>
      <c r="M14" s="1">
        <v>0</v>
      </c>
      <c r="N14" s="1">
        <v>0</v>
      </c>
      <c r="O14" s="1">
        <v>0</v>
      </c>
      <c r="P14" s="1">
        <v>2</v>
      </c>
      <c r="Q14" s="1">
        <v>1</v>
      </c>
      <c r="R14" s="1">
        <v>1</v>
      </c>
      <c r="S14" s="1">
        <v>5</v>
      </c>
      <c r="T14" s="1">
        <v>2</v>
      </c>
      <c r="U14" s="1">
        <v>3</v>
      </c>
      <c r="V14" s="1">
        <v>3</v>
      </c>
      <c r="W14" s="1">
        <v>3</v>
      </c>
      <c r="X14" s="1">
        <v>4</v>
      </c>
      <c r="Y14" s="1">
        <v>3</v>
      </c>
      <c r="Z14" s="1">
        <v>4</v>
      </c>
      <c r="AA14" s="1">
        <v>3</v>
      </c>
      <c r="CU14" s="1">
        <v>3</v>
      </c>
    </row>
    <row r="15" spans="1:99" x14ac:dyDescent="0.35">
      <c r="A15" s="1" t="s">
        <v>3108</v>
      </c>
      <c r="B15" s="1">
        <v>185221014</v>
      </c>
      <c r="C15" s="1">
        <v>1</v>
      </c>
      <c r="D15" s="1">
        <v>1</v>
      </c>
      <c r="E15" s="1">
        <v>0</v>
      </c>
      <c r="F15" s="1">
        <v>0</v>
      </c>
      <c r="G15" s="1">
        <v>0</v>
      </c>
      <c r="H15" s="1">
        <v>0</v>
      </c>
      <c r="I15" s="1">
        <v>0</v>
      </c>
      <c r="J15" s="1">
        <v>1</v>
      </c>
      <c r="K15" s="1">
        <v>0</v>
      </c>
      <c r="L15" s="1">
        <v>0</v>
      </c>
      <c r="M15" s="1">
        <v>0</v>
      </c>
      <c r="N15" s="1">
        <v>0</v>
      </c>
      <c r="O15" s="1">
        <v>0</v>
      </c>
      <c r="P15" s="1" t="s">
        <v>289</v>
      </c>
      <c r="Q15" s="1">
        <v>25</v>
      </c>
      <c r="R15" s="1">
        <v>10</v>
      </c>
      <c r="S15" s="1">
        <v>5</v>
      </c>
      <c r="T15" s="1">
        <v>1</v>
      </c>
      <c r="U15" s="1">
        <v>4</v>
      </c>
      <c r="V15" s="1">
        <v>4</v>
      </c>
      <c r="W15" s="1">
        <v>3</v>
      </c>
      <c r="X15" s="1">
        <v>3</v>
      </c>
      <c r="Y15" s="1">
        <v>4</v>
      </c>
      <c r="Z15" s="1">
        <v>4</v>
      </c>
      <c r="AA15" s="1">
        <v>3</v>
      </c>
      <c r="CU15" s="1">
        <v>4</v>
      </c>
    </row>
    <row r="16" spans="1:99" x14ac:dyDescent="0.35">
      <c r="A16" s="1" t="s">
        <v>3109</v>
      </c>
      <c r="B16" s="1">
        <v>185221015</v>
      </c>
      <c r="C16" s="1">
        <v>0</v>
      </c>
      <c r="D16" s="1">
        <v>1</v>
      </c>
      <c r="E16" s="1">
        <v>0</v>
      </c>
      <c r="F16" s="1">
        <v>0</v>
      </c>
      <c r="G16" s="1">
        <v>0</v>
      </c>
      <c r="H16" s="1">
        <v>0</v>
      </c>
      <c r="I16" s="1">
        <v>0</v>
      </c>
      <c r="J16" s="1">
        <v>1</v>
      </c>
      <c r="K16" s="1">
        <v>1</v>
      </c>
      <c r="L16" s="1">
        <v>0</v>
      </c>
      <c r="M16" s="1">
        <v>0</v>
      </c>
      <c r="N16" s="1">
        <v>0</v>
      </c>
      <c r="O16" s="1">
        <v>0</v>
      </c>
      <c r="P16" s="1">
        <v>2</v>
      </c>
      <c r="Q16" s="1">
        <v>2</v>
      </c>
      <c r="R16" s="1">
        <v>2</v>
      </c>
      <c r="S16" s="1">
        <v>1</v>
      </c>
      <c r="T16" s="1">
        <v>1</v>
      </c>
      <c r="U16" s="1">
        <v>4</v>
      </c>
      <c r="V16" s="1">
        <v>3</v>
      </c>
      <c r="W16" s="1">
        <v>3</v>
      </c>
      <c r="X16" s="1">
        <v>4</v>
      </c>
      <c r="Y16" s="1">
        <v>4</v>
      </c>
      <c r="Z16" s="1">
        <v>4</v>
      </c>
      <c r="AA16" s="1">
        <v>4</v>
      </c>
      <c r="AC16" s="1">
        <v>1</v>
      </c>
      <c r="AD16" s="1">
        <v>2</v>
      </c>
      <c r="AF16" s="3">
        <v>2750000</v>
      </c>
      <c r="AG16" s="1">
        <v>13</v>
      </c>
      <c r="AT16" s="1" t="s">
        <v>427</v>
      </c>
      <c r="BP16" s="1">
        <v>3</v>
      </c>
      <c r="BQ16" s="1" t="s">
        <v>3110</v>
      </c>
      <c r="BR16" s="1" t="s">
        <v>3111</v>
      </c>
      <c r="BS16" s="1" t="s">
        <v>3112</v>
      </c>
      <c r="BT16" s="1" t="s">
        <v>79</v>
      </c>
      <c r="BU16" s="1">
        <v>1</v>
      </c>
      <c r="BV16" s="1">
        <v>3</v>
      </c>
      <c r="BW16" s="1">
        <v>0</v>
      </c>
      <c r="BX16" s="1">
        <v>1</v>
      </c>
      <c r="BY16" s="1">
        <v>0</v>
      </c>
      <c r="BZ16" s="1">
        <v>0</v>
      </c>
      <c r="CA16" s="1">
        <v>0</v>
      </c>
      <c r="CB16" s="1">
        <v>0</v>
      </c>
      <c r="CC16" s="1">
        <v>0</v>
      </c>
      <c r="CD16" s="1">
        <v>0</v>
      </c>
      <c r="CE16" s="1">
        <v>1</v>
      </c>
      <c r="CF16" s="1">
        <v>1</v>
      </c>
      <c r="CG16" s="1">
        <v>0</v>
      </c>
      <c r="CH16" s="1">
        <v>0</v>
      </c>
      <c r="CI16" s="1">
        <v>0</v>
      </c>
      <c r="CJ16" s="1">
        <v>4</v>
      </c>
      <c r="CK16" s="1">
        <v>3</v>
      </c>
      <c r="CL16" s="1">
        <v>3</v>
      </c>
      <c r="CM16" s="1">
        <v>3</v>
      </c>
      <c r="CN16" s="1">
        <v>4</v>
      </c>
      <c r="CO16" s="1">
        <v>4</v>
      </c>
      <c r="CP16" s="1">
        <v>3</v>
      </c>
      <c r="CU16" s="1">
        <v>2</v>
      </c>
    </row>
    <row r="17" spans="1:99" x14ac:dyDescent="0.35">
      <c r="A17" s="1" t="s">
        <v>3113</v>
      </c>
      <c r="B17" s="1">
        <v>185221017</v>
      </c>
      <c r="C17" s="1">
        <v>0</v>
      </c>
      <c r="D17" s="1">
        <v>1</v>
      </c>
      <c r="E17" s="1">
        <v>0</v>
      </c>
      <c r="F17" s="1">
        <v>0</v>
      </c>
      <c r="G17" s="1">
        <v>0</v>
      </c>
      <c r="H17" s="1">
        <v>0</v>
      </c>
      <c r="I17" s="1">
        <v>0</v>
      </c>
      <c r="J17" s="1">
        <v>0</v>
      </c>
      <c r="K17" s="1">
        <v>1</v>
      </c>
      <c r="L17" s="1">
        <v>0</v>
      </c>
      <c r="M17" s="1">
        <v>0</v>
      </c>
      <c r="N17" s="1">
        <v>0</v>
      </c>
      <c r="O17" s="1">
        <v>0</v>
      </c>
      <c r="P17" s="1">
        <v>19</v>
      </c>
      <c r="Q17" s="1">
        <v>6</v>
      </c>
      <c r="R17" s="1">
        <v>2</v>
      </c>
      <c r="S17" s="1">
        <v>5</v>
      </c>
      <c r="T17" s="1">
        <v>1</v>
      </c>
      <c r="U17" s="1">
        <v>4</v>
      </c>
      <c r="V17" s="1">
        <v>3</v>
      </c>
      <c r="W17" s="1">
        <v>3</v>
      </c>
      <c r="X17" s="1">
        <v>3</v>
      </c>
      <c r="Y17" s="1">
        <v>3</v>
      </c>
      <c r="Z17" s="1">
        <v>3</v>
      </c>
      <c r="AA17" s="1">
        <v>3</v>
      </c>
      <c r="CU17" s="1">
        <v>4</v>
      </c>
    </row>
    <row r="18" spans="1:99" x14ac:dyDescent="0.35">
      <c r="A18" s="1" t="s">
        <v>3114</v>
      </c>
      <c r="B18" s="1">
        <v>185221018</v>
      </c>
      <c r="C18" s="1">
        <v>0</v>
      </c>
      <c r="D18" s="1">
        <v>1</v>
      </c>
      <c r="E18" s="1">
        <v>0</v>
      </c>
      <c r="F18" s="1">
        <v>0</v>
      </c>
      <c r="G18" s="1">
        <v>0</v>
      </c>
      <c r="H18" s="1">
        <v>0</v>
      </c>
      <c r="I18" s="1">
        <v>0</v>
      </c>
      <c r="J18" s="1">
        <v>0</v>
      </c>
      <c r="K18" s="1">
        <v>0</v>
      </c>
      <c r="L18" s="1">
        <v>0</v>
      </c>
      <c r="M18" s="1">
        <v>0</v>
      </c>
      <c r="N18" s="1">
        <v>0</v>
      </c>
      <c r="O18" s="1">
        <v>0</v>
      </c>
      <c r="P18" s="1">
        <f>-+ 100</f>
        <v>-100</v>
      </c>
      <c r="Q18" s="1" t="s">
        <v>3115</v>
      </c>
      <c r="R18" s="1" t="s">
        <v>3115</v>
      </c>
      <c r="S18" s="1">
        <v>1</v>
      </c>
      <c r="T18" s="1">
        <v>3</v>
      </c>
      <c r="U18" s="1">
        <v>4</v>
      </c>
      <c r="V18" s="1">
        <v>4</v>
      </c>
      <c r="W18" s="1">
        <v>2</v>
      </c>
      <c r="X18" s="1">
        <v>4</v>
      </c>
      <c r="Y18" s="1">
        <v>4</v>
      </c>
      <c r="Z18" s="1">
        <v>4</v>
      </c>
      <c r="AA18" s="1">
        <v>4</v>
      </c>
      <c r="AC18" s="1">
        <v>2</v>
      </c>
      <c r="AE18" s="1">
        <v>6</v>
      </c>
      <c r="AF18" s="3">
        <v>3200000</v>
      </c>
      <c r="AG18" s="1">
        <v>13</v>
      </c>
      <c r="AT18" s="1" t="s">
        <v>86</v>
      </c>
      <c r="BP18" s="1">
        <v>3</v>
      </c>
      <c r="BQ18" s="1" t="s">
        <v>3116</v>
      </c>
      <c r="BR18" s="1" t="s">
        <v>3117</v>
      </c>
      <c r="BT18" s="1" t="s">
        <v>79</v>
      </c>
      <c r="BU18" s="1">
        <v>4</v>
      </c>
      <c r="BV18" s="1">
        <v>3</v>
      </c>
      <c r="BW18" s="1">
        <v>0</v>
      </c>
      <c r="BX18" s="1">
        <v>1</v>
      </c>
      <c r="BY18" s="1">
        <v>0</v>
      </c>
      <c r="BZ18" s="1">
        <v>0</v>
      </c>
      <c r="CA18" s="1">
        <v>0</v>
      </c>
      <c r="CB18" s="1">
        <v>0</v>
      </c>
      <c r="CC18" s="1">
        <v>0</v>
      </c>
      <c r="CD18" s="1">
        <v>0</v>
      </c>
      <c r="CE18" s="1">
        <v>0</v>
      </c>
      <c r="CF18" s="1">
        <v>1</v>
      </c>
      <c r="CG18" s="1">
        <v>0</v>
      </c>
      <c r="CH18" s="1">
        <v>1</v>
      </c>
      <c r="CI18" s="1">
        <v>0</v>
      </c>
      <c r="CJ18" s="1">
        <v>4</v>
      </c>
      <c r="CK18" s="1">
        <v>2</v>
      </c>
      <c r="CL18" s="1">
        <v>1</v>
      </c>
      <c r="CM18" s="1">
        <v>4</v>
      </c>
      <c r="CN18" s="1">
        <v>4</v>
      </c>
      <c r="CO18" s="1">
        <v>4</v>
      </c>
      <c r="CP18" s="1">
        <v>4</v>
      </c>
      <c r="CU18" s="1">
        <v>4</v>
      </c>
    </row>
    <row r="19" spans="1:99" x14ac:dyDescent="0.35">
      <c r="A19" s="1" t="s">
        <v>3118</v>
      </c>
      <c r="B19" s="1">
        <v>185221021</v>
      </c>
      <c r="C19" s="1">
        <v>0</v>
      </c>
      <c r="D19" s="1">
        <v>0</v>
      </c>
      <c r="E19" s="1">
        <v>0</v>
      </c>
      <c r="F19" s="1">
        <v>0</v>
      </c>
      <c r="G19" s="1">
        <v>0</v>
      </c>
      <c r="H19" s="1">
        <v>0</v>
      </c>
      <c r="I19" s="1">
        <v>0</v>
      </c>
      <c r="J19" s="1">
        <v>0</v>
      </c>
      <c r="K19" s="1">
        <v>1</v>
      </c>
      <c r="L19" s="1">
        <v>0</v>
      </c>
      <c r="M19" s="1">
        <v>0</v>
      </c>
      <c r="N19" s="1">
        <v>0</v>
      </c>
      <c r="O19" s="1">
        <v>0</v>
      </c>
      <c r="P19" s="1">
        <v>5</v>
      </c>
      <c r="Q19" s="1">
        <v>0</v>
      </c>
      <c r="R19" s="1">
        <v>2</v>
      </c>
      <c r="S19" s="1">
        <v>1</v>
      </c>
      <c r="T19" s="1">
        <v>1</v>
      </c>
      <c r="U19" s="1">
        <v>3</v>
      </c>
      <c r="V19" s="1">
        <v>3</v>
      </c>
      <c r="W19" s="1">
        <v>3</v>
      </c>
      <c r="X19" s="1">
        <v>3</v>
      </c>
      <c r="Y19" s="1">
        <v>3</v>
      </c>
      <c r="Z19" s="1">
        <v>3</v>
      </c>
      <c r="AA19" s="1">
        <v>3</v>
      </c>
      <c r="AC19" s="1">
        <v>1</v>
      </c>
      <c r="AD19" s="1">
        <v>2</v>
      </c>
      <c r="AF19" s="3">
        <v>2000000</v>
      </c>
      <c r="AG19" s="1">
        <v>13</v>
      </c>
      <c r="AT19" s="1" t="s">
        <v>86</v>
      </c>
      <c r="BP19" s="1">
        <v>3</v>
      </c>
      <c r="BQ19" s="1" t="s">
        <v>3119</v>
      </c>
      <c r="BR19" s="1" t="s">
        <v>3120</v>
      </c>
      <c r="BT19" s="1" t="s">
        <v>73</v>
      </c>
      <c r="BU19" s="1">
        <v>4</v>
      </c>
      <c r="BV19" s="1">
        <v>2</v>
      </c>
      <c r="BW19" s="1">
        <v>0</v>
      </c>
      <c r="BX19" s="1">
        <v>1</v>
      </c>
      <c r="BY19" s="1">
        <v>0</v>
      </c>
      <c r="BZ19" s="1">
        <v>0</v>
      </c>
      <c r="CA19" s="1">
        <v>0</v>
      </c>
      <c r="CB19" s="1">
        <v>0</v>
      </c>
      <c r="CC19" s="1">
        <v>0</v>
      </c>
      <c r="CD19" s="1">
        <v>0</v>
      </c>
      <c r="CE19" s="1">
        <v>0</v>
      </c>
      <c r="CF19" s="1">
        <v>0</v>
      </c>
      <c r="CG19" s="1">
        <v>0</v>
      </c>
      <c r="CH19" s="1">
        <v>0</v>
      </c>
      <c r="CI19" s="1">
        <v>0</v>
      </c>
      <c r="CJ19" s="1">
        <v>4</v>
      </c>
      <c r="CK19" s="1">
        <v>4</v>
      </c>
      <c r="CL19" s="1">
        <v>3</v>
      </c>
      <c r="CM19" s="1">
        <v>4</v>
      </c>
      <c r="CN19" s="1">
        <v>4</v>
      </c>
      <c r="CO19" s="1">
        <v>4</v>
      </c>
      <c r="CP19" s="1">
        <v>4</v>
      </c>
    </row>
    <row r="20" spans="1:99" x14ac:dyDescent="0.35">
      <c r="A20" s="1" t="s">
        <v>3121</v>
      </c>
      <c r="B20" s="1">
        <v>185221022</v>
      </c>
      <c r="C20" s="1">
        <v>0</v>
      </c>
      <c r="D20" s="1">
        <v>1</v>
      </c>
      <c r="E20" s="1">
        <v>0</v>
      </c>
      <c r="F20" s="1">
        <v>0</v>
      </c>
      <c r="G20" s="1">
        <v>0</v>
      </c>
      <c r="H20" s="1">
        <v>0</v>
      </c>
      <c r="I20" s="1">
        <v>0</v>
      </c>
      <c r="J20" s="1">
        <v>0</v>
      </c>
      <c r="K20" s="1">
        <v>1</v>
      </c>
      <c r="L20" s="1">
        <v>0</v>
      </c>
      <c r="M20" s="1">
        <v>0</v>
      </c>
      <c r="N20" s="1">
        <v>0</v>
      </c>
      <c r="O20" s="1">
        <v>0</v>
      </c>
      <c r="P20" s="1">
        <v>15</v>
      </c>
      <c r="Q20" s="1">
        <v>10</v>
      </c>
      <c r="R20" s="1">
        <v>3</v>
      </c>
      <c r="S20" s="1">
        <v>1</v>
      </c>
      <c r="T20" s="1">
        <v>1</v>
      </c>
      <c r="U20" s="1">
        <v>3</v>
      </c>
      <c r="V20" s="1">
        <v>3</v>
      </c>
      <c r="W20" s="1">
        <v>3</v>
      </c>
      <c r="X20" s="1">
        <v>4</v>
      </c>
      <c r="Y20" s="1">
        <v>4</v>
      </c>
      <c r="Z20" s="1">
        <v>3</v>
      </c>
      <c r="AA20" s="1">
        <v>3</v>
      </c>
      <c r="AC20" s="1">
        <v>1</v>
      </c>
      <c r="AD20" s="1">
        <v>3</v>
      </c>
      <c r="AF20" s="3">
        <v>1500000</v>
      </c>
      <c r="AG20" s="1">
        <v>13</v>
      </c>
      <c r="AT20" s="1" t="s">
        <v>427</v>
      </c>
      <c r="BP20" s="1" t="s">
        <v>3122</v>
      </c>
      <c r="BQ20" s="1" t="s">
        <v>3123</v>
      </c>
      <c r="BR20" s="1" t="s">
        <v>3124</v>
      </c>
      <c r="BS20" s="1" t="s">
        <v>3125</v>
      </c>
      <c r="BT20" s="1" t="s">
        <v>107</v>
      </c>
      <c r="BU20" s="1">
        <v>4</v>
      </c>
      <c r="BV20" s="1">
        <v>4</v>
      </c>
      <c r="BW20" s="1">
        <v>0</v>
      </c>
      <c r="BX20" s="1">
        <v>1</v>
      </c>
      <c r="BY20" s="1">
        <v>0</v>
      </c>
      <c r="BZ20" s="1">
        <v>0</v>
      </c>
      <c r="CA20" s="1">
        <v>0</v>
      </c>
      <c r="CB20" s="1">
        <v>0</v>
      </c>
      <c r="CC20" s="1">
        <v>0</v>
      </c>
      <c r="CD20" s="1">
        <v>0</v>
      </c>
      <c r="CE20" s="1">
        <v>0</v>
      </c>
      <c r="CF20" s="1">
        <v>0</v>
      </c>
      <c r="CG20" s="1">
        <v>0</v>
      </c>
      <c r="CH20" s="1">
        <v>0</v>
      </c>
      <c r="CI20" s="1">
        <v>0</v>
      </c>
      <c r="CJ20" s="1">
        <v>4</v>
      </c>
      <c r="CK20" s="1">
        <v>3</v>
      </c>
      <c r="CL20" s="1">
        <v>1</v>
      </c>
      <c r="CM20" s="1">
        <v>3</v>
      </c>
      <c r="CN20" s="1">
        <v>4</v>
      </c>
      <c r="CO20" s="1">
        <v>3</v>
      </c>
      <c r="CP20" s="1">
        <v>4</v>
      </c>
      <c r="CU20" s="1">
        <v>4</v>
      </c>
    </row>
    <row r="21" spans="1:99" x14ac:dyDescent="0.35">
      <c r="A21" s="1" t="s">
        <v>3126</v>
      </c>
      <c r="B21" s="1">
        <v>185221023</v>
      </c>
      <c r="C21" s="1">
        <v>0</v>
      </c>
      <c r="D21" s="1">
        <v>1</v>
      </c>
      <c r="E21" s="1">
        <v>0</v>
      </c>
      <c r="F21" s="1">
        <v>0</v>
      </c>
      <c r="G21" s="1">
        <v>0</v>
      </c>
      <c r="H21" s="1">
        <v>0</v>
      </c>
      <c r="I21" s="1">
        <v>0</v>
      </c>
      <c r="J21" s="1">
        <v>0</v>
      </c>
      <c r="K21" s="1">
        <v>1</v>
      </c>
      <c r="L21" s="1">
        <v>0</v>
      </c>
      <c r="M21" s="1">
        <v>0</v>
      </c>
      <c r="N21" s="1">
        <v>0</v>
      </c>
      <c r="O21" s="1">
        <v>0</v>
      </c>
      <c r="P21" s="1">
        <v>0</v>
      </c>
      <c r="Q21" s="1">
        <v>0</v>
      </c>
      <c r="R21" s="1">
        <v>0</v>
      </c>
      <c r="S21" s="1">
        <v>5</v>
      </c>
      <c r="T21" s="1">
        <v>1</v>
      </c>
      <c r="U21" s="1">
        <v>3</v>
      </c>
      <c r="V21" s="1">
        <v>2</v>
      </c>
      <c r="W21" s="1">
        <v>2</v>
      </c>
      <c r="X21" s="1">
        <v>3</v>
      </c>
      <c r="Y21" s="1">
        <v>3</v>
      </c>
      <c r="Z21" s="1">
        <v>3</v>
      </c>
      <c r="AA21" s="1">
        <v>3</v>
      </c>
      <c r="CU21" s="1">
        <v>4</v>
      </c>
    </row>
    <row r="22" spans="1:99" x14ac:dyDescent="0.35">
      <c r="A22" s="1" t="s">
        <v>3127</v>
      </c>
      <c r="B22" s="1">
        <v>185221024</v>
      </c>
      <c r="C22" s="1">
        <v>0</v>
      </c>
      <c r="D22" s="1">
        <v>1</v>
      </c>
      <c r="E22" s="1">
        <v>0</v>
      </c>
      <c r="F22" s="1">
        <v>0</v>
      </c>
      <c r="G22" s="1">
        <v>0</v>
      </c>
      <c r="H22" s="1">
        <v>1</v>
      </c>
      <c r="I22" s="1">
        <v>0</v>
      </c>
      <c r="J22" s="1">
        <v>0</v>
      </c>
      <c r="K22" s="1">
        <v>1</v>
      </c>
      <c r="L22" s="1">
        <v>1</v>
      </c>
      <c r="M22" s="1">
        <v>0</v>
      </c>
      <c r="N22" s="1">
        <v>0</v>
      </c>
      <c r="O22" s="1">
        <v>0</v>
      </c>
      <c r="P22" s="1">
        <v>100</v>
      </c>
      <c r="Q22" s="1">
        <v>15</v>
      </c>
      <c r="R22" s="1">
        <v>10</v>
      </c>
      <c r="S22" s="1">
        <v>1</v>
      </c>
      <c r="T22" s="1">
        <v>1</v>
      </c>
      <c r="U22" s="1">
        <v>3</v>
      </c>
      <c r="V22" s="1">
        <v>3</v>
      </c>
      <c r="W22" s="1">
        <v>2</v>
      </c>
      <c r="X22" s="1">
        <v>2</v>
      </c>
      <c r="Y22" s="1">
        <v>3</v>
      </c>
      <c r="Z22" s="1">
        <v>3</v>
      </c>
      <c r="AA22" s="1">
        <v>3</v>
      </c>
      <c r="AC22" s="1">
        <v>2</v>
      </c>
      <c r="AE22" s="1">
        <v>7</v>
      </c>
      <c r="AF22" s="3">
        <v>2500000</v>
      </c>
      <c r="AG22" s="1">
        <v>13</v>
      </c>
      <c r="AT22" s="1" t="s">
        <v>86</v>
      </c>
      <c r="BP22" s="1">
        <v>7</v>
      </c>
      <c r="BQ22" s="1" t="s">
        <v>3128</v>
      </c>
      <c r="BR22" s="1" t="s">
        <v>3129</v>
      </c>
      <c r="BT22" s="1" t="s">
        <v>79</v>
      </c>
      <c r="BU22" s="1">
        <v>5</v>
      </c>
      <c r="BV22" s="1">
        <v>3</v>
      </c>
      <c r="BW22" s="1">
        <v>0</v>
      </c>
      <c r="BX22" s="1">
        <v>1</v>
      </c>
      <c r="BY22" s="1">
        <v>0</v>
      </c>
      <c r="BZ22" s="1">
        <v>0</v>
      </c>
      <c r="CA22" s="1">
        <v>0</v>
      </c>
      <c r="CB22" s="1">
        <v>0</v>
      </c>
      <c r="CC22" s="1">
        <v>1</v>
      </c>
      <c r="CD22" s="1">
        <v>0</v>
      </c>
      <c r="CE22" s="1">
        <v>0</v>
      </c>
      <c r="CF22" s="1">
        <v>1</v>
      </c>
      <c r="CG22" s="1">
        <v>0</v>
      </c>
      <c r="CH22" s="1">
        <v>0</v>
      </c>
      <c r="CI22" s="1">
        <v>0</v>
      </c>
      <c r="CJ22" s="1">
        <v>4</v>
      </c>
      <c r="CK22" s="1">
        <v>3</v>
      </c>
      <c r="CL22" s="1">
        <v>4</v>
      </c>
      <c r="CM22" s="1">
        <v>3</v>
      </c>
      <c r="CN22" s="1">
        <v>3</v>
      </c>
      <c r="CO22" s="1">
        <v>3</v>
      </c>
      <c r="CP22" s="1">
        <v>3</v>
      </c>
      <c r="CU22" s="1">
        <v>1</v>
      </c>
    </row>
    <row r="23" spans="1:99" x14ac:dyDescent="0.35">
      <c r="A23" s="1" t="s">
        <v>3130</v>
      </c>
      <c r="B23" s="1">
        <v>185221025</v>
      </c>
      <c r="C23" s="1">
        <v>0</v>
      </c>
      <c r="D23" s="1">
        <v>1</v>
      </c>
      <c r="E23" s="1">
        <v>0</v>
      </c>
      <c r="F23" s="1">
        <v>0</v>
      </c>
      <c r="G23" s="1">
        <v>0</v>
      </c>
      <c r="H23" s="1">
        <v>0</v>
      </c>
      <c r="I23" s="1">
        <v>0</v>
      </c>
      <c r="J23" s="1">
        <v>0</v>
      </c>
      <c r="K23" s="1">
        <v>1</v>
      </c>
      <c r="L23" s="1">
        <v>0</v>
      </c>
      <c r="M23" s="1">
        <v>0</v>
      </c>
      <c r="N23" s="1">
        <v>0</v>
      </c>
      <c r="O23" s="1">
        <v>0</v>
      </c>
      <c r="P23" s="1">
        <v>10</v>
      </c>
      <c r="Q23" s="1">
        <v>4</v>
      </c>
      <c r="R23" s="1">
        <v>3</v>
      </c>
      <c r="S23" s="1">
        <v>1</v>
      </c>
      <c r="T23" s="1">
        <v>1</v>
      </c>
      <c r="U23" s="1">
        <v>3</v>
      </c>
      <c r="V23" s="1">
        <v>2</v>
      </c>
      <c r="W23" s="1">
        <v>2</v>
      </c>
      <c r="X23" s="1">
        <v>4</v>
      </c>
      <c r="Y23" s="1">
        <v>2</v>
      </c>
      <c r="Z23" s="1">
        <v>3</v>
      </c>
      <c r="AA23" s="1">
        <v>2</v>
      </c>
      <c r="AC23" s="1">
        <v>1</v>
      </c>
      <c r="AD23" s="1">
        <v>4</v>
      </c>
      <c r="AF23" s="3">
        <v>2500000</v>
      </c>
      <c r="AG23" s="1">
        <v>13</v>
      </c>
      <c r="AT23" s="1" t="s">
        <v>271</v>
      </c>
      <c r="BP23" s="1">
        <v>3</v>
      </c>
      <c r="BQ23" s="1" t="s">
        <v>3131</v>
      </c>
      <c r="BR23" s="1" t="s">
        <v>3132</v>
      </c>
      <c r="BS23" s="1" t="s">
        <v>3133</v>
      </c>
      <c r="BT23" s="1" t="s">
        <v>107</v>
      </c>
      <c r="BU23" s="1">
        <v>4</v>
      </c>
      <c r="BV23" s="1">
        <v>2</v>
      </c>
      <c r="BW23" s="1">
        <v>0</v>
      </c>
      <c r="BX23" s="1">
        <v>1</v>
      </c>
      <c r="BY23" s="1">
        <v>0</v>
      </c>
      <c r="BZ23" s="1">
        <v>0</v>
      </c>
      <c r="CA23" s="1">
        <v>0</v>
      </c>
      <c r="CB23" s="1">
        <v>0</v>
      </c>
      <c r="CC23" s="1">
        <v>0</v>
      </c>
      <c r="CD23" s="1">
        <v>1</v>
      </c>
      <c r="CE23" s="1">
        <v>0</v>
      </c>
      <c r="CF23" s="1">
        <v>1</v>
      </c>
      <c r="CG23" s="1">
        <v>0</v>
      </c>
      <c r="CH23" s="1">
        <v>0</v>
      </c>
      <c r="CI23" s="1">
        <v>0</v>
      </c>
      <c r="CJ23" s="1">
        <v>3</v>
      </c>
      <c r="CK23" s="1">
        <v>3</v>
      </c>
      <c r="CL23" s="1">
        <v>1</v>
      </c>
      <c r="CM23" s="1">
        <v>2</v>
      </c>
      <c r="CN23" s="1">
        <v>2</v>
      </c>
      <c r="CO23" s="1">
        <v>3</v>
      </c>
      <c r="CP23" s="1">
        <v>2</v>
      </c>
      <c r="CU23" s="1">
        <v>1</v>
      </c>
    </row>
    <row r="24" spans="1:99" x14ac:dyDescent="0.35">
      <c r="A24" s="1" t="s">
        <v>3134</v>
      </c>
      <c r="B24" s="1">
        <v>185221028</v>
      </c>
      <c r="C24" s="1">
        <v>0</v>
      </c>
      <c r="D24" s="1">
        <v>1</v>
      </c>
      <c r="E24" s="1">
        <v>0</v>
      </c>
      <c r="F24" s="1">
        <v>0</v>
      </c>
      <c r="G24" s="1">
        <v>0</v>
      </c>
      <c r="H24" s="1">
        <v>0</v>
      </c>
      <c r="I24" s="1">
        <v>0</v>
      </c>
      <c r="J24" s="1">
        <v>0</v>
      </c>
      <c r="K24" s="1">
        <v>1</v>
      </c>
      <c r="L24" s="1">
        <v>0</v>
      </c>
      <c r="M24" s="1">
        <v>0</v>
      </c>
      <c r="N24" s="1">
        <v>0</v>
      </c>
      <c r="O24" s="1">
        <v>0</v>
      </c>
      <c r="P24" s="1" t="s">
        <v>3135</v>
      </c>
      <c r="Q24" s="1">
        <v>5</v>
      </c>
      <c r="R24" s="1">
        <v>5</v>
      </c>
      <c r="S24" s="1">
        <v>1</v>
      </c>
      <c r="T24" s="1">
        <v>1</v>
      </c>
      <c r="U24" s="1">
        <v>4</v>
      </c>
      <c r="V24" s="1">
        <v>2</v>
      </c>
      <c r="W24" s="1">
        <v>3</v>
      </c>
      <c r="X24" s="1">
        <v>3</v>
      </c>
      <c r="Y24" s="1">
        <v>4</v>
      </c>
      <c r="Z24" s="1">
        <v>4</v>
      </c>
      <c r="AA24" s="1">
        <v>4</v>
      </c>
      <c r="AC24" s="1">
        <v>1</v>
      </c>
      <c r="AD24" s="1">
        <v>3</v>
      </c>
      <c r="AF24" s="3">
        <v>3000000</v>
      </c>
      <c r="AG24" s="1">
        <v>13</v>
      </c>
      <c r="AT24" s="1" t="s">
        <v>427</v>
      </c>
      <c r="BP24" s="1">
        <v>4</v>
      </c>
      <c r="BQ24" s="1" t="s">
        <v>3136</v>
      </c>
      <c r="BR24" s="1" t="s">
        <v>3137</v>
      </c>
      <c r="BS24" s="1" t="s">
        <v>3138</v>
      </c>
      <c r="BT24" s="1" t="s">
        <v>107</v>
      </c>
      <c r="BU24" s="1">
        <v>4</v>
      </c>
      <c r="BV24" s="1">
        <v>2</v>
      </c>
      <c r="BW24" s="1">
        <v>0</v>
      </c>
      <c r="BX24" s="1">
        <v>0</v>
      </c>
      <c r="BY24" s="1">
        <v>0</v>
      </c>
      <c r="BZ24" s="1">
        <v>1</v>
      </c>
      <c r="CA24" s="1">
        <v>0</v>
      </c>
      <c r="CB24" s="1">
        <v>0</v>
      </c>
      <c r="CC24" s="1">
        <v>0</v>
      </c>
      <c r="CD24" s="1">
        <v>1</v>
      </c>
      <c r="CE24" s="1">
        <v>0</v>
      </c>
      <c r="CF24" s="1">
        <v>1</v>
      </c>
      <c r="CG24" s="1">
        <v>0</v>
      </c>
      <c r="CH24" s="1">
        <v>0</v>
      </c>
      <c r="CI24" s="1" t="s">
        <v>3139</v>
      </c>
      <c r="CJ24" s="1">
        <v>4</v>
      </c>
      <c r="CK24" s="1">
        <v>4</v>
      </c>
      <c r="CL24" s="1">
        <v>4</v>
      </c>
      <c r="CM24" s="1">
        <v>4</v>
      </c>
      <c r="CN24" s="1">
        <v>4</v>
      </c>
      <c r="CO24" s="1">
        <v>4</v>
      </c>
      <c r="CP24" s="1">
        <v>4</v>
      </c>
      <c r="CU24" s="1">
        <v>1</v>
      </c>
    </row>
    <row r="25" spans="1:99" x14ac:dyDescent="0.35">
      <c r="A25" s="1" t="s">
        <v>3140</v>
      </c>
      <c r="B25" s="1">
        <v>185221029</v>
      </c>
      <c r="C25" s="1">
        <v>0</v>
      </c>
      <c r="D25" s="1">
        <v>1</v>
      </c>
      <c r="E25" s="1">
        <v>0</v>
      </c>
      <c r="F25" s="1">
        <v>0</v>
      </c>
      <c r="G25" s="1">
        <v>0</v>
      </c>
      <c r="H25" s="1">
        <v>0</v>
      </c>
      <c r="I25" s="1">
        <v>0</v>
      </c>
      <c r="J25" s="1">
        <v>0</v>
      </c>
      <c r="K25" s="1">
        <v>1</v>
      </c>
      <c r="L25" s="1">
        <v>0</v>
      </c>
      <c r="M25" s="1">
        <v>0</v>
      </c>
      <c r="N25" s="1">
        <v>0</v>
      </c>
      <c r="O25" s="1">
        <v>0</v>
      </c>
      <c r="P25" s="1">
        <v>20</v>
      </c>
      <c r="Q25" s="1">
        <v>2</v>
      </c>
      <c r="R25" s="1">
        <v>2</v>
      </c>
      <c r="S25" s="1">
        <v>5</v>
      </c>
      <c r="T25" s="1">
        <v>1</v>
      </c>
      <c r="U25" s="1">
        <v>4</v>
      </c>
      <c r="V25" s="1">
        <v>4</v>
      </c>
      <c r="W25" s="1">
        <v>3</v>
      </c>
      <c r="X25" s="1">
        <v>4</v>
      </c>
      <c r="Y25" s="1">
        <v>4</v>
      </c>
      <c r="Z25" s="1">
        <v>4</v>
      </c>
      <c r="AA25" s="1">
        <v>4</v>
      </c>
      <c r="CU25" s="1">
        <v>2</v>
      </c>
    </row>
    <row r="26" spans="1:99" x14ac:dyDescent="0.35">
      <c r="A26" s="1" t="s">
        <v>3141</v>
      </c>
      <c r="B26" s="1">
        <v>185221030</v>
      </c>
      <c r="C26" s="1">
        <v>0</v>
      </c>
      <c r="D26" s="1">
        <v>1</v>
      </c>
      <c r="E26" s="1">
        <v>1</v>
      </c>
      <c r="F26" s="1">
        <v>0</v>
      </c>
      <c r="G26" s="1">
        <v>0</v>
      </c>
      <c r="H26" s="1">
        <v>1</v>
      </c>
      <c r="I26" s="1">
        <v>0</v>
      </c>
      <c r="J26" s="1">
        <v>1</v>
      </c>
      <c r="K26" s="1">
        <v>1</v>
      </c>
      <c r="L26" s="1">
        <v>0</v>
      </c>
      <c r="M26" s="1">
        <v>1</v>
      </c>
      <c r="N26" s="1">
        <v>0</v>
      </c>
      <c r="O26" s="1">
        <v>0</v>
      </c>
      <c r="P26" s="1">
        <v>4</v>
      </c>
      <c r="Q26" s="1">
        <v>4</v>
      </c>
      <c r="R26" s="1">
        <v>3</v>
      </c>
      <c r="S26" s="1">
        <v>1</v>
      </c>
      <c r="T26" s="1">
        <v>1</v>
      </c>
      <c r="U26" s="1">
        <v>4</v>
      </c>
      <c r="V26" s="1">
        <v>3</v>
      </c>
      <c r="W26" s="1">
        <v>4</v>
      </c>
      <c r="X26" s="1">
        <v>4</v>
      </c>
      <c r="Y26" s="1">
        <v>3</v>
      </c>
      <c r="Z26" s="1">
        <v>4</v>
      </c>
      <c r="AA26" s="1">
        <v>4</v>
      </c>
      <c r="AC26" s="1">
        <v>1</v>
      </c>
      <c r="AD26" s="1">
        <v>3</v>
      </c>
      <c r="AE26" s="1">
        <v>1</v>
      </c>
      <c r="AF26" s="3">
        <v>5000000</v>
      </c>
      <c r="AG26" s="1">
        <v>11</v>
      </c>
      <c r="AR26" s="1" t="s">
        <v>222</v>
      </c>
      <c r="BP26" s="1">
        <v>3</v>
      </c>
      <c r="BQ26" s="1" t="s">
        <v>3142</v>
      </c>
      <c r="BR26" s="1" t="s">
        <v>3143</v>
      </c>
      <c r="BS26" s="1" t="s">
        <v>3144</v>
      </c>
      <c r="BT26" s="1" t="s">
        <v>79</v>
      </c>
      <c r="BU26" s="1">
        <v>5</v>
      </c>
      <c r="BV26" s="1">
        <v>2</v>
      </c>
      <c r="BW26" s="1">
        <v>0</v>
      </c>
      <c r="BX26" s="1">
        <v>0</v>
      </c>
      <c r="BY26" s="1">
        <v>0</v>
      </c>
      <c r="BZ26" s="1">
        <v>0</v>
      </c>
      <c r="CA26" s="1">
        <v>0</v>
      </c>
      <c r="CB26" s="1">
        <v>0</v>
      </c>
      <c r="CC26" s="1">
        <v>0</v>
      </c>
      <c r="CD26" s="1">
        <v>1</v>
      </c>
      <c r="CE26" s="1">
        <v>1</v>
      </c>
      <c r="CF26" s="1">
        <v>0</v>
      </c>
      <c r="CG26" s="1">
        <v>1</v>
      </c>
      <c r="CH26" s="1">
        <v>1</v>
      </c>
      <c r="CI26" s="1">
        <v>0</v>
      </c>
      <c r="CJ26" s="1">
        <v>4</v>
      </c>
      <c r="CK26" s="1">
        <v>4</v>
      </c>
      <c r="CL26" s="1">
        <v>4</v>
      </c>
      <c r="CM26" s="1">
        <v>4</v>
      </c>
      <c r="CN26" s="1">
        <v>4</v>
      </c>
      <c r="CO26" s="1">
        <v>4</v>
      </c>
      <c r="CP26" s="1">
        <v>4</v>
      </c>
      <c r="CU26" s="1">
        <v>4</v>
      </c>
    </row>
    <row r="27" spans="1:99" x14ac:dyDescent="0.35">
      <c r="A27" s="1" t="s">
        <v>3145</v>
      </c>
      <c r="B27" s="1">
        <v>185221031</v>
      </c>
      <c r="C27" s="1">
        <v>0</v>
      </c>
      <c r="D27" s="1">
        <v>0</v>
      </c>
      <c r="E27" s="1">
        <v>0</v>
      </c>
      <c r="F27" s="1">
        <v>0</v>
      </c>
      <c r="G27" s="1">
        <v>0</v>
      </c>
      <c r="H27" s="1">
        <v>0</v>
      </c>
      <c r="I27" s="1">
        <v>0</v>
      </c>
      <c r="J27" s="1">
        <v>0</v>
      </c>
      <c r="K27" s="1">
        <v>0</v>
      </c>
      <c r="L27" s="1">
        <v>0</v>
      </c>
      <c r="M27" s="1">
        <v>0</v>
      </c>
      <c r="N27" s="1">
        <v>0</v>
      </c>
      <c r="O27" s="1">
        <v>0</v>
      </c>
      <c r="P27" s="1">
        <v>3</v>
      </c>
      <c r="Q27" s="1">
        <v>3</v>
      </c>
      <c r="R27" s="1">
        <v>3</v>
      </c>
      <c r="S27" s="1">
        <v>3</v>
      </c>
      <c r="T27" s="1">
        <v>1</v>
      </c>
      <c r="U27" s="1">
        <v>4</v>
      </c>
      <c r="V27" s="1">
        <v>3</v>
      </c>
      <c r="W27" s="1">
        <v>4</v>
      </c>
      <c r="X27" s="1">
        <v>4</v>
      </c>
      <c r="Y27" s="1">
        <v>4</v>
      </c>
      <c r="Z27" s="1">
        <v>3</v>
      </c>
      <c r="AA27" s="1">
        <v>4</v>
      </c>
      <c r="AB27" s="1">
        <v>3</v>
      </c>
      <c r="AC27" s="1">
        <v>1</v>
      </c>
      <c r="AD27" s="1">
        <v>2</v>
      </c>
      <c r="AF27" s="3">
        <v>1800000</v>
      </c>
      <c r="AG27" s="1">
        <v>13</v>
      </c>
      <c r="AT27" s="1" t="s">
        <v>86</v>
      </c>
      <c r="BP27" s="1">
        <v>3</v>
      </c>
      <c r="BQ27" s="1" t="s">
        <v>3146</v>
      </c>
      <c r="BR27" s="1" t="s">
        <v>3147</v>
      </c>
      <c r="BS27" s="1" t="s">
        <v>3148</v>
      </c>
      <c r="BT27" s="1" t="s">
        <v>79</v>
      </c>
      <c r="BU27" s="1">
        <v>1</v>
      </c>
      <c r="BV27" s="1">
        <v>3</v>
      </c>
      <c r="BW27" s="1">
        <v>1</v>
      </c>
      <c r="BX27" s="1">
        <v>0</v>
      </c>
      <c r="BY27" s="1">
        <v>0</v>
      </c>
      <c r="BZ27" s="1">
        <v>0</v>
      </c>
      <c r="CA27" s="1">
        <v>0</v>
      </c>
      <c r="CB27" s="1">
        <v>0</v>
      </c>
      <c r="CC27" s="1">
        <v>0</v>
      </c>
      <c r="CD27" s="1">
        <v>0</v>
      </c>
      <c r="CE27" s="1">
        <v>0</v>
      </c>
      <c r="CF27" s="1">
        <v>0</v>
      </c>
      <c r="CG27" s="1">
        <v>0</v>
      </c>
      <c r="CH27" s="1">
        <v>0</v>
      </c>
      <c r="CI27" s="1">
        <v>0</v>
      </c>
      <c r="CJ27" s="1">
        <v>4</v>
      </c>
      <c r="CK27" s="1">
        <v>3</v>
      </c>
      <c r="CL27" s="1">
        <v>4</v>
      </c>
      <c r="CM27" s="1">
        <v>3</v>
      </c>
      <c r="CN27" s="1">
        <v>4</v>
      </c>
      <c r="CO27" s="1">
        <v>3</v>
      </c>
      <c r="CP27" s="1">
        <v>3</v>
      </c>
      <c r="CU27" s="1">
        <v>1</v>
      </c>
    </row>
    <row r="28" spans="1:99" x14ac:dyDescent="0.35">
      <c r="A28" s="1" t="s">
        <v>3149</v>
      </c>
      <c r="B28" s="1">
        <v>185221032</v>
      </c>
      <c r="C28" s="1">
        <v>0</v>
      </c>
      <c r="D28" s="1">
        <v>1</v>
      </c>
      <c r="E28" s="1">
        <v>0</v>
      </c>
      <c r="F28" s="1">
        <v>0</v>
      </c>
      <c r="G28" s="1">
        <v>0</v>
      </c>
      <c r="H28" s="1">
        <v>0</v>
      </c>
      <c r="I28" s="1">
        <v>0</v>
      </c>
      <c r="J28" s="1">
        <v>0</v>
      </c>
      <c r="K28" s="1">
        <v>1</v>
      </c>
      <c r="L28" s="1">
        <v>0</v>
      </c>
      <c r="M28" s="1">
        <v>0</v>
      </c>
      <c r="N28" s="1">
        <v>0</v>
      </c>
      <c r="O28" s="1">
        <v>0</v>
      </c>
      <c r="P28" s="1" t="s">
        <v>3150</v>
      </c>
      <c r="Q28" s="1" t="s">
        <v>2146</v>
      </c>
      <c r="R28" s="1">
        <v>1</v>
      </c>
      <c r="S28" s="1">
        <v>5</v>
      </c>
      <c r="T28" s="1">
        <v>1</v>
      </c>
      <c r="U28" s="1">
        <v>4</v>
      </c>
      <c r="V28" s="1">
        <v>4</v>
      </c>
      <c r="W28" s="1">
        <v>3</v>
      </c>
      <c r="X28" s="1">
        <v>3</v>
      </c>
      <c r="Y28" s="1">
        <v>4</v>
      </c>
      <c r="Z28" s="1">
        <v>3</v>
      </c>
      <c r="AA28" s="1">
        <v>3</v>
      </c>
      <c r="CU28" s="1">
        <v>4</v>
      </c>
    </row>
    <row r="29" spans="1:99" x14ac:dyDescent="0.35">
      <c r="A29" s="1" t="s">
        <v>3151</v>
      </c>
      <c r="B29" s="1">
        <v>185221033</v>
      </c>
      <c r="C29" s="1">
        <v>0</v>
      </c>
      <c r="D29" s="1">
        <v>1</v>
      </c>
      <c r="E29" s="1">
        <v>0</v>
      </c>
      <c r="F29" s="1">
        <v>0</v>
      </c>
      <c r="G29" s="1">
        <v>0</v>
      </c>
      <c r="H29" s="1">
        <v>0</v>
      </c>
      <c r="I29" s="1">
        <v>0</v>
      </c>
      <c r="J29" s="1">
        <v>1</v>
      </c>
      <c r="K29" s="1">
        <v>1</v>
      </c>
      <c r="L29" s="1">
        <v>0</v>
      </c>
      <c r="M29" s="1">
        <v>0</v>
      </c>
      <c r="N29" s="1">
        <v>0</v>
      </c>
      <c r="O29" s="1">
        <v>0</v>
      </c>
      <c r="P29" s="1">
        <v>2</v>
      </c>
      <c r="Q29" s="1">
        <v>2</v>
      </c>
      <c r="R29" s="1">
        <v>2</v>
      </c>
      <c r="S29" s="1">
        <v>1</v>
      </c>
      <c r="T29" s="1">
        <v>1</v>
      </c>
      <c r="U29" s="1">
        <v>3</v>
      </c>
      <c r="V29" s="1">
        <v>3</v>
      </c>
      <c r="W29" s="1">
        <v>3</v>
      </c>
      <c r="X29" s="1">
        <v>2</v>
      </c>
      <c r="Y29" s="1">
        <v>2</v>
      </c>
      <c r="Z29" s="1">
        <v>2</v>
      </c>
      <c r="AA29" s="1">
        <v>4</v>
      </c>
      <c r="AC29" s="1">
        <v>1</v>
      </c>
      <c r="AD29" s="1">
        <v>3</v>
      </c>
      <c r="AF29" s="3">
        <v>2300000</v>
      </c>
      <c r="AG29" s="1">
        <v>13</v>
      </c>
      <c r="AT29" s="1" t="s">
        <v>209</v>
      </c>
      <c r="BP29" s="1">
        <v>3</v>
      </c>
      <c r="BQ29" s="1" t="s">
        <v>3152</v>
      </c>
      <c r="BR29" s="1" t="s">
        <v>3153</v>
      </c>
      <c r="BS29" s="1" t="s">
        <v>3154</v>
      </c>
      <c r="BT29" s="1" t="s">
        <v>107</v>
      </c>
      <c r="BU29" s="1">
        <v>3</v>
      </c>
      <c r="BV29" s="1">
        <v>1</v>
      </c>
      <c r="BW29" s="1">
        <v>0</v>
      </c>
      <c r="BX29" s="1">
        <v>0</v>
      </c>
      <c r="BY29" s="1">
        <v>0</v>
      </c>
      <c r="BZ29" s="1">
        <v>1</v>
      </c>
      <c r="CA29" s="1">
        <v>0</v>
      </c>
      <c r="CB29" s="1">
        <v>0</v>
      </c>
      <c r="CC29" s="1">
        <v>0</v>
      </c>
      <c r="CD29" s="1">
        <v>0</v>
      </c>
      <c r="CE29" s="1">
        <v>0</v>
      </c>
      <c r="CF29" s="1">
        <v>1</v>
      </c>
      <c r="CG29" s="1">
        <v>0</v>
      </c>
      <c r="CH29" s="1">
        <v>1</v>
      </c>
      <c r="CI29" s="1">
        <v>0</v>
      </c>
      <c r="CJ29" s="1">
        <v>2</v>
      </c>
      <c r="CK29" s="1">
        <v>3</v>
      </c>
      <c r="CL29" s="1">
        <v>3</v>
      </c>
      <c r="CM29" s="1">
        <v>4</v>
      </c>
      <c r="CN29" s="1">
        <v>4</v>
      </c>
      <c r="CO29" s="1">
        <v>4</v>
      </c>
      <c r="CP29" s="1">
        <v>4</v>
      </c>
      <c r="CU29" s="1">
        <v>4</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F760B2-B7DF-4D11-99C1-183CD60CF40E}">
  <dimension ref="A1:CU29"/>
  <sheetViews>
    <sheetView topLeftCell="T1" zoomScale="55" zoomScaleNormal="55" workbookViewId="0">
      <pane ySplit="1" topLeftCell="A2" activePane="bottomLeft" state="frozen"/>
      <selection pane="bottomLeft" activeCell="T1" sqref="T1"/>
    </sheetView>
  </sheetViews>
  <sheetFormatPr defaultColWidth="8.90625" defaultRowHeight="14.5" x14ac:dyDescent="0.35"/>
  <cols>
    <col min="1" max="1" width="28.54296875" style="1" bestFit="1" customWidth="1"/>
    <col min="2" max="2" width="10" style="1" customWidth="1"/>
    <col min="3" max="9" width="64.08984375" style="1" bestFit="1" customWidth="1"/>
    <col min="10" max="14" width="65.08984375" style="1" bestFit="1" customWidth="1"/>
    <col min="15" max="15" width="67.54296875" style="1" bestFit="1" customWidth="1"/>
    <col min="16" max="16" width="110" style="1" bestFit="1" customWidth="1"/>
    <col min="17" max="17" width="63.90625" style="1" bestFit="1" customWidth="1"/>
    <col min="18" max="18" width="73" style="1" bestFit="1" customWidth="1"/>
    <col min="19" max="19" width="25" style="1" bestFit="1" customWidth="1"/>
    <col min="20" max="20" width="41.26953125" style="1" bestFit="1" customWidth="1"/>
    <col min="21" max="21" width="67.08984375" style="1" bestFit="1" customWidth="1"/>
    <col min="22" max="22" width="90.453125" style="1" bestFit="1" customWidth="1"/>
    <col min="23" max="23" width="74.90625" style="1" bestFit="1" customWidth="1"/>
    <col min="24" max="24" width="89.36328125" style="1" bestFit="1" customWidth="1"/>
    <col min="25" max="25" width="72.453125" style="1" bestFit="1" customWidth="1"/>
    <col min="26" max="26" width="75.1796875" style="1" bestFit="1" customWidth="1"/>
    <col min="27" max="27" width="79" style="1" bestFit="1" customWidth="1"/>
    <col min="28" max="28" width="43.08984375" style="1" bestFit="1" customWidth="1"/>
    <col min="29" max="29" width="73.1796875" style="1" bestFit="1" customWidth="1"/>
    <col min="30" max="30" width="43.36328125" style="1" bestFit="1" customWidth="1"/>
    <col min="31" max="31" width="50.54296875" style="1" bestFit="1" customWidth="1"/>
    <col min="32" max="32" width="120.26953125" style="1" bestFit="1" customWidth="1"/>
    <col min="33" max="33" width="39.08984375" style="1" bestFit="1" customWidth="1"/>
    <col min="34" max="35" width="45.7265625" style="1" bestFit="1" customWidth="1"/>
    <col min="36" max="37" width="46.1796875" style="1" bestFit="1" customWidth="1"/>
    <col min="38" max="38" width="45.7265625" style="1" bestFit="1" customWidth="1"/>
    <col min="39" max="52" width="46.1796875" style="1" bestFit="1" customWidth="1"/>
    <col min="53" max="55" width="45.7265625" style="1" bestFit="1" customWidth="1"/>
    <col min="56" max="64" width="46.1796875" style="1" bestFit="1" customWidth="1"/>
    <col min="65" max="67" width="45.7265625" style="1" bestFit="1" customWidth="1"/>
    <col min="68" max="68" width="58.90625" style="1" bestFit="1" customWidth="1"/>
    <col min="69" max="69" width="65.90625" style="1" bestFit="1" customWidth="1"/>
    <col min="70" max="70" width="45.36328125" style="1" bestFit="1" customWidth="1"/>
    <col min="71" max="71" width="45.26953125" style="1" bestFit="1" customWidth="1"/>
    <col min="72" max="72" width="55.453125" style="1" bestFit="1" customWidth="1"/>
    <col min="73" max="73" width="217.453125" style="1" bestFit="1" customWidth="1"/>
    <col min="74" max="74" width="65.08984375" style="1" bestFit="1" customWidth="1"/>
    <col min="75" max="83" width="117.26953125" style="1" bestFit="1" customWidth="1"/>
    <col min="84" max="86" width="118.26953125" style="1" bestFit="1" customWidth="1"/>
    <col min="87" max="87" width="120.7265625" style="1" bestFit="1" customWidth="1"/>
    <col min="88" max="88" width="76.6328125" style="1" bestFit="1" customWidth="1"/>
    <col min="89" max="89" width="100.26953125" style="1" bestFit="1" customWidth="1"/>
    <col min="90" max="90" width="84.36328125" style="1" bestFit="1" customWidth="1"/>
    <col min="91" max="91" width="98.6328125" style="1" bestFit="1" customWidth="1"/>
    <col min="92" max="92" width="81.90625" style="1" bestFit="1" customWidth="1"/>
    <col min="93" max="93" width="84.7265625" style="1" bestFit="1" customWidth="1"/>
    <col min="94" max="94" width="88.54296875" style="1" bestFit="1" customWidth="1"/>
    <col min="95" max="95" width="40.54296875" style="1" bestFit="1" customWidth="1"/>
    <col min="96" max="96" width="53.36328125" style="1" bestFit="1" customWidth="1"/>
    <col min="97" max="97" width="23.90625" style="1" bestFit="1" customWidth="1"/>
    <col min="98" max="98" width="24.7265625" style="1" bestFit="1" customWidth="1"/>
    <col min="99" max="99" width="51.90625" style="1" bestFit="1" customWidth="1"/>
    <col min="100" max="16384" width="8.90625" style="1"/>
  </cols>
  <sheetData>
    <row r="1" spans="1:99" s="6" customFormat="1" x14ac:dyDescent="0.35">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6" t="s">
        <v>15</v>
      </c>
      <c r="Q1" s="6" t="s">
        <v>16</v>
      </c>
      <c r="R1" s="6" t="s">
        <v>17</v>
      </c>
      <c r="S1" s="6" t="s">
        <v>18</v>
      </c>
      <c r="T1" s="6" t="s">
        <v>19</v>
      </c>
      <c r="U1" s="6" t="s">
        <v>20</v>
      </c>
      <c r="V1" s="6" t="s">
        <v>21</v>
      </c>
      <c r="W1" s="6" t="s">
        <v>22</v>
      </c>
      <c r="X1" s="6" t="s">
        <v>23</v>
      </c>
      <c r="Y1" s="6" t="s">
        <v>24</v>
      </c>
      <c r="Z1" s="6" t="s">
        <v>25</v>
      </c>
      <c r="AA1" s="6" t="s">
        <v>26</v>
      </c>
      <c r="AB1" s="6" t="s">
        <v>27</v>
      </c>
      <c r="AC1" s="6" t="s">
        <v>28</v>
      </c>
      <c r="AD1" s="6" t="s">
        <v>29</v>
      </c>
      <c r="AE1" s="6" t="s">
        <v>30</v>
      </c>
      <c r="AF1" s="6" t="s">
        <v>31</v>
      </c>
      <c r="AG1" s="6" t="s">
        <v>32</v>
      </c>
      <c r="AH1" s="6" t="s">
        <v>33</v>
      </c>
      <c r="AI1" s="6" t="s">
        <v>33</v>
      </c>
      <c r="AJ1" s="6" t="s">
        <v>34</v>
      </c>
      <c r="AK1" s="6" t="s">
        <v>34</v>
      </c>
      <c r="AL1" s="6" t="s">
        <v>33</v>
      </c>
      <c r="AM1" s="6" t="s">
        <v>34</v>
      </c>
      <c r="AN1" s="6" t="s">
        <v>34</v>
      </c>
      <c r="AO1" s="6" t="s">
        <v>34</v>
      </c>
      <c r="AP1" s="6" t="s">
        <v>34</v>
      </c>
      <c r="AQ1" s="6" t="s">
        <v>34</v>
      </c>
      <c r="AR1" s="6" t="s">
        <v>34</v>
      </c>
      <c r="AS1" s="6" t="s">
        <v>34</v>
      </c>
      <c r="AT1" s="6" t="s">
        <v>34</v>
      </c>
      <c r="AU1" s="6" t="s">
        <v>34</v>
      </c>
      <c r="AV1" s="6" t="s">
        <v>34</v>
      </c>
      <c r="AW1" s="6" t="s">
        <v>34</v>
      </c>
      <c r="AX1" s="6" t="s">
        <v>34</v>
      </c>
      <c r="AY1" s="6" t="s">
        <v>34</v>
      </c>
      <c r="AZ1" s="6" t="s">
        <v>34</v>
      </c>
      <c r="BA1" s="6" t="s">
        <v>33</v>
      </c>
      <c r="BB1" s="6" t="s">
        <v>33</v>
      </c>
      <c r="BC1" s="6" t="s">
        <v>33</v>
      </c>
      <c r="BD1" s="6" t="s">
        <v>34</v>
      </c>
      <c r="BE1" s="6" t="s">
        <v>34</v>
      </c>
      <c r="BF1" s="6" t="s">
        <v>34</v>
      </c>
      <c r="BG1" s="6" t="s">
        <v>34</v>
      </c>
      <c r="BH1" s="6" t="s">
        <v>34</v>
      </c>
      <c r="BI1" s="6" t="s">
        <v>34</v>
      </c>
      <c r="BJ1" s="6" t="s">
        <v>34</v>
      </c>
      <c r="BK1" s="6" t="s">
        <v>34</v>
      </c>
      <c r="BL1" s="6" t="s">
        <v>34</v>
      </c>
      <c r="BM1" s="6" t="s">
        <v>33</v>
      </c>
      <c r="BN1" s="6" t="s">
        <v>33</v>
      </c>
      <c r="BO1" s="6" t="s">
        <v>33</v>
      </c>
      <c r="BP1" s="6" t="s">
        <v>35</v>
      </c>
      <c r="BQ1" s="6" t="s">
        <v>36</v>
      </c>
      <c r="BR1" s="6" t="s">
        <v>37</v>
      </c>
      <c r="BS1" s="6" t="s">
        <v>38</v>
      </c>
      <c r="BT1" s="6" t="s">
        <v>39</v>
      </c>
      <c r="BU1" s="6" t="s">
        <v>40</v>
      </c>
      <c r="BV1" s="6" t="s">
        <v>41</v>
      </c>
      <c r="BW1" s="6" t="s">
        <v>42</v>
      </c>
      <c r="BX1" s="6" t="s">
        <v>43</v>
      </c>
      <c r="BY1" s="6" t="s">
        <v>44</v>
      </c>
      <c r="BZ1" s="6" t="s">
        <v>45</v>
      </c>
      <c r="CA1" s="6" t="s">
        <v>46</v>
      </c>
      <c r="CB1" s="6" t="s">
        <v>47</v>
      </c>
      <c r="CC1" s="6" t="s">
        <v>48</v>
      </c>
      <c r="CD1" s="6" t="s">
        <v>49</v>
      </c>
      <c r="CE1" s="6" t="s">
        <v>50</v>
      </c>
      <c r="CF1" s="6" t="s">
        <v>51</v>
      </c>
      <c r="CG1" s="6" t="s">
        <v>52</v>
      </c>
      <c r="CH1" s="6" t="s">
        <v>53</v>
      </c>
      <c r="CI1" s="6" t="s">
        <v>54</v>
      </c>
      <c r="CJ1" s="6" t="s">
        <v>55</v>
      </c>
      <c r="CK1" s="6" t="s">
        <v>56</v>
      </c>
      <c r="CL1" s="6" t="s">
        <v>57</v>
      </c>
      <c r="CM1" s="6" t="s">
        <v>58</v>
      </c>
      <c r="CN1" s="6" t="s">
        <v>59</v>
      </c>
      <c r="CO1" s="6" t="s">
        <v>60</v>
      </c>
      <c r="CP1" s="6" t="s">
        <v>61</v>
      </c>
      <c r="CQ1" s="6" t="s">
        <v>62</v>
      </c>
      <c r="CR1" s="6" t="s">
        <v>63</v>
      </c>
      <c r="CS1" s="6" t="s">
        <v>64</v>
      </c>
      <c r="CT1" s="6" t="s">
        <v>65</v>
      </c>
      <c r="CU1" s="6" t="s">
        <v>66</v>
      </c>
    </row>
    <row r="2" spans="1:99" x14ac:dyDescent="0.35">
      <c r="A2" s="1" t="s">
        <v>3155</v>
      </c>
      <c r="B2" s="1">
        <v>181431002</v>
      </c>
      <c r="C2" s="1">
        <v>0</v>
      </c>
      <c r="D2" s="1">
        <v>1</v>
      </c>
      <c r="E2" s="1">
        <v>0</v>
      </c>
      <c r="F2" s="1">
        <v>0</v>
      </c>
      <c r="G2" s="1">
        <v>0</v>
      </c>
      <c r="H2" s="1">
        <v>1</v>
      </c>
      <c r="I2" s="1">
        <v>0</v>
      </c>
      <c r="J2" s="1">
        <v>1</v>
      </c>
      <c r="K2" s="1">
        <v>1</v>
      </c>
      <c r="L2" s="1">
        <v>0</v>
      </c>
      <c r="M2" s="1">
        <v>0</v>
      </c>
      <c r="N2" s="1">
        <v>1</v>
      </c>
      <c r="O2" s="1">
        <v>0</v>
      </c>
      <c r="P2" s="1">
        <v>30</v>
      </c>
      <c r="Q2" s="1">
        <v>10</v>
      </c>
      <c r="R2" s="1">
        <v>5</v>
      </c>
      <c r="S2" s="1">
        <v>5</v>
      </c>
      <c r="T2" s="1">
        <v>1</v>
      </c>
      <c r="U2" s="1">
        <v>3</v>
      </c>
      <c r="V2" s="1">
        <v>3</v>
      </c>
      <c r="W2" s="1">
        <v>2</v>
      </c>
      <c r="X2" s="1">
        <v>2</v>
      </c>
      <c r="Y2" s="1">
        <v>3</v>
      </c>
      <c r="Z2" s="1">
        <v>3</v>
      </c>
      <c r="AA2" s="1">
        <v>3</v>
      </c>
      <c r="CU2" s="1">
        <v>4</v>
      </c>
    </row>
    <row r="3" spans="1:99" x14ac:dyDescent="0.35">
      <c r="A3" s="1" t="s">
        <v>3156</v>
      </c>
      <c r="B3" s="1">
        <v>181431003</v>
      </c>
      <c r="C3" s="1">
        <v>0</v>
      </c>
      <c r="D3" s="1">
        <v>1</v>
      </c>
      <c r="E3" s="1">
        <v>0</v>
      </c>
      <c r="F3" s="1">
        <v>0</v>
      </c>
      <c r="G3" s="1">
        <v>0</v>
      </c>
      <c r="H3" s="1">
        <v>0</v>
      </c>
      <c r="I3" s="1">
        <v>0</v>
      </c>
      <c r="J3" s="1">
        <v>0</v>
      </c>
      <c r="K3" s="1">
        <v>1</v>
      </c>
      <c r="L3" s="1">
        <v>0</v>
      </c>
      <c r="M3" s="1">
        <v>0</v>
      </c>
      <c r="N3" s="1">
        <v>0</v>
      </c>
      <c r="O3" s="1">
        <v>0</v>
      </c>
      <c r="P3" s="1" t="s">
        <v>1616</v>
      </c>
      <c r="Q3" s="1" t="s">
        <v>2239</v>
      </c>
      <c r="R3" s="1" t="s">
        <v>2239</v>
      </c>
      <c r="S3" s="1">
        <v>1</v>
      </c>
      <c r="T3" s="1">
        <v>1</v>
      </c>
      <c r="U3" s="1">
        <v>3</v>
      </c>
      <c r="V3" s="1">
        <v>3</v>
      </c>
      <c r="W3" s="1">
        <v>4</v>
      </c>
      <c r="X3" s="1">
        <v>4</v>
      </c>
      <c r="Y3" s="1">
        <v>4</v>
      </c>
      <c r="Z3" s="1">
        <v>3</v>
      </c>
      <c r="AA3" s="1">
        <v>4</v>
      </c>
      <c r="CU3" s="1">
        <v>1</v>
      </c>
    </row>
    <row r="4" spans="1:99" x14ac:dyDescent="0.35">
      <c r="A4" s="1" t="s">
        <v>3157</v>
      </c>
      <c r="B4" s="1">
        <v>181431006</v>
      </c>
      <c r="C4" s="1">
        <v>0</v>
      </c>
      <c r="D4" s="1">
        <v>1</v>
      </c>
      <c r="E4" s="1">
        <v>0</v>
      </c>
      <c r="F4" s="1">
        <v>0</v>
      </c>
      <c r="G4" s="1">
        <v>0</v>
      </c>
      <c r="H4" s="1">
        <v>0</v>
      </c>
      <c r="I4" s="1">
        <v>0</v>
      </c>
      <c r="J4" s="1">
        <v>1</v>
      </c>
      <c r="K4" s="1">
        <v>1</v>
      </c>
      <c r="L4" s="1">
        <v>1</v>
      </c>
      <c r="M4" s="1">
        <v>0</v>
      </c>
      <c r="N4" s="1">
        <v>0</v>
      </c>
      <c r="O4" s="1">
        <v>0</v>
      </c>
      <c r="P4" s="1" t="s">
        <v>3158</v>
      </c>
      <c r="Q4" s="1" t="s">
        <v>506</v>
      </c>
      <c r="R4" s="1" t="s">
        <v>644</v>
      </c>
      <c r="S4" s="1">
        <v>1</v>
      </c>
      <c r="T4" s="1">
        <v>1</v>
      </c>
      <c r="U4" s="1">
        <v>4</v>
      </c>
      <c r="V4" s="1">
        <v>3</v>
      </c>
      <c r="W4" s="1">
        <v>4</v>
      </c>
      <c r="X4" s="1">
        <v>4</v>
      </c>
      <c r="Y4" s="1">
        <v>4</v>
      </c>
      <c r="Z4" s="1">
        <v>4</v>
      </c>
      <c r="AA4" s="1">
        <v>4</v>
      </c>
      <c r="AC4" s="1">
        <v>2</v>
      </c>
      <c r="AE4" s="1">
        <v>7</v>
      </c>
      <c r="AF4" s="3">
        <v>2500000</v>
      </c>
      <c r="AG4" s="1">
        <v>13</v>
      </c>
      <c r="AT4" s="1" t="s">
        <v>1414</v>
      </c>
      <c r="BP4" s="1">
        <v>4</v>
      </c>
      <c r="BQ4" s="1" t="s">
        <v>3159</v>
      </c>
      <c r="BR4" s="1" t="s">
        <v>3160</v>
      </c>
      <c r="BT4" s="1" t="s">
        <v>79</v>
      </c>
      <c r="BU4" s="1">
        <v>4</v>
      </c>
      <c r="BV4" s="1">
        <v>2</v>
      </c>
      <c r="BW4" s="1">
        <v>0</v>
      </c>
      <c r="BX4" s="1">
        <v>1</v>
      </c>
      <c r="BY4" s="1">
        <v>0</v>
      </c>
      <c r="BZ4" s="1">
        <v>1</v>
      </c>
      <c r="CA4" s="1">
        <v>0</v>
      </c>
      <c r="CB4" s="1">
        <v>0</v>
      </c>
      <c r="CC4" s="1">
        <v>0</v>
      </c>
      <c r="CD4" s="1">
        <v>0</v>
      </c>
      <c r="CE4" s="1">
        <v>0</v>
      </c>
      <c r="CF4" s="1">
        <v>0</v>
      </c>
      <c r="CG4" s="1">
        <v>0</v>
      </c>
      <c r="CH4" s="1">
        <v>0</v>
      </c>
      <c r="CI4" s="1" t="s">
        <v>3161</v>
      </c>
      <c r="CJ4" s="1">
        <v>4</v>
      </c>
      <c r="CK4" s="1">
        <v>3</v>
      </c>
      <c r="CL4" s="1">
        <v>4</v>
      </c>
      <c r="CM4" s="1">
        <v>4</v>
      </c>
      <c r="CN4" s="1">
        <v>4</v>
      </c>
      <c r="CO4" s="1">
        <v>4</v>
      </c>
      <c r="CP4" s="1">
        <v>4</v>
      </c>
      <c r="CU4" s="1">
        <v>2</v>
      </c>
    </row>
    <row r="5" spans="1:99" x14ac:dyDescent="0.35">
      <c r="A5" s="1" t="s">
        <v>3162</v>
      </c>
      <c r="B5" s="1">
        <v>181431007</v>
      </c>
      <c r="C5" s="1">
        <v>0</v>
      </c>
      <c r="D5" s="1">
        <v>1</v>
      </c>
      <c r="E5" s="1">
        <v>0</v>
      </c>
      <c r="F5" s="1">
        <v>0</v>
      </c>
      <c r="G5" s="1">
        <v>0</v>
      </c>
      <c r="H5" s="1">
        <v>0</v>
      </c>
      <c r="I5" s="1">
        <v>0</v>
      </c>
      <c r="J5" s="1">
        <v>0</v>
      </c>
      <c r="K5" s="1">
        <v>0</v>
      </c>
      <c r="L5" s="1">
        <v>0</v>
      </c>
      <c r="M5" s="1">
        <v>0</v>
      </c>
      <c r="N5" s="1">
        <v>0</v>
      </c>
      <c r="O5" s="1">
        <v>0</v>
      </c>
      <c r="P5" s="1">
        <v>15</v>
      </c>
      <c r="Q5" s="1">
        <v>1</v>
      </c>
      <c r="R5" s="1">
        <v>1</v>
      </c>
      <c r="S5" s="1">
        <v>1</v>
      </c>
      <c r="T5" s="1">
        <v>1</v>
      </c>
      <c r="U5" s="1">
        <v>4</v>
      </c>
      <c r="V5" s="1">
        <v>4</v>
      </c>
      <c r="W5" s="1">
        <v>3</v>
      </c>
      <c r="X5" s="1">
        <v>4</v>
      </c>
      <c r="Y5" s="1">
        <v>3</v>
      </c>
      <c r="Z5" s="1">
        <v>4</v>
      </c>
      <c r="AA5" s="1">
        <v>4</v>
      </c>
      <c r="AC5" s="1">
        <v>1</v>
      </c>
      <c r="AD5" s="1">
        <v>0</v>
      </c>
      <c r="AE5" s="1">
        <v>0</v>
      </c>
      <c r="AF5" s="3">
        <v>6000000</v>
      </c>
      <c r="AG5" s="1">
        <v>13</v>
      </c>
      <c r="AT5" s="1" t="s">
        <v>83</v>
      </c>
      <c r="BP5" s="1">
        <v>3</v>
      </c>
      <c r="BQ5" s="1" t="s">
        <v>3163</v>
      </c>
      <c r="BR5" s="1" t="s">
        <v>3164</v>
      </c>
      <c r="BS5" s="1" t="s">
        <v>4326</v>
      </c>
      <c r="BT5" s="1" t="s">
        <v>73</v>
      </c>
      <c r="BU5" s="1">
        <v>4</v>
      </c>
      <c r="BV5" s="1">
        <v>2</v>
      </c>
      <c r="BW5" s="1">
        <v>0</v>
      </c>
      <c r="BX5" s="1">
        <v>0</v>
      </c>
      <c r="BY5" s="1">
        <v>1</v>
      </c>
      <c r="BZ5" s="1">
        <v>0</v>
      </c>
      <c r="CA5" s="1">
        <v>0</v>
      </c>
      <c r="CB5" s="1">
        <v>1</v>
      </c>
      <c r="CC5" s="1">
        <v>1</v>
      </c>
      <c r="CD5" s="1">
        <v>1</v>
      </c>
      <c r="CE5" s="1">
        <v>0</v>
      </c>
      <c r="CF5" s="1">
        <v>0</v>
      </c>
      <c r="CG5" s="1">
        <v>1</v>
      </c>
      <c r="CH5" s="1">
        <v>1</v>
      </c>
      <c r="CI5" s="1" t="s">
        <v>3165</v>
      </c>
      <c r="CJ5" s="1">
        <v>4</v>
      </c>
      <c r="CK5" s="1">
        <v>4</v>
      </c>
      <c r="CL5" s="1">
        <v>3</v>
      </c>
      <c r="CM5" s="1">
        <v>4</v>
      </c>
      <c r="CN5" s="1">
        <v>4</v>
      </c>
      <c r="CO5" s="1">
        <v>4</v>
      </c>
      <c r="CP5" s="1">
        <v>4</v>
      </c>
      <c r="CU5" s="1">
        <v>1</v>
      </c>
    </row>
    <row r="6" spans="1:99" x14ac:dyDescent="0.35">
      <c r="A6" s="1" t="s">
        <v>3166</v>
      </c>
      <c r="B6" s="1">
        <v>181431008</v>
      </c>
      <c r="C6" s="1">
        <v>0</v>
      </c>
      <c r="D6" s="1">
        <v>1</v>
      </c>
      <c r="E6" s="1">
        <v>0</v>
      </c>
      <c r="F6" s="1">
        <v>0</v>
      </c>
      <c r="G6" s="1">
        <v>0</v>
      </c>
      <c r="H6" s="1">
        <v>0</v>
      </c>
      <c r="I6" s="1">
        <v>0</v>
      </c>
      <c r="J6" s="1">
        <v>0</v>
      </c>
      <c r="K6" s="1">
        <v>1</v>
      </c>
      <c r="L6" s="1">
        <v>0</v>
      </c>
      <c r="M6" s="1">
        <v>1</v>
      </c>
      <c r="N6" s="1">
        <v>0</v>
      </c>
      <c r="O6" s="1">
        <v>0</v>
      </c>
      <c r="P6" s="1">
        <v>30</v>
      </c>
      <c r="Q6" s="1">
        <v>5</v>
      </c>
      <c r="R6" s="1">
        <v>5</v>
      </c>
      <c r="S6" s="1">
        <v>1</v>
      </c>
      <c r="T6" s="1">
        <v>1</v>
      </c>
      <c r="U6" s="1">
        <v>3</v>
      </c>
      <c r="V6" s="1">
        <v>3</v>
      </c>
      <c r="W6" s="1">
        <v>4</v>
      </c>
      <c r="X6" s="1">
        <v>3</v>
      </c>
      <c r="Y6" s="1">
        <v>4</v>
      </c>
      <c r="Z6" s="1">
        <v>4</v>
      </c>
      <c r="AA6" s="1">
        <v>4</v>
      </c>
      <c r="AC6" s="1">
        <v>1</v>
      </c>
      <c r="AD6" s="1">
        <v>6</v>
      </c>
      <c r="AF6" s="3">
        <v>5000000</v>
      </c>
      <c r="AG6" s="1">
        <v>12</v>
      </c>
      <c r="AS6" s="1" t="s">
        <v>244</v>
      </c>
      <c r="BP6" s="1">
        <v>3</v>
      </c>
      <c r="BQ6" s="1" t="s">
        <v>3167</v>
      </c>
      <c r="BT6" s="1" t="s">
        <v>73</v>
      </c>
      <c r="BU6" s="1">
        <v>1</v>
      </c>
      <c r="BV6" s="1">
        <v>2</v>
      </c>
      <c r="BW6" s="1">
        <v>1</v>
      </c>
      <c r="BX6" s="1">
        <v>0</v>
      </c>
      <c r="BY6" s="1">
        <v>0</v>
      </c>
      <c r="BZ6" s="1">
        <v>0</v>
      </c>
      <c r="CA6" s="1">
        <v>0</v>
      </c>
      <c r="CB6" s="1">
        <v>0</v>
      </c>
      <c r="CC6" s="1">
        <v>0</v>
      </c>
      <c r="CD6" s="1">
        <v>0</v>
      </c>
      <c r="CE6" s="1">
        <v>0</v>
      </c>
      <c r="CF6" s="1">
        <v>0</v>
      </c>
      <c r="CG6" s="1">
        <v>0</v>
      </c>
      <c r="CH6" s="1">
        <v>0</v>
      </c>
      <c r="CI6" s="1">
        <v>0</v>
      </c>
      <c r="CJ6" s="1">
        <v>3</v>
      </c>
      <c r="CK6" s="1">
        <v>3</v>
      </c>
      <c r="CL6" s="1">
        <v>4</v>
      </c>
      <c r="CM6" s="1">
        <v>3</v>
      </c>
      <c r="CN6" s="1">
        <v>4</v>
      </c>
      <c r="CO6" s="1">
        <v>4</v>
      </c>
      <c r="CP6" s="1">
        <v>4</v>
      </c>
      <c r="CU6" s="1">
        <v>1</v>
      </c>
    </row>
    <row r="7" spans="1:99" x14ac:dyDescent="0.35">
      <c r="A7" s="1" t="s">
        <v>3168</v>
      </c>
      <c r="B7" s="1">
        <v>181431009</v>
      </c>
      <c r="C7" s="1">
        <v>0</v>
      </c>
      <c r="D7" s="1">
        <v>1</v>
      </c>
      <c r="E7" s="1">
        <v>0</v>
      </c>
      <c r="F7" s="1">
        <v>0</v>
      </c>
      <c r="G7" s="1">
        <v>0</v>
      </c>
      <c r="H7" s="1">
        <v>0</v>
      </c>
      <c r="I7" s="1">
        <v>0</v>
      </c>
      <c r="J7" s="1">
        <v>0</v>
      </c>
      <c r="K7" s="1">
        <v>0</v>
      </c>
      <c r="L7" s="1">
        <v>0</v>
      </c>
      <c r="M7" s="1">
        <v>0</v>
      </c>
      <c r="N7" s="1">
        <v>0</v>
      </c>
      <c r="O7" s="1">
        <v>0</v>
      </c>
      <c r="P7" s="1">
        <v>20</v>
      </c>
      <c r="Q7" s="1">
        <v>10</v>
      </c>
      <c r="R7" s="1">
        <v>3</v>
      </c>
      <c r="S7" s="1">
        <v>1</v>
      </c>
      <c r="T7" s="1">
        <v>1</v>
      </c>
      <c r="U7" s="1">
        <v>4</v>
      </c>
      <c r="V7" s="1">
        <v>3</v>
      </c>
      <c r="W7" s="1">
        <v>2</v>
      </c>
      <c r="X7" s="1">
        <v>3</v>
      </c>
      <c r="Y7" s="1">
        <v>4</v>
      </c>
      <c r="Z7" s="1">
        <v>4</v>
      </c>
      <c r="AA7" s="1">
        <v>3</v>
      </c>
      <c r="AC7" s="1">
        <v>1</v>
      </c>
      <c r="AD7" s="1">
        <v>0</v>
      </c>
      <c r="AF7" s="3">
        <v>4000000</v>
      </c>
      <c r="AG7" s="1">
        <v>13</v>
      </c>
      <c r="AT7" s="1" t="s">
        <v>427</v>
      </c>
      <c r="BP7" s="1">
        <v>3</v>
      </c>
      <c r="BQ7" s="1" t="s">
        <v>3169</v>
      </c>
      <c r="BR7" s="1" t="s">
        <v>3170</v>
      </c>
      <c r="BS7" s="1" t="s">
        <v>4340</v>
      </c>
      <c r="BT7" s="1" t="s">
        <v>79</v>
      </c>
      <c r="BU7" s="1">
        <v>3</v>
      </c>
      <c r="BV7" s="1">
        <v>2</v>
      </c>
      <c r="BW7" s="1">
        <v>0</v>
      </c>
      <c r="BX7" s="1">
        <v>1</v>
      </c>
      <c r="BY7" s="1">
        <v>0</v>
      </c>
      <c r="BZ7" s="1">
        <v>0</v>
      </c>
      <c r="CA7" s="1">
        <v>0</v>
      </c>
      <c r="CB7" s="1">
        <v>0</v>
      </c>
      <c r="CC7" s="1">
        <v>0</v>
      </c>
      <c r="CD7" s="1">
        <v>0</v>
      </c>
      <c r="CE7" s="1">
        <v>0</v>
      </c>
      <c r="CF7" s="1">
        <v>0</v>
      </c>
      <c r="CG7" s="1">
        <v>0</v>
      </c>
      <c r="CH7" s="1">
        <v>1</v>
      </c>
      <c r="CI7" s="1">
        <v>0</v>
      </c>
      <c r="CJ7" s="1">
        <v>4</v>
      </c>
      <c r="CK7" s="1">
        <v>3</v>
      </c>
      <c r="CL7" s="1">
        <v>2</v>
      </c>
      <c r="CM7" s="1">
        <v>3</v>
      </c>
      <c r="CN7" s="1">
        <v>4</v>
      </c>
      <c r="CO7" s="1">
        <v>4</v>
      </c>
      <c r="CP7" s="1">
        <v>4</v>
      </c>
      <c r="CU7" s="1">
        <v>4</v>
      </c>
    </row>
    <row r="8" spans="1:99" x14ac:dyDescent="0.35">
      <c r="A8" s="1" t="s">
        <v>3171</v>
      </c>
      <c r="B8" s="1">
        <v>181431010</v>
      </c>
      <c r="C8" s="1">
        <v>0</v>
      </c>
      <c r="D8" s="1">
        <v>1</v>
      </c>
      <c r="E8" s="1">
        <v>0</v>
      </c>
      <c r="F8" s="1">
        <v>0</v>
      </c>
      <c r="G8" s="1">
        <v>0</v>
      </c>
      <c r="H8" s="1">
        <v>1</v>
      </c>
      <c r="I8" s="1">
        <v>1</v>
      </c>
      <c r="J8" s="1">
        <v>1</v>
      </c>
      <c r="K8" s="1">
        <v>1</v>
      </c>
      <c r="L8" s="1">
        <v>0</v>
      </c>
      <c r="M8" s="1">
        <v>0</v>
      </c>
      <c r="N8" s="1">
        <v>0</v>
      </c>
      <c r="O8" s="1">
        <v>0</v>
      </c>
      <c r="P8" s="1">
        <v>40</v>
      </c>
      <c r="Q8" s="1">
        <v>10</v>
      </c>
      <c r="R8" s="1">
        <v>6</v>
      </c>
      <c r="S8" s="1">
        <v>1</v>
      </c>
      <c r="T8" s="1">
        <v>1</v>
      </c>
      <c r="U8" s="1">
        <v>4</v>
      </c>
      <c r="V8" s="1">
        <v>3</v>
      </c>
      <c r="W8" s="1">
        <v>3</v>
      </c>
      <c r="X8" s="1">
        <v>3</v>
      </c>
      <c r="Y8" s="1">
        <v>3</v>
      </c>
      <c r="Z8" s="1">
        <v>4</v>
      </c>
      <c r="AA8" s="1">
        <v>4</v>
      </c>
      <c r="AC8" s="1">
        <v>1</v>
      </c>
      <c r="AD8" s="1">
        <v>0</v>
      </c>
      <c r="AF8" s="3">
        <v>4500000</v>
      </c>
      <c r="AG8" s="1">
        <v>13</v>
      </c>
      <c r="AT8" s="1" t="s">
        <v>812</v>
      </c>
      <c r="BP8" s="1">
        <v>3</v>
      </c>
      <c r="BQ8" s="1" t="s">
        <v>3172</v>
      </c>
      <c r="BR8" s="1" t="s">
        <v>3173</v>
      </c>
      <c r="BS8" s="1" t="s">
        <v>3174</v>
      </c>
      <c r="BT8" s="1" t="s">
        <v>79</v>
      </c>
      <c r="BU8" s="1">
        <v>1</v>
      </c>
      <c r="BV8" s="1">
        <v>2</v>
      </c>
      <c r="BW8" s="1">
        <v>1</v>
      </c>
      <c r="BX8" s="1">
        <v>0</v>
      </c>
      <c r="BY8" s="1">
        <v>0</v>
      </c>
      <c r="BZ8" s="1">
        <v>0</v>
      </c>
      <c r="CA8" s="1">
        <v>0</v>
      </c>
      <c r="CB8" s="1">
        <v>0</v>
      </c>
      <c r="CC8" s="1">
        <v>0</v>
      </c>
      <c r="CD8" s="1">
        <v>0</v>
      </c>
      <c r="CE8" s="1">
        <v>0</v>
      </c>
      <c r="CF8" s="1">
        <v>0</v>
      </c>
      <c r="CG8" s="1">
        <v>0</v>
      </c>
      <c r="CH8" s="1">
        <v>0</v>
      </c>
      <c r="CI8" s="1">
        <v>0</v>
      </c>
      <c r="CJ8" s="1">
        <v>4</v>
      </c>
      <c r="CK8" s="1">
        <v>4</v>
      </c>
      <c r="CL8" s="1">
        <v>4</v>
      </c>
      <c r="CM8" s="1">
        <v>4</v>
      </c>
      <c r="CN8" s="1">
        <v>4</v>
      </c>
      <c r="CO8" s="1">
        <v>4</v>
      </c>
      <c r="CP8" s="1">
        <v>4</v>
      </c>
      <c r="CU8" s="1">
        <v>1</v>
      </c>
    </row>
    <row r="9" spans="1:99" x14ac:dyDescent="0.35">
      <c r="A9" s="1" t="s">
        <v>3175</v>
      </c>
      <c r="B9" s="1">
        <v>181431011</v>
      </c>
      <c r="C9" s="1">
        <v>0</v>
      </c>
      <c r="D9" s="1">
        <v>1</v>
      </c>
      <c r="E9" s="1">
        <v>1</v>
      </c>
      <c r="F9" s="1">
        <v>0</v>
      </c>
      <c r="G9" s="1">
        <v>0</v>
      </c>
      <c r="H9" s="1">
        <v>1</v>
      </c>
      <c r="I9" s="1">
        <v>0</v>
      </c>
      <c r="J9" s="1">
        <v>1</v>
      </c>
      <c r="K9" s="1">
        <v>1</v>
      </c>
      <c r="L9" s="1">
        <v>0</v>
      </c>
      <c r="M9" s="1">
        <v>1</v>
      </c>
      <c r="N9" s="1">
        <v>0</v>
      </c>
      <c r="O9" s="1">
        <v>0</v>
      </c>
      <c r="P9" s="1" t="s">
        <v>3176</v>
      </c>
      <c r="Q9" s="1" t="s">
        <v>634</v>
      </c>
      <c r="R9" s="1" t="s">
        <v>186</v>
      </c>
      <c r="S9" s="1">
        <v>1</v>
      </c>
      <c r="T9" s="1">
        <v>3</v>
      </c>
      <c r="U9" s="1">
        <v>4</v>
      </c>
      <c r="V9" s="1">
        <v>4</v>
      </c>
      <c r="W9" s="1">
        <v>3</v>
      </c>
      <c r="X9" s="1">
        <v>4</v>
      </c>
      <c r="Y9" s="1">
        <v>4</v>
      </c>
      <c r="Z9" s="1">
        <v>4</v>
      </c>
      <c r="AA9" s="1">
        <v>4</v>
      </c>
      <c r="AC9" s="1">
        <v>1</v>
      </c>
      <c r="AD9" s="1">
        <v>6</v>
      </c>
      <c r="AF9" s="3">
        <v>6300000</v>
      </c>
      <c r="AG9" s="1">
        <v>12</v>
      </c>
      <c r="AS9" s="1" t="s">
        <v>69</v>
      </c>
      <c r="BP9" s="1">
        <v>3</v>
      </c>
      <c r="BQ9" s="1" t="s">
        <v>3177</v>
      </c>
      <c r="BR9" s="1" t="s">
        <v>3178</v>
      </c>
      <c r="BS9" s="1" t="s">
        <v>3179</v>
      </c>
      <c r="BT9" s="1" t="s">
        <v>73</v>
      </c>
      <c r="BU9" s="1">
        <v>1</v>
      </c>
      <c r="BV9" s="1">
        <v>1</v>
      </c>
      <c r="BW9" s="1">
        <v>1</v>
      </c>
      <c r="BX9" s="1">
        <v>0</v>
      </c>
      <c r="BY9" s="1">
        <v>0</v>
      </c>
      <c r="BZ9" s="1">
        <v>0</v>
      </c>
      <c r="CA9" s="1">
        <v>0</v>
      </c>
      <c r="CB9" s="1">
        <v>0</v>
      </c>
      <c r="CC9" s="1">
        <v>0</v>
      </c>
      <c r="CD9" s="1">
        <v>0</v>
      </c>
      <c r="CE9" s="1">
        <v>0</v>
      </c>
      <c r="CF9" s="1">
        <v>0</v>
      </c>
      <c r="CG9" s="1">
        <v>0</v>
      </c>
      <c r="CH9" s="1">
        <v>0</v>
      </c>
      <c r="CI9" s="1">
        <v>0</v>
      </c>
      <c r="CJ9" s="1">
        <v>4</v>
      </c>
      <c r="CK9" s="1">
        <v>4</v>
      </c>
      <c r="CL9" s="1">
        <v>4</v>
      </c>
      <c r="CM9" s="1">
        <v>4</v>
      </c>
      <c r="CN9" s="1">
        <v>4</v>
      </c>
      <c r="CO9" s="1">
        <v>4</v>
      </c>
      <c r="CP9" s="1">
        <v>4</v>
      </c>
      <c r="CU9" s="1">
        <v>1</v>
      </c>
    </row>
    <row r="10" spans="1:99" x14ac:dyDescent="0.35">
      <c r="A10" s="1" t="s">
        <v>3180</v>
      </c>
      <c r="B10" s="1">
        <v>181431012</v>
      </c>
      <c r="C10" s="1">
        <v>0</v>
      </c>
      <c r="D10" s="1">
        <v>1</v>
      </c>
      <c r="E10" s="1">
        <v>0</v>
      </c>
      <c r="F10" s="1">
        <v>0</v>
      </c>
      <c r="G10" s="1">
        <v>0</v>
      </c>
      <c r="H10" s="1">
        <v>0</v>
      </c>
      <c r="I10" s="1">
        <v>0</v>
      </c>
      <c r="J10" s="1">
        <v>0</v>
      </c>
      <c r="K10" s="1">
        <v>1</v>
      </c>
      <c r="L10" s="1">
        <v>0</v>
      </c>
      <c r="M10" s="1">
        <v>0</v>
      </c>
      <c r="N10" s="1">
        <v>0</v>
      </c>
      <c r="O10" s="1">
        <v>0</v>
      </c>
      <c r="P10" s="1" t="s">
        <v>722</v>
      </c>
      <c r="Q10" s="1" t="s">
        <v>2239</v>
      </c>
      <c r="R10" s="1" t="s">
        <v>399</v>
      </c>
      <c r="S10" s="1">
        <v>4</v>
      </c>
      <c r="T10" s="1">
        <v>1</v>
      </c>
      <c r="U10" s="1">
        <v>4</v>
      </c>
      <c r="V10" s="1">
        <v>3</v>
      </c>
      <c r="W10" s="1">
        <v>3</v>
      </c>
      <c r="X10" s="1">
        <v>4</v>
      </c>
      <c r="Y10" s="1">
        <v>3</v>
      </c>
      <c r="Z10" s="1">
        <v>4</v>
      </c>
      <c r="AA10" s="1">
        <v>3</v>
      </c>
      <c r="CQ10" s="1">
        <v>1</v>
      </c>
      <c r="CR10" s="1" t="s">
        <v>1668</v>
      </c>
      <c r="CS10" s="1" t="s">
        <v>3181</v>
      </c>
      <c r="CT10" s="5">
        <v>44466</v>
      </c>
      <c r="CU10" s="1">
        <v>4</v>
      </c>
    </row>
    <row r="11" spans="1:99" x14ac:dyDescent="0.35">
      <c r="A11" s="1" t="s">
        <v>3182</v>
      </c>
      <c r="B11" s="1">
        <v>181431013</v>
      </c>
      <c r="C11" s="1">
        <v>0</v>
      </c>
      <c r="D11" s="1">
        <v>1</v>
      </c>
      <c r="E11" s="1">
        <v>0</v>
      </c>
      <c r="F11" s="1">
        <v>0</v>
      </c>
      <c r="G11" s="1">
        <v>0</v>
      </c>
      <c r="H11" s="1">
        <v>0</v>
      </c>
      <c r="I11" s="1">
        <v>0</v>
      </c>
      <c r="J11" s="1">
        <v>1</v>
      </c>
      <c r="K11" s="1">
        <v>1</v>
      </c>
      <c r="L11" s="1">
        <v>0</v>
      </c>
      <c r="M11" s="1">
        <v>0</v>
      </c>
      <c r="N11" s="1">
        <v>0</v>
      </c>
      <c r="O11" s="1">
        <v>0</v>
      </c>
      <c r="P11" s="1">
        <v>30</v>
      </c>
      <c r="Q11" s="1">
        <v>5</v>
      </c>
      <c r="R11" s="1">
        <v>3</v>
      </c>
      <c r="S11" s="1">
        <v>1</v>
      </c>
      <c r="T11" s="1">
        <v>1</v>
      </c>
      <c r="U11" s="1">
        <v>3</v>
      </c>
      <c r="V11" s="1">
        <v>3</v>
      </c>
      <c r="W11" s="1">
        <v>3</v>
      </c>
      <c r="X11" s="1">
        <v>3</v>
      </c>
      <c r="Y11" s="1">
        <v>4</v>
      </c>
      <c r="Z11" s="1">
        <v>4</v>
      </c>
      <c r="AA11" s="1">
        <v>4</v>
      </c>
      <c r="AC11" s="1">
        <v>2</v>
      </c>
      <c r="AE11" s="1">
        <v>1</v>
      </c>
      <c r="AF11" s="3">
        <v>3200000</v>
      </c>
      <c r="AG11" s="1">
        <v>13</v>
      </c>
      <c r="AT11" s="1" t="s">
        <v>427</v>
      </c>
      <c r="BP11" s="1">
        <v>3</v>
      </c>
      <c r="BQ11" s="1" t="s">
        <v>3183</v>
      </c>
      <c r="BR11" s="1" t="s">
        <v>3184</v>
      </c>
      <c r="BS11" s="1" t="s">
        <v>3185</v>
      </c>
      <c r="BT11" s="1" t="s">
        <v>73</v>
      </c>
      <c r="BU11" s="1">
        <v>4</v>
      </c>
      <c r="BV11" s="1">
        <v>2</v>
      </c>
      <c r="BW11" s="1">
        <v>0</v>
      </c>
      <c r="BX11" s="1">
        <v>1</v>
      </c>
      <c r="BY11" s="1">
        <v>1</v>
      </c>
      <c r="BZ11" s="1">
        <v>0</v>
      </c>
      <c r="CA11" s="1">
        <v>0</v>
      </c>
      <c r="CB11" s="1">
        <v>0</v>
      </c>
      <c r="CC11" s="1">
        <v>0</v>
      </c>
      <c r="CD11" s="1">
        <v>0</v>
      </c>
      <c r="CE11" s="1">
        <v>0</v>
      </c>
      <c r="CF11" s="1">
        <v>0</v>
      </c>
      <c r="CG11" s="1">
        <v>0</v>
      </c>
      <c r="CH11" s="1">
        <v>1</v>
      </c>
      <c r="CI11" s="1">
        <v>0</v>
      </c>
      <c r="CJ11" s="1">
        <v>4</v>
      </c>
      <c r="CK11" s="1">
        <v>2</v>
      </c>
      <c r="CL11" s="1">
        <v>3</v>
      </c>
      <c r="CM11" s="1">
        <v>3</v>
      </c>
      <c r="CN11" s="1">
        <v>4</v>
      </c>
      <c r="CO11" s="1">
        <v>4</v>
      </c>
      <c r="CP11" s="1">
        <v>4</v>
      </c>
      <c r="CU11" s="1">
        <v>2</v>
      </c>
    </row>
    <row r="12" spans="1:99" x14ac:dyDescent="0.35">
      <c r="A12" s="1" t="s">
        <v>3186</v>
      </c>
      <c r="B12" s="1">
        <v>181431014</v>
      </c>
      <c r="C12" s="1">
        <v>0</v>
      </c>
      <c r="D12" s="1">
        <v>0</v>
      </c>
      <c r="E12" s="1">
        <v>0</v>
      </c>
      <c r="F12" s="1">
        <v>0</v>
      </c>
      <c r="G12" s="1">
        <v>0</v>
      </c>
      <c r="H12" s="1">
        <v>0</v>
      </c>
      <c r="I12" s="1">
        <v>0</v>
      </c>
      <c r="J12" s="1">
        <v>0</v>
      </c>
      <c r="K12" s="1">
        <v>1</v>
      </c>
      <c r="L12" s="1">
        <v>0</v>
      </c>
      <c r="M12" s="1">
        <v>0</v>
      </c>
      <c r="N12" s="1">
        <v>0</v>
      </c>
      <c r="O12" s="1">
        <v>0</v>
      </c>
      <c r="P12" s="1">
        <v>0</v>
      </c>
      <c r="Q12" s="1">
        <v>0</v>
      </c>
      <c r="R12" s="1">
        <v>0</v>
      </c>
      <c r="S12" s="1">
        <v>1</v>
      </c>
      <c r="T12" s="1">
        <v>1</v>
      </c>
      <c r="U12" s="1">
        <v>4</v>
      </c>
      <c r="V12" s="1">
        <v>4</v>
      </c>
      <c r="W12" s="1">
        <v>3</v>
      </c>
      <c r="X12" s="1">
        <v>3</v>
      </c>
      <c r="Y12" s="1">
        <v>4</v>
      </c>
      <c r="Z12" s="1">
        <v>4</v>
      </c>
      <c r="AA12" s="1">
        <v>3</v>
      </c>
      <c r="AC12" s="1">
        <v>1</v>
      </c>
      <c r="AD12" s="1">
        <v>0</v>
      </c>
      <c r="AF12" s="3">
        <v>4500000</v>
      </c>
      <c r="AG12" s="1">
        <v>13</v>
      </c>
      <c r="AT12" s="1" t="s">
        <v>812</v>
      </c>
      <c r="BP12" s="1">
        <v>3</v>
      </c>
      <c r="BQ12" s="1" t="s">
        <v>3187</v>
      </c>
      <c r="BR12" s="1" t="s">
        <v>3173</v>
      </c>
      <c r="BS12" s="1" t="s">
        <v>3188</v>
      </c>
      <c r="BT12" s="1" t="s">
        <v>73</v>
      </c>
      <c r="BU12" s="1">
        <v>2</v>
      </c>
      <c r="BV12" s="1">
        <v>2</v>
      </c>
      <c r="BW12" s="1">
        <v>1</v>
      </c>
      <c r="BX12" s="1">
        <v>0</v>
      </c>
      <c r="BY12" s="1">
        <v>0</v>
      </c>
      <c r="BZ12" s="1">
        <v>0</v>
      </c>
      <c r="CA12" s="1">
        <v>0</v>
      </c>
      <c r="CB12" s="1">
        <v>0</v>
      </c>
      <c r="CC12" s="1">
        <v>0</v>
      </c>
      <c r="CD12" s="1">
        <v>0</v>
      </c>
      <c r="CE12" s="1">
        <v>0</v>
      </c>
      <c r="CF12" s="1">
        <v>0</v>
      </c>
      <c r="CG12" s="1">
        <v>0</v>
      </c>
      <c r="CH12" s="1">
        <v>0</v>
      </c>
      <c r="CI12" s="1">
        <v>0</v>
      </c>
      <c r="CJ12" s="1">
        <v>4</v>
      </c>
      <c r="CK12" s="1">
        <v>3</v>
      </c>
      <c r="CL12" s="1">
        <v>3</v>
      </c>
      <c r="CM12" s="1">
        <v>3</v>
      </c>
      <c r="CN12" s="1">
        <v>4</v>
      </c>
      <c r="CO12" s="1">
        <v>4</v>
      </c>
      <c r="CP12" s="1">
        <v>3</v>
      </c>
      <c r="CU12" s="1">
        <v>1</v>
      </c>
    </row>
    <row r="13" spans="1:99" x14ac:dyDescent="0.35">
      <c r="A13" s="1" t="s">
        <v>3189</v>
      </c>
      <c r="B13" s="1">
        <v>181431015</v>
      </c>
      <c r="C13" s="1">
        <v>0</v>
      </c>
      <c r="D13" s="1">
        <v>0</v>
      </c>
      <c r="E13" s="1">
        <v>0</v>
      </c>
      <c r="F13" s="1">
        <v>0</v>
      </c>
      <c r="G13" s="1">
        <v>0</v>
      </c>
      <c r="H13" s="1">
        <v>0</v>
      </c>
      <c r="I13" s="1">
        <v>0</v>
      </c>
      <c r="J13" s="1">
        <v>0</v>
      </c>
      <c r="K13" s="1">
        <v>1</v>
      </c>
      <c r="L13" s="1">
        <v>0</v>
      </c>
      <c r="M13" s="1">
        <v>0</v>
      </c>
      <c r="N13" s="1">
        <v>0</v>
      </c>
      <c r="O13" s="1">
        <v>0</v>
      </c>
      <c r="P13" s="1">
        <v>1</v>
      </c>
      <c r="Q13" s="1">
        <v>1</v>
      </c>
      <c r="R13" s="1">
        <v>1</v>
      </c>
      <c r="S13" s="1">
        <v>1</v>
      </c>
      <c r="T13" s="1">
        <v>1</v>
      </c>
      <c r="U13" s="1">
        <v>4</v>
      </c>
      <c r="V13" s="1">
        <v>4</v>
      </c>
      <c r="W13" s="1">
        <v>2</v>
      </c>
      <c r="X13" s="1">
        <v>4</v>
      </c>
      <c r="Y13" s="1">
        <v>4</v>
      </c>
      <c r="Z13" s="1">
        <v>4</v>
      </c>
      <c r="AA13" s="1">
        <v>4</v>
      </c>
      <c r="AC13" s="1">
        <v>1</v>
      </c>
      <c r="AD13" s="1">
        <v>0</v>
      </c>
      <c r="AF13" s="3">
        <v>4500000</v>
      </c>
      <c r="AG13" s="1">
        <v>13</v>
      </c>
      <c r="AT13" s="1" t="s">
        <v>812</v>
      </c>
      <c r="BP13" s="1">
        <v>3</v>
      </c>
      <c r="BQ13" s="1" t="s">
        <v>3187</v>
      </c>
      <c r="BR13" s="1" t="s">
        <v>3173</v>
      </c>
      <c r="BS13" s="1" t="s">
        <v>3188</v>
      </c>
      <c r="BT13" s="1" t="s">
        <v>79</v>
      </c>
      <c r="BU13" s="1">
        <v>1</v>
      </c>
      <c r="BV13" s="1">
        <v>2</v>
      </c>
      <c r="BW13" s="1">
        <v>1</v>
      </c>
      <c r="BX13" s="1">
        <v>0</v>
      </c>
      <c r="BY13" s="1">
        <v>0</v>
      </c>
      <c r="BZ13" s="1">
        <v>0</v>
      </c>
      <c r="CA13" s="1">
        <v>0</v>
      </c>
      <c r="CB13" s="1">
        <v>0</v>
      </c>
      <c r="CC13" s="1">
        <v>0</v>
      </c>
      <c r="CD13" s="1">
        <v>0</v>
      </c>
      <c r="CE13" s="1">
        <v>0</v>
      </c>
      <c r="CF13" s="1">
        <v>0</v>
      </c>
      <c r="CG13" s="1">
        <v>0</v>
      </c>
      <c r="CH13" s="1">
        <v>0</v>
      </c>
      <c r="CI13" s="1">
        <v>0</v>
      </c>
      <c r="CJ13" s="1">
        <v>4</v>
      </c>
      <c r="CK13" s="1">
        <v>4</v>
      </c>
      <c r="CL13" s="1">
        <v>4</v>
      </c>
      <c r="CM13" s="1">
        <v>4</v>
      </c>
      <c r="CN13" s="1">
        <v>4</v>
      </c>
      <c r="CO13" s="1">
        <v>4</v>
      </c>
      <c r="CP13" s="1">
        <v>4</v>
      </c>
      <c r="CU13" s="1">
        <v>1</v>
      </c>
    </row>
    <row r="14" spans="1:99" x14ac:dyDescent="0.35">
      <c r="A14" s="1" t="s">
        <v>3190</v>
      </c>
      <c r="B14" s="1">
        <v>181431016</v>
      </c>
      <c r="C14" s="1">
        <v>0</v>
      </c>
      <c r="D14" s="1">
        <v>1</v>
      </c>
      <c r="E14" s="1">
        <v>0</v>
      </c>
      <c r="F14" s="1">
        <v>0</v>
      </c>
      <c r="G14" s="1">
        <v>0</v>
      </c>
      <c r="H14" s="1">
        <v>0</v>
      </c>
      <c r="I14" s="1">
        <v>0</v>
      </c>
      <c r="J14" s="1">
        <v>0</v>
      </c>
      <c r="K14" s="1">
        <v>0</v>
      </c>
      <c r="L14" s="1">
        <v>0</v>
      </c>
      <c r="M14" s="1">
        <v>0</v>
      </c>
      <c r="N14" s="1">
        <v>0</v>
      </c>
      <c r="O14" s="1">
        <v>0</v>
      </c>
      <c r="P14" s="1">
        <v>50</v>
      </c>
      <c r="Q14" s="1">
        <v>10</v>
      </c>
      <c r="R14" s="1">
        <v>10</v>
      </c>
      <c r="S14" s="1">
        <v>1</v>
      </c>
      <c r="T14" s="1">
        <v>1</v>
      </c>
      <c r="U14" s="1">
        <v>4</v>
      </c>
      <c r="V14" s="1">
        <v>4</v>
      </c>
      <c r="W14" s="1">
        <v>3</v>
      </c>
      <c r="X14" s="1">
        <v>4</v>
      </c>
      <c r="Y14" s="1">
        <v>4</v>
      </c>
      <c r="Z14" s="1">
        <v>4</v>
      </c>
      <c r="AA14" s="1">
        <v>4</v>
      </c>
      <c r="AC14" s="1">
        <v>2</v>
      </c>
      <c r="AE14" s="1">
        <v>8</v>
      </c>
      <c r="AF14" s="3">
        <v>4600000</v>
      </c>
      <c r="AG14" s="1">
        <v>11</v>
      </c>
      <c r="AR14" s="1" t="s">
        <v>222</v>
      </c>
      <c r="BP14" s="1">
        <v>3</v>
      </c>
      <c r="BQ14" s="1" t="s">
        <v>3191</v>
      </c>
      <c r="BR14" s="1" t="s">
        <v>3192</v>
      </c>
      <c r="BT14" s="1" t="s">
        <v>79</v>
      </c>
      <c r="BU14" s="1">
        <v>1</v>
      </c>
      <c r="BV14" s="1">
        <v>2</v>
      </c>
      <c r="BW14" s="1">
        <v>1</v>
      </c>
      <c r="BX14" s="1">
        <v>0</v>
      </c>
      <c r="BY14" s="1">
        <v>0</v>
      </c>
      <c r="BZ14" s="1">
        <v>0</v>
      </c>
      <c r="CA14" s="1">
        <v>0</v>
      </c>
      <c r="CB14" s="1">
        <v>0</v>
      </c>
      <c r="CC14" s="1">
        <v>0</v>
      </c>
      <c r="CD14" s="1">
        <v>0</v>
      </c>
      <c r="CE14" s="1">
        <v>0</v>
      </c>
      <c r="CF14" s="1">
        <v>0</v>
      </c>
      <c r="CG14" s="1">
        <v>0</v>
      </c>
      <c r="CH14" s="1">
        <v>0</v>
      </c>
      <c r="CI14" s="1">
        <v>0</v>
      </c>
      <c r="CJ14" s="1">
        <v>4</v>
      </c>
      <c r="CK14" s="1">
        <v>4</v>
      </c>
      <c r="CL14" s="1">
        <v>2</v>
      </c>
      <c r="CM14" s="1">
        <v>4</v>
      </c>
      <c r="CN14" s="1">
        <v>4</v>
      </c>
      <c r="CO14" s="1">
        <v>4</v>
      </c>
      <c r="CP14" s="1">
        <v>4</v>
      </c>
      <c r="CU14" s="1">
        <v>1</v>
      </c>
    </row>
    <row r="15" spans="1:99" x14ac:dyDescent="0.35">
      <c r="A15" s="1" t="s">
        <v>3193</v>
      </c>
      <c r="B15" s="1">
        <v>181431017</v>
      </c>
      <c r="C15" s="1">
        <v>0</v>
      </c>
      <c r="D15" s="1">
        <v>1</v>
      </c>
      <c r="E15" s="1">
        <v>0</v>
      </c>
      <c r="F15" s="1">
        <v>0</v>
      </c>
      <c r="G15" s="1">
        <v>0</v>
      </c>
      <c r="H15" s="1">
        <v>0</v>
      </c>
      <c r="I15" s="1">
        <v>0</v>
      </c>
      <c r="J15" s="1">
        <v>1</v>
      </c>
      <c r="K15" s="1">
        <v>1</v>
      </c>
      <c r="L15" s="1">
        <v>0</v>
      </c>
      <c r="M15" s="1">
        <v>0</v>
      </c>
      <c r="N15" s="1">
        <v>1</v>
      </c>
      <c r="O15" s="1">
        <v>0</v>
      </c>
      <c r="P15" s="1">
        <v>3</v>
      </c>
      <c r="Q15" s="1">
        <v>0</v>
      </c>
      <c r="R15" s="1">
        <v>0</v>
      </c>
      <c r="S15" s="1">
        <v>3</v>
      </c>
      <c r="T15" s="1">
        <v>1</v>
      </c>
      <c r="U15" s="1">
        <v>4</v>
      </c>
      <c r="V15" s="1">
        <v>4</v>
      </c>
      <c r="W15" s="1">
        <v>4</v>
      </c>
      <c r="X15" s="1">
        <v>4</v>
      </c>
      <c r="Y15" s="1">
        <v>4</v>
      </c>
      <c r="Z15" s="1">
        <v>4</v>
      </c>
      <c r="AA15" s="1">
        <v>4</v>
      </c>
      <c r="AB15" s="1">
        <v>1</v>
      </c>
      <c r="AC15" s="1">
        <v>1</v>
      </c>
      <c r="AD15" s="1">
        <v>0</v>
      </c>
      <c r="AF15" s="3">
        <v>10000000</v>
      </c>
      <c r="AG15" s="1">
        <v>13</v>
      </c>
      <c r="AT15" s="1" t="s">
        <v>86</v>
      </c>
      <c r="BP15" s="1">
        <v>4</v>
      </c>
      <c r="BQ15" s="1" t="s">
        <v>3194</v>
      </c>
      <c r="BR15" s="1" t="s">
        <v>3195</v>
      </c>
      <c r="BS15" s="1" t="s">
        <v>3196</v>
      </c>
      <c r="BT15" s="1" t="s">
        <v>107</v>
      </c>
      <c r="BU15" s="1">
        <v>5</v>
      </c>
      <c r="BV15" s="1">
        <v>4</v>
      </c>
      <c r="BW15" s="1">
        <v>0</v>
      </c>
      <c r="BX15" s="1">
        <v>0</v>
      </c>
      <c r="BY15" s="1">
        <v>0</v>
      </c>
      <c r="BZ15" s="1">
        <v>0</v>
      </c>
      <c r="CA15" s="1">
        <v>0</v>
      </c>
      <c r="CB15" s="1">
        <v>1</v>
      </c>
      <c r="CC15" s="1">
        <v>0</v>
      </c>
      <c r="CD15" s="1">
        <v>1</v>
      </c>
      <c r="CE15" s="1">
        <v>1</v>
      </c>
      <c r="CF15" s="1">
        <v>0</v>
      </c>
      <c r="CG15" s="1">
        <v>0</v>
      </c>
      <c r="CH15" s="1">
        <v>0</v>
      </c>
      <c r="CI15" s="1">
        <v>0</v>
      </c>
      <c r="CJ15" s="1">
        <v>4</v>
      </c>
      <c r="CK15" s="1">
        <v>4</v>
      </c>
      <c r="CL15" s="1">
        <v>4</v>
      </c>
      <c r="CM15" s="1">
        <v>4</v>
      </c>
      <c r="CN15" s="1">
        <v>4</v>
      </c>
      <c r="CO15" s="1">
        <v>4</v>
      </c>
      <c r="CP15" s="1">
        <v>4</v>
      </c>
      <c r="CU15" s="1">
        <v>4</v>
      </c>
    </row>
    <row r="16" spans="1:99" x14ac:dyDescent="0.35">
      <c r="A16" s="1" t="s">
        <v>3197</v>
      </c>
      <c r="B16" s="1">
        <v>181431018</v>
      </c>
      <c r="C16" s="1">
        <v>1</v>
      </c>
      <c r="D16" s="1">
        <v>1</v>
      </c>
      <c r="E16" s="1">
        <v>0</v>
      </c>
      <c r="F16" s="1">
        <v>0</v>
      </c>
      <c r="G16" s="1">
        <v>0</v>
      </c>
      <c r="H16" s="1">
        <v>0</v>
      </c>
      <c r="I16" s="1">
        <v>0</v>
      </c>
      <c r="J16" s="1">
        <v>0</v>
      </c>
      <c r="K16" s="1">
        <v>1</v>
      </c>
      <c r="L16" s="1">
        <v>0</v>
      </c>
      <c r="M16" s="1">
        <v>0</v>
      </c>
      <c r="N16" s="1">
        <v>0</v>
      </c>
      <c r="O16" s="1">
        <v>0</v>
      </c>
      <c r="P16" s="1">
        <v>38</v>
      </c>
      <c r="Q16" s="1">
        <v>4</v>
      </c>
      <c r="R16" s="1">
        <v>3</v>
      </c>
      <c r="S16" s="1">
        <v>5</v>
      </c>
      <c r="T16" s="1">
        <v>1</v>
      </c>
      <c r="U16" s="1">
        <v>3</v>
      </c>
      <c r="V16" s="1">
        <v>3</v>
      </c>
      <c r="W16" s="1">
        <v>3</v>
      </c>
      <c r="X16" s="1">
        <v>3</v>
      </c>
      <c r="Y16" s="1">
        <v>3</v>
      </c>
      <c r="Z16" s="1">
        <v>3</v>
      </c>
      <c r="AA16" s="1">
        <v>3</v>
      </c>
      <c r="CU16" s="1">
        <v>4</v>
      </c>
    </row>
    <row r="17" spans="1:99" x14ac:dyDescent="0.35">
      <c r="A17" s="1" t="s">
        <v>3198</v>
      </c>
      <c r="B17" s="1">
        <v>181431019</v>
      </c>
      <c r="C17" s="1">
        <v>0</v>
      </c>
      <c r="D17" s="1">
        <v>1</v>
      </c>
      <c r="E17" s="1">
        <v>0</v>
      </c>
      <c r="F17" s="1">
        <v>0</v>
      </c>
      <c r="G17" s="1">
        <v>0</v>
      </c>
      <c r="H17" s="1">
        <v>1</v>
      </c>
      <c r="I17" s="1">
        <v>0</v>
      </c>
      <c r="J17" s="1">
        <v>0</v>
      </c>
      <c r="K17" s="1">
        <v>1</v>
      </c>
      <c r="L17" s="1">
        <v>0</v>
      </c>
      <c r="M17" s="1">
        <v>0</v>
      </c>
      <c r="N17" s="1">
        <v>0</v>
      </c>
      <c r="O17" s="1">
        <v>0</v>
      </c>
      <c r="P17" s="1">
        <v>10</v>
      </c>
      <c r="Q17" s="1">
        <v>4</v>
      </c>
      <c r="R17" s="1">
        <v>4</v>
      </c>
      <c r="S17" s="1">
        <v>5</v>
      </c>
      <c r="T17" s="1">
        <v>1</v>
      </c>
      <c r="U17" s="1">
        <v>3</v>
      </c>
      <c r="V17" s="1">
        <v>3</v>
      </c>
      <c r="W17" s="1">
        <v>3</v>
      </c>
      <c r="X17" s="1">
        <v>3</v>
      </c>
      <c r="Y17" s="1">
        <v>3</v>
      </c>
      <c r="Z17" s="1">
        <v>3</v>
      </c>
      <c r="AA17" s="1">
        <v>3</v>
      </c>
      <c r="CU17" s="1">
        <v>1</v>
      </c>
    </row>
    <row r="18" spans="1:99" x14ac:dyDescent="0.35">
      <c r="A18" s="1" t="s">
        <v>3199</v>
      </c>
      <c r="B18" s="1">
        <v>181431020</v>
      </c>
      <c r="C18" s="1">
        <v>0</v>
      </c>
      <c r="D18" s="1">
        <v>0</v>
      </c>
      <c r="E18" s="1">
        <v>0</v>
      </c>
      <c r="F18" s="1">
        <v>0</v>
      </c>
      <c r="G18" s="1">
        <v>0</v>
      </c>
      <c r="H18" s="1">
        <v>0</v>
      </c>
      <c r="I18" s="1">
        <v>0</v>
      </c>
      <c r="J18" s="1">
        <v>0</v>
      </c>
      <c r="K18" s="1">
        <v>1</v>
      </c>
      <c r="L18" s="1">
        <v>0</v>
      </c>
      <c r="M18" s="1">
        <v>0</v>
      </c>
      <c r="N18" s="1">
        <v>0</v>
      </c>
      <c r="O18" s="1">
        <v>0</v>
      </c>
      <c r="P18" s="1">
        <v>0</v>
      </c>
      <c r="Q18" s="1">
        <v>20</v>
      </c>
      <c r="R18" s="1">
        <v>20</v>
      </c>
      <c r="S18" s="1">
        <v>1</v>
      </c>
      <c r="T18" s="1">
        <v>1</v>
      </c>
      <c r="U18" s="1">
        <v>4</v>
      </c>
      <c r="V18" s="1">
        <v>4</v>
      </c>
      <c r="W18" s="1">
        <v>4</v>
      </c>
      <c r="X18" s="1">
        <v>4</v>
      </c>
      <c r="Y18" s="1">
        <v>4</v>
      </c>
      <c r="Z18" s="1">
        <v>4</v>
      </c>
      <c r="AA18" s="1">
        <v>4</v>
      </c>
      <c r="AC18" s="1">
        <v>1</v>
      </c>
      <c r="AD18" s="1">
        <v>1</v>
      </c>
      <c r="AF18" s="3">
        <v>4800000</v>
      </c>
      <c r="AG18" s="1">
        <v>13</v>
      </c>
      <c r="AT18" s="1" t="s">
        <v>86</v>
      </c>
      <c r="BP18" s="1">
        <v>3</v>
      </c>
      <c r="BQ18" s="1" t="s">
        <v>3200</v>
      </c>
      <c r="BR18" s="1" t="s">
        <v>3201</v>
      </c>
      <c r="BS18" s="1" t="s">
        <v>3202</v>
      </c>
      <c r="BT18" s="1" t="s">
        <v>79</v>
      </c>
      <c r="BU18" s="1">
        <v>4</v>
      </c>
      <c r="BV18" s="1">
        <v>2</v>
      </c>
      <c r="BW18" s="1">
        <v>0</v>
      </c>
      <c r="BX18" s="1">
        <v>0</v>
      </c>
      <c r="BY18" s="1">
        <v>1</v>
      </c>
      <c r="BZ18" s="1">
        <v>0</v>
      </c>
      <c r="CA18" s="1">
        <v>0</v>
      </c>
      <c r="CB18" s="1">
        <v>1</v>
      </c>
      <c r="CC18" s="1">
        <v>0</v>
      </c>
      <c r="CD18" s="1">
        <v>0</v>
      </c>
      <c r="CE18" s="1">
        <v>0</v>
      </c>
      <c r="CF18" s="1">
        <v>0</v>
      </c>
      <c r="CG18" s="1">
        <v>0</v>
      </c>
      <c r="CH18" s="1">
        <v>0</v>
      </c>
      <c r="CI18" s="1">
        <v>0</v>
      </c>
      <c r="CJ18" s="1">
        <v>4</v>
      </c>
      <c r="CK18" s="1">
        <v>4</v>
      </c>
      <c r="CL18" s="1">
        <v>4</v>
      </c>
      <c r="CM18" s="1">
        <v>4</v>
      </c>
      <c r="CN18" s="1">
        <v>4</v>
      </c>
      <c r="CO18" s="1">
        <v>4</v>
      </c>
      <c r="CP18" s="1">
        <v>4</v>
      </c>
      <c r="CU18" s="1">
        <v>1</v>
      </c>
    </row>
    <row r="19" spans="1:99" x14ac:dyDescent="0.35">
      <c r="A19" s="1" t="s">
        <v>3203</v>
      </c>
      <c r="B19" s="1">
        <v>181431021</v>
      </c>
      <c r="C19" s="1">
        <v>0</v>
      </c>
      <c r="D19" s="1">
        <v>1</v>
      </c>
      <c r="E19" s="1">
        <v>0</v>
      </c>
      <c r="F19" s="1">
        <v>0</v>
      </c>
      <c r="G19" s="1">
        <v>0</v>
      </c>
      <c r="H19" s="1">
        <v>0</v>
      </c>
      <c r="I19" s="1">
        <v>0</v>
      </c>
      <c r="J19" s="1">
        <v>1</v>
      </c>
      <c r="K19" s="1">
        <v>1</v>
      </c>
      <c r="L19" s="1">
        <v>0</v>
      </c>
      <c r="M19" s="1">
        <v>0</v>
      </c>
      <c r="N19" s="1">
        <v>0</v>
      </c>
      <c r="O19" s="1">
        <v>0</v>
      </c>
      <c r="P19" s="1">
        <v>50</v>
      </c>
      <c r="Q19" s="1">
        <v>6</v>
      </c>
      <c r="R19" s="1">
        <v>4</v>
      </c>
      <c r="S19" s="1">
        <v>2</v>
      </c>
      <c r="T19" s="1">
        <v>1</v>
      </c>
      <c r="U19" s="1">
        <v>3</v>
      </c>
      <c r="V19" s="1">
        <v>3</v>
      </c>
      <c r="W19" s="1">
        <v>3</v>
      </c>
      <c r="X19" s="1">
        <v>3</v>
      </c>
      <c r="Y19" s="1">
        <v>3</v>
      </c>
      <c r="Z19" s="1">
        <v>3</v>
      </c>
      <c r="AA19" s="1">
        <v>3</v>
      </c>
      <c r="CU19" s="1">
        <v>1</v>
      </c>
    </row>
    <row r="20" spans="1:99" x14ac:dyDescent="0.35">
      <c r="A20" s="1" t="s">
        <v>3204</v>
      </c>
      <c r="B20" s="1">
        <v>181431022</v>
      </c>
      <c r="C20" s="1">
        <v>1</v>
      </c>
      <c r="D20" s="1">
        <v>1</v>
      </c>
      <c r="E20" s="1">
        <v>0</v>
      </c>
      <c r="F20" s="1">
        <v>0</v>
      </c>
      <c r="G20" s="1">
        <v>0</v>
      </c>
      <c r="H20" s="1">
        <v>1</v>
      </c>
      <c r="I20" s="1">
        <v>0</v>
      </c>
      <c r="J20" s="1">
        <v>0</v>
      </c>
      <c r="K20" s="1">
        <v>0</v>
      </c>
      <c r="L20" s="1">
        <v>0</v>
      </c>
      <c r="M20" s="1">
        <v>0</v>
      </c>
      <c r="N20" s="1">
        <v>0</v>
      </c>
      <c r="O20" s="1">
        <v>0</v>
      </c>
      <c r="P20" s="1" t="s">
        <v>570</v>
      </c>
      <c r="Q20" s="1">
        <v>3</v>
      </c>
      <c r="R20" s="1">
        <v>2</v>
      </c>
      <c r="S20" s="1">
        <v>2</v>
      </c>
      <c r="T20" s="1">
        <v>1</v>
      </c>
      <c r="U20" s="1">
        <v>3</v>
      </c>
      <c r="V20" s="1">
        <v>3</v>
      </c>
      <c r="W20" s="1">
        <v>2</v>
      </c>
      <c r="X20" s="1">
        <v>3</v>
      </c>
      <c r="Y20" s="1">
        <v>3</v>
      </c>
      <c r="Z20" s="1">
        <v>3</v>
      </c>
      <c r="AA20" s="1">
        <v>3</v>
      </c>
      <c r="CU20" s="1">
        <v>1</v>
      </c>
    </row>
    <row r="21" spans="1:99" x14ac:dyDescent="0.35">
      <c r="A21" s="1" t="s">
        <v>3205</v>
      </c>
      <c r="B21" s="1">
        <v>181431023</v>
      </c>
      <c r="C21" s="1">
        <v>0</v>
      </c>
      <c r="D21" s="1">
        <v>1</v>
      </c>
      <c r="E21" s="1">
        <v>0</v>
      </c>
      <c r="F21" s="1">
        <v>0</v>
      </c>
      <c r="G21" s="1">
        <v>0</v>
      </c>
      <c r="H21" s="1">
        <v>1</v>
      </c>
      <c r="I21" s="1">
        <v>0</v>
      </c>
      <c r="J21" s="1">
        <v>0</v>
      </c>
      <c r="K21" s="1">
        <v>1</v>
      </c>
      <c r="L21" s="1">
        <v>0</v>
      </c>
      <c r="M21" s="1">
        <v>0</v>
      </c>
      <c r="N21" s="1">
        <v>0</v>
      </c>
      <c r="O21" s="1">
        <v>0</v>
      </c>
      <c r="P21" s="1">
        <v>150</v>
      </c>
      <c r="Q21" s="1">
        <v>9</v>
      </c>
      <c r="R21" s="1">
        <v>5</v>
      </c>
      <c r="S21" s="1">
        <v>1</v>
      </c>
      <c r="T21" s="1">
        <v>1</v>
      </c>
      <c r="U21" s="1">
        <v>4</v>
      </c>
      <c r="V21" s="1">
        <v>3</v>
      </c>
      <c r="W21" s="1">
        <v>2</v>
      </c>
      <c r="X21" s="1">
        <v>3</v>
      </c>
      <c r="Y21" s="1">
        <v>3</v>
      </c>
      <c r="Z21" s="1">
        <v>4</v>
      </c>
      <c r="AA21" s="1">
        <v>3</v>
      </c>
      <c r="AC21" s="1">
        <v>2</v>
      </c>
      <c r="AE21" s="1">
        <v>7</v>
      </c>
      <c r="AF21" s="3">
        <v>4365000</v>
      </c>
      <c r="AG21" s="1">
        <v>12</v>
      </c>
      <c r="AS21" s="1" t="s">
        <v>69</v>
      </c>
      <c r="BP21" s="1">
        <v>3</v>
      </c>
      <c r="BQ21" s="1" t="s">
        <v>3206</v>
      </c>
      <c r="BR21" s="1" t="s">
        <v>3207</v>
      </c>
      <c r="BS21" s="1" t="s">
        <v>3208</v>
      </c>
      <c r="BT21" s="1" t="s">
        <v>79</v>
      </c>
      <c r="BU21" s="1">
        <v>1</v>
      </c>
      <c r="BV21" s="1">
        <v>2</v>
      </c>
      <c r="BW21" s="1">
        <v>1</v>
      </c>
      <c r="BX21" s="1">
        <v>0</v>
      </c>
      <c r="BY21" s="1">
        <v>0</v>
      </c>
      <c r="BZ21" s="1">
        <v>0</v>
      </c>
      <c r="CA21" s="1">
        <v>0</v>
      </c>
      <c r="CB21" s="1">
        <v>0</v>
      </c>
      <c r="CC21" s="1">
        <v>0</v>
      </c>
      <c r="CD21" s="1">
        <v>0</v>
      </c>
      <c r="CE21" s="1">
        <v>0</v>
      </c>
      <c r="CF21" s="1">
        <v>0</v>
      </c>
      <c r="CG21" s="1">
        <v>0</v>
      </c>
      <c r="CH21" s="1">
        <v>0</v>
      </c>
      <c r="CI21" s="1">
        <v>0</v>
      </c>
      <c r="CJ21" s="1">
        <v>4</v>
      </c>
      <c r="CK21" s="1">
        <v>4</v>
      </c>
      <c r="CL21" s="1">
        <v>2</v>
      </c>
      <c r="CM21" s="1">
        <v>4</v>
      </c>
      <c r="CN21" s="1">
        <v>4</v>
      </c>
      <c r="CO21" s="1">
        <v>4</v>
      </c>
      <c r="CP21" s="1">
        <v>3</v>
      </c>
      <c r="CU21" s="1">
        <v>1</v>
      </c>
    </row>
    <row r="22" spans="1:99" x14ac:dyDescent="0.35">
      <c r="A22" s="1" t="s">
        <v>3209</v>
      </c>
      <c r="B22" s="1">
        <v>181431025</v>
      </c>
      <c r="S22" s="1">
        <v>5</v>
      </c>
      <c r="T22" s="1">
        <v>1</v>
      </c>
      <c r="U22" s="1">
        <v>3</v>
      </c>
      <c r="V22" s="1">
        <v>2</v>
      </c>
      <c r="W22" s="1">
        <v>2</v>
      </c>
      <c r="X22" s="1">
        <v>3</v>
      </c>
      <c r="Y22" s="1">
        <v>3</v>
      </c>
      <c r="Z22" s="1">
        <v>2</v>
      </c>
      <c r="AA22" s="1">
        <v>2</v>
      </c>
      <c r="AT22" s="1" t="s">
        <v>271</v>
      </c>
      <c r="CU22" s="1">
        <v>4</v>
      </c>
    </row>
    <row r="23" spans="1:99" x14ac:dyDescent="0.35">
      <c r="A23" s="1" t="s">
        <v>3210</v>
      </c>
      <c r="B23" s="1">
        <v>181431026</v>
      </c>
      <c r="C23" s="1">
        <v>0</v>
      </c>
      <c r="D23" s="1">
        <v>1</v>
      </c>
      <c r="E23" s="1">
        <v>0</v>
      </c>
      <c r="F23" s="1">
        <v>0</v>
      </c>
      <c r="G23" s="1">
        <v>0</v>
      </c>
      <c r="H23" s="1">
        <v>1</v>
      </c>
      <c r="I23" s="1">
        <v>0</v>
      </c>
      <c r="J23" s="1">
        <v>1</v>
      </c>
      <c r="K23" s="1">
        <v>1</v>
      </c>
      <c r="L23" s="1">
        <v>0</v>
      </c>
      <c r="M23" s="1">
        <v>0</v>
      </c>
      <c r="N23" s="1">
        <v>0</v>
      </c>
      <c r="O23" s="1">
        <v>0</v>
      </c>
      <c r="P23" s="1" t="s">
        <v>2462</v>
      </c>
      <c r="Q23" s="1" t="s">
        <v>3211</v>
      </c>
      <c r="R23" s="1" t="s">
        <v>3211</v>
      </c>
      <c r="S23" s="1">
        <v>5</v>
      </c>
      <c r="T23" s="1">
        <v>1</v>
      </c>
      <c r="U23" s="1">
        <v>3</v>
      </c>
      <c r="V23" s="1">
        <v>2</v>
      </c>
      <c r="W23" s="1">
        <v>3</v>
      </c>
      <c r="X23" s="1">
        <v>3</v>
      </c>
      <c r="Y23" s="1">
        <v>3</v>
      </c>
      <c r="Z23" s="1">
        <v>3</v>
      </c>
      <c r="AA23" s="1">
        <v>2</v>
      </c>
      <c r="CU23" s="1">
        <v>1</v>
      </c>
    </row>
    <row r="24" spans="1:99" x14ac:dyDescent="0.35">
      <c r="A24" s="1" t="s">
        <v>3212</v>
      </c>
      <c r="B24" s="1">
        <v>181431027</v>
      </c>
      <c r="C24" s="1">
        <v>0</v>
      </c>
      <c r="D24" s="1">
        <v>1</v>
      </c>
      <c r="E24" s="1">
        <v>0</v>
      </c>
      <c r="F24" s="1">
        <v>0</v>
      </c>
      <c r="G24" s="1">
        <v>0</v>
      </c>
      <c r="H24" s="1">
        <v>0</v>
      </c>
      <c r="I24" s="1">
        <v>0</v>
      </c>
      <c r="J24" s="1">
        <v>0</v>
      </c>
      <c r="K24" s="1">
        <v>0</v>
      </c>
      <c r="L24" s="1">
        <v>0</v>
      </c>
      <c r="M24" s="1">
        <v>0</v>
      </c>
      <c r="N24" s="1">
        <v>0</v>
      </c>
      <c r="O24" s="1">
        <v>0</v>
      </c>
      <c r="P24" s="1">
        <v>50</v>
      </c>
      <c r="Q24" s="1">
        <v>4</v>
      </c>
      <c r="R24" s="1">
        <v>4</v>
      </c>
      <c r="S24" s="1">
        <v>1</v>
      </c>
      <c r="T24" s="1">
        <v>1</v>
      </c>
      <c r="U24" s="1">
        <v>3</v>
      </c>
      <c r="V24" s="1">
        <v>3</v>
      </c>
      <c r="W24" s="1">
        <v>3</v>
      </c>
      <c r="X24" s="1">
        <v>3</v>
      </c>
      <c r="Y24" s="1">
        <v>3</v>
      </c>
      <c r="Z24" s="1">
        <v>3</v>
      </c>
      <c r="AA24" s="1">
        <v>3</v>
      </c>
      <c r="AC24" s="1">
        <v>1</v>
      </c>
      <c r="AD24" s="1">
        <v>2</v>
      </c>
      <c r="AF24" s="3">
        <v>5400000</v>
      </c>
      <c r="AG24" s="1">
        <v>13</v>
      </c>
      <c r="AT24" s="1" t="s">
        <v>83</v>
      </c>
      <c r="BP24" s="1">
        <v>3</v>
      </c>
      <c r="BQ24" s="1" t="s">
        <v>3213</v>
      </c>
      <c r="BR24" s="1" t="s">
        <v>3214</v>
      </c>
      <c r="BT24" s="1" t="s">
        <v>79</v>
      </c>
      <c r="BU24" s="1">
        <v>2</v>
      </c>
      <c r="BV24" s="1">
        <v>2</v>
      </c>
      <c r="BW24" s="1">
        <v>0</v>
      </c>
      <c r="BX24" s="1">
        <v>0</v>
      </c>
      <c r="BY24" s="1">
        <v>0</v>
      </c>
      <c r="BZ24" s="1">
        <v>0</v>
      </c>
      <c r="CA24" s="1">
        <v>0</v>
      </c>
      <c r="CB24" s="1">
        <v>0</v>
      </c>
      <c r="CC24" s="1">
        <v>0</v>
      </c>
      <c r="CD24" s="1">
        <v>0</v>
      </c>
      <c r="CE24" s="1">
        <v>0</v>
      </c>
      <c r="CF24" s="1">
        <v>0</v>
      </c>
      <c r="CG24" s="1">
        <v>0</v>
      </c>
      <c r="CH24" s="1">
        <v>0</v>
      </c>
      <c r="CJ24" s="1">
        <v>4</v>
      </c>
      <c r="CK24" s="1">
        <v>4</v>
      </c>
      <c r="CL24" s="1">
        <v>4</v>
      </c>
      <c r="CM24" s="1">
        <v>4</v>
      </c>
      <c r="CN24" s="1">
        <v>4</v>
      </c>
      <c r="CO24" s="1">
        <v>4</v>
      </c>
      <c r="CP24" s="1">
        <v>4</v>
      </c>
      <c r="CU24" s="1">
        <v>1</v>
      </c>
    </row>
    <row r="25" spans="1:99" x14ac:dyDescent="0.35">
      <c r="A25" s="1" t="s">
        <v>3215</v>
      </c>
      <c r="B25" s="1">
        <v>181431028</v>
      </c>
      <c r="C25" s="1">
        <v>0</v>
      </c>
      <c r="D25" s="1">
        <v>1</v>
      </c>
      <c r="E25" s="1">
        <v>0</v>
      </c>
      <c r="F25" s="1">
        <v>0</v>
      </c>
      <c r="G25" s="1">
        <v>0</v>
      </c>
      <c r="H25" s="1">
        <v>1</v>
      </c>
      <c r="I25" s="1">
        <v>1</v>
      </c>
      <c r="J25" s="1">
        <v>1</v>
      </c>
      <c r="K25" s="1">
        <v>1</v>
      </c>
      <c r="L25" s="1">
        <v>0</v>
      </c>
      <c r="M25" s="1">
        <v>0</v>
      </c>
      <c r="N25" s="1">
        <v>0</v>
      </c>
      <c r="O25" s="1">
        <v>0</v>
      </c>
      <c r="P25" s="1">
        <v>41</v>
      </c>
      <c r="Q25" s="1">
        <v>5</v>
      </c>
      <c r="R25" s="1">
        <v>5</v>
      </c>
      <c r="S25" s="1">
        <v>1</v>
      </c>
      <c r="T25" s="1">
        <v>1</v>
      </c>
      <c r="U25" s="1">
        <v>4</v>
      </c>
      <c r="V25" s="1">
        <v>3</v>
      </c>
      <c r="W25" s="1">
        <v>3</v>
      </c>
      <c r="X25" s="1">
        <v>3</v>
      </c>
      <c r="Y25" s="1">
        <v>4</v>
      </c>
      <c r="Z25" s="1">
        <v>4</v>
      </c>
      <c r="AA25" s="1">
        <v>3</v>
      </c>
      <c r="AC25" s="1">
        <v>1</v>
      </c>
      <c r="AD25" s="1">
        <v>1</v>
      </c>
      <c r="AF25" s="3">
        <v>4000000</v>
      </c>
      <c r="AG25" s="1">
        <v>13</v>
      </c>
      <c r="AT25" s="1" t="s">
        <v>86</v>
      </c>
      <c r="BP25" s="1">
        <v>3</v>
      </c>
      <c r="BQ25" s="1" t="s">
        <v>3216</v>
      </c>
      <c r="BR25" s="1" t="s">
        <v>3217</v>
      </c>
      <c r="BS25" s="1" t="s">
        <v>3218</v>
      </c>
      <c r="BT25" s="1" t="s">
        <v>107</v>
      </c>
      <c r="BU25" s="1">
        <v>2</v>
      </c>
      <c r="BV25" s="1">
        <v>2</v>
      </c>
      <c r="BW25" s="1">
        <v>0</v>
      </c>
      <c r="BX25" s="1">
        <v>0</v>
      </c>
      <c r="BY25" s="1">
        <v>0</v>
      </c>
      <c r="BZ25" s="1">
        <v>0</v>
      </c>
      <c r="CA25" s="1">
        <v>0</v>
      </c>
      <c r="CB25" s="1">
        <v>0</v>
      </c>
      <c r="CC25" s="1">
        <v>0</v>
      </c>
      <c r="CD25" s="1">
        <v>0</v>
      </c>
      <c r="CE25" s="1">
        <v>0</v>
      </c>
      <c r="CF25" s="1">
        <v>0</v>
      </c>
      <c r="CG25" s="1">
        <v>0</v>
      </c>
      <c r="CH25" s="1">
        <v>0</v>
      </c>
      <c r="CJ25" s="1">
        <v>4</v>
      </c>
      <c r="CK25" s="1">
        <v>4</v>
      </c>
      <c r="CL25" s="1">
        <v>4</v>
      </c>
      <c r="CM25" s="1">
        <v>4</v>
      </c>
      <c r="CN25" s="1">
        <v>4</v>
      </c>
      <c r="CO25" s="1">
        <v>4</v>
      </c>
      <c r="CP25" s="1">
        <v>4</v>
      </c>
      <c r="CU25" s="1">
        <v>1</v>
      </c>
    </row>
    <row r="26" spans="1:99" x14ac:dyDescent="0.35">
      <c r="A26" s="1" t="s">
        <v>3219</v>
      </c>
      <c r="B26" s="1">
        <v>181431029</v>
      </c>
      <c r="C26" s="1">
        <v>0</v>
      </c>
      <c r="D26" s="1">
        <v>1</v>
      </c>
      <c r="E26" s="1">
        <v>1</v>
      </c>
      <c r="F26" s="1">
        <v>0</v>
      </c>
      <c r="G26" s="1">
        <v>0</v>
      </c>
      <c r="H26" s="1">
        <v>0</v>
      </c>
      <c r="I26" s="1">
        <v>0</v>
      </c>
      <c r="J26" s="1">
        <v>0</v>
      </c>
      <c r="K26" s="1">
        <v>0</v>
      </c>
      <c r="L26" s="1">
        <v>0</v>
      </c>
      <c r="M26" s="1">
        <v>0</v>
      </c>
      <c r="N26" s="1">
        <v>0</v>
      </c>
      <c r="O26" s="1">
        <v>0</v>
      </c>
      <c r="P26" s="1" t="s">
        <v>3220</v>
      </c>
      <c r="Q26" s="1" t="s">
        <v>123</v>
      </c>
      <c r="R26" s="1" t="s">
        <v>122</v>
      </c>
      <c r="S26" s="1">
        <v>1</v>
      </c>
      <c r="T26" s="1">
        <v>1</v>
      </c>
      <c r="U26" s="1">
        <v>4</v>
      </c>
      <c r="V26" s="1">
        <v>3</v>
      </c>
      <c r="W26" s="1">
        <v>3</v>
      </c>
      <c r="X26" s="1">
        <v>3</v>
      </c>
      <c r="Y26" s="1">
        <v>3</v>
      </c>
      <c r="Z26" s="1">
        <v>4</v>
      </c>
      <c r="AA26" s="1">
        <v>4</v>
      </c>
      <c r="AC26" s="1">
        <v>1</v>
      </c>
      <c r="AD26" s="1">
        <v>3</v>
      </c>
      <c r="AF26" s="3">
        <v>4500000</v>
      </c>
      <c r="AG26" s="1">
        <v>13</v>
      </c>
      <c r="AT26" s="1" t="s">
        <v>86</v>
      </c>
      <c r="BP26" s="1">
        <v>3</v>
      </c>
      <c r="BQ26" s="1" t="s">
        <v>3221</v>
      </c>
      <c r="BR26" s="1" t="s">
        <v>3222</v>
      </c>
      <c r="BS26" s="1" t="s">
        <v>4341</v>
      </c>
      <c r="BT26" s="1" t="s">
        <v>79</v>
      </c>
      <c r="BU26" s="1">
        <v>2</v>
      </c>
      <c r="BV26" s="1">
        <v>1</v>
      </c>
      <c r="BW26" s="1">
        <v>0</v>
      </c>
      <c r="BX26" s="1">
        <v>1</v>
      </c>
      <c r="BY26" s="1">
        <v>0</v>
      </c>
      <c r="BZ26" s="1">
        <v>0</v>
      </c>
      <c r="CA26" s="1">
        <v>0</v>
      </c>
      <c r="CB26" s="1">
        <v>1</v>
      </c>
      <c r="CC26" s="1">
        <v>0</v>
      </c>
      <c r="CD26" s="1">
        <v>0</v>
      </c>
      <c r="CE26" s="1">
        <v>0</v>
      </c>
      <c r="CF26" s="1">
        <v>0</v>
      </c>
      <c r="CG26" s="1">
        <v>1</v>
      </c>
      <c r="CH26" s="1">
        <v>1</v>
      </c>
      <c r="CI26" s="1">
        <v>0</v>
      </c>
      <c r="CJ26" s="1">
        <v>4</v>
      </c>
      <c r="CK26" s="1">
        <v>4</v>
      </c>
      <c r="CL26" s="1">
        <v>3</v>
      </c>
      <c r="CM26" s="1">
        <v>4</v>
      </c>
      <c r="CN26" s="1">
        <v>4</v>
      </c>
      <c r="CO26" s="1">
        <v>4</v>
      </c>
      <c r="CP26" s="1">
        <v>4</v>
      </c>
      <c r="CU26" s="1">
        <v>1</v>
      </c>
    </row>
    <row r="27" spans="1:99" x14ac:dyDescent="0.35">
      <c r="A27" s="1" t="s">
        <v>3223</v>
      </c>
      <c r="B27" s="1">
        <v>181431030</v>
      </c>
      <c r="C27" s="1">
        <v>1</v>
      </c>
      <c r="D27" s="1">
        <v>1</v>
      </c>
      <c r="E27" s="1">
        <v>0</v>
      </c>
      <c r="F27" s="1">
        <v>0</v>
      </c>
      <c r="G27" s="1">
        <v>0</v>
      </c>
      <c r="H27" s="1">
        <v>1</v>
      </c>
      <c r="I27" s="1">
        <v>1</v>
      </c>
      <c r="J27" s="1">
        <v>0</v>
      </c>
      <c r="K27" s="1">
        <v>0</v>
      </c>
      <c r="L27" s="1">
        <v>0</v>
      </c>
      <c r="M27" s="1">
        <v>1</v>
      </c>
      <c r="N27" s="1">
        <v>0</v>
      </c>
      <c r="O27" s="1">
        <v>0</v>
      </c>
      <c r="P27" s="1" t="s">
        <v>3224</v>
      </c>
      <c r="Q27" s="1" t="s">
        <v>2239</v>
      </c>
      <c r="R27" s="1" t="s">
        <v>2239</v>
      </c>
      <c r="S27" s="1">
        <v>1</v>
      </c>
      <c r="T27" s="1">
        <v>1</v>
      </c>
      <c r="U27" s="1">
        <v>4</v>
      </c>
      <c r="V27" s="1">
        <v>4</v>
      </c>
      <c r="W27" s="1">
        <v>4</v>
      </c>
      <c r="X27" s="1">
        <v>4</v>
      </c>
      <c r="Y27" s="1">
        <v>4</v>
      </c>
      <c r="Z27" s="1">
        <v>4</v>
      </c>
      <c r="AA27" s="1">
        <v>4</v>
      </c>
      <c r="AC27" s="1">
        <v>1</v>
      </c>
      <c r="AD27" s="1">
        <v>0</v>
      </c>
      <c r="AF27" s="3">
        <v>5200000</v>
      </c>
      <c r="AG27" s="1">
        <v>13</v>
      </c>
      <c r="AT27" s="1" t="s">
        <v>83</v>
      </c>
      <c r="BP27" s="1">
        <v>3</v>
      </c>
      <c r="BQ27" s="1" t="s">
        <v>3225</v>
      </c>
      <c r="BR27" s="1" t="s">
        <v>3226</v>
      </c>
      <c r="BS27" s="1" t="s">
        <v>3227</v>
      </c>
      <c r="BT27" s="1" t="s">
        <v>79</v>
      </c>
      <c r="BU27" s="1">
        <v>1</v>
      </c>
      <c r="BV27" s="1">
        <v>2</v>
      </c>
      <c r="BW27" s="1">
        <v>1</v>
      </c>
      <c r="BX27" s="1">
        <v>0</v>
      </c>
      <c r="BY27" s="1">
        <v>0</v>
      </c>
      <c r="BZ27" s="1">
        <v>0</v>
      </c>
      <c r="CA27" s="1">
        <v>0</v>
      </c>
      <c r="CB27" s="1">
        <v>0</v>
      </c>
      <c r="CC27" s="1">
        <v>0</v>
      </c>
      <c r="CD27" s="1">
        <v>0</v>
      </c>
      <c r="CE27" s="1">
        <v>0</v>
      </c>
      <c r="CF27" s="1">
        <v>0</v>
      </c>
      <c r="CG27" s="1">
        <v>0</v>
      </c>
      <c r="CH27" s="1">
        <v>0</v>
      </c>
      <c r="CI27" s="1">
        <v>0</v>
      </c>
      <c r="CJ27" s="1">
        <v>4</v>
      </c>
      <c r="CK27" s="1">
        <v>4</v>
      </c>
      <c r="CL27" s="1">
        <v>4</v>
      </c>
      <c r="CM27" s="1">
        <v>4</v>
      </c>
      <c r="CN27" s="1">
        <v>4</v>
      </c>
      <c r="CO27" s="1">
        <v>4</v>
      </c>
      <c r="CP27" s="1">
        <v>4</v>
      </c>
      <c r="CU27" s="1">
        <v>1</v>
      </c>
    </row>
    <row r="28" spans="1:99" x14ac:dyDescent="0.35">
      <c r="A28" s="1" t="s">
        <v>3228</v>
      </c>
      <c r="B28" s="1">
        <v>181431032</v>
      </c>
      <c r="C28" s="1">
        <v>0</v>
      </c>
      <c r="D28" s="1">
        <v>1</v>
      </c>
      <c r="E28" s="1">
        <v>0</v>
      </c>
      <c r="F28" s="1">
        <v>0</v>
      </c>
      <c r="G28" s="1">
        <v>0</v>
      </c>
      <c r="H28" s="1">
        <v>1</v>
      </c>
      <c r="I28" s="1">
        <v>0</v>
      </c>
      <c r="J28" s="1">
        <v>0</v>
      </c>
      <c r="K28" s="1">
        <v>1</v>
      </c>
      <c r="L28" s="1">
        <v>0</v>
      </c>
      <c r="M28" s="1">
        <v>0</v>
      </c>
      <c r="N28" s="1">
        <v>0</v>
      </c>
      <c r="O28" s="1">
        <v>0</v>
      </c>
      <c r="P28" s="1" t="s">
        <v>2462</v>
      </c>
      <c r="Q28" s="1">
        <v>7</v>
      </c>
      <c r="R28" s="1">
        <v>7</v>
      </c>
      <c r="S28" s="1">
        <v>1</v>
      </c>
      <c r="T28" s="1">
        <v>3</v>
      </c>
      <c r="U28" s="1">
        <v>4</v>
      </c>
      <c r="V28" s="1">
        <v>3</v>
      </c>
      <c r="W28" s="1">
        <v>3</v>
      </c>
      <c r="X28" s="1">
        <v>3</v>
      </c>
      <c r="Y28" s="1">
        <v>3</v>
      </c>
      <c r="Z28" s="1">
        <v>4</v>
      </c>
      <c r="AA28" s="1">
        <v>4</v>
      </c>
      <c r="AC28" s="1">
        <v>1</v>
      </c>
      <c r="AD28" s="1">
        <v>3</v>
      </c>
      <c r="AE28" s="1">
        <v>3</v>
      </c>
      <c r="AF28" s="3">
        <v>3400000</v>
      </c>
      <c r="AG28" s="1">
        <v>12</v>
      </c>
      <c r="AS28" s="1" t="s">
        <v>472</v>
      </c>
      <c r="BP28" s="1">
        <v>3</v>
      </c>
      <c r="BQ28" s="1" t="s">
        <v>3229</v>
      </c>
      <c r="BR28" s="1" t="s">
        <v>3230</v>
      </c>
      <c r="BT28" s="1" t="s">
        <v>79</v>
      </c>
      <c r="BU28" s="1">
        <v>1</v>
      </c>
      <c r="BV28" s="1">
        <v>1</v>
      </c>
      <c r="BW28" s="1">
        <v>1</v>
      </c>
      <c r="BX28" s="1">
        <v>0</v>
      </c>
      <c r="BY28" s="1">
        <v>0</v>
      </c>
      <c r="BZ28" s="1">
        <v>0</v>
      </c>
      <c r="CA28" s="1">
        <v>0</v>
      </c>
      <c r="CB28" s="1">
        <v>0</v>
      </c>
      <c r="CC28" s="1">
        <v>0</v>
      </c>
      <c r="CD28" s="1">
        <v>0</v>
      </c>
      <c r="CE28" s="1">
        <v>0</v>
      </c>
      <c r="CF28" s="1">
        <v>0</v>
      </c>
      <c r="CG28" s="1">
        <v>0</v>
      </c>
      <c r="CH28" s="1">
        <v>0</v>
      </c>
      <c r="CI28" s="1">
        <v>0</v>
      </c>
      <c r="CJ28" s="1">
        <v>4</v>
      </c>
      <c r="CK28" s="1">
        <v>4</v>
      </c>
      <c r="CL28" s="1">
        <v>3</v>
      </c>
      <c r="CM28" s="1">
        <v>3</v>
      </c>
      <c r="CN28" s="1">
        <v>4</v>
      </c>
      <c r="CO28" s="1">
        <v>4</v>
      </c>
      <c r="CP28" s="1">
        <v>4</v>
      </c>
      <c r="CU28" s="1">
        <v>3</v>
      </c>
    </row>
    <row r="29" spans="1:99" x14ac:dyDescent="0.35">
      <c r="A29" s="1" t="s">
        <v>4144</v>
      </c>
      <c r="B29" s="1">
        <v>181431001</v>
      </c>
      <c r="C29" s="1">
        <v>0</v>
      </c>
      <c r="D29" s="1">
        <v>1</v>
      </c>
      <c r="E29" s="1">
        <v>0</v>
      </c>
      <c r="F29" s="1">
        <v>0</v>
      </c>
      <c r="G29" s="1">
        <v>0</v>
      </c>
      <c r="H29" s="1">
        <v>0</v>
      </c>
      <c r="I29" s="1">
        <v>0</v>
      </c>
      <c r="J29" s="1">
        <v>0</v>
      </c>
      <c r="K29" s="1">
        <v>0</v>
      </c>
      <c r="L29" s="1">
        <v>0</v>
      </c>
      <c r="M29" s="1">
        <v>0</v>
      </c>
      <c r="N29" s="1">
        <v>0</v>
      </c>
      <c r="O29" s="1">
        <v>0</v>
      </c>
      <c r="P29" s="1">
        <v>20</v>
      </c>
      <c r="Q29" s="1">
        <v>5</v>
      </c>
      <c r="R29" s="1">
        <v>3</v>
      </c>
      <c r="S29" s="1">
        <v>1</v>
      </c>
      <c r="T29" s="1">
        <v>1</v>
      </c>
      <c r="U29" s="1">
        <v>4</v>
      </c>
      <c r="V29" s="1">
        <v>4</v>
      </c>
      <c r="W29" s="1">
        <v>4</v>
      </c>
      <c r="X29" s="1">
        <v>4</v>
      </c>
      <c r="Y29" s="1">
        <v>4</v>
      </c>
      <c r="Z29" s="1">
        <v>4</v>
      </c>
      <c r="AA29" s="1">
        <v>4</v>
      </c>
      <c r="AC29" s="1">
        <v>1</v>
      </c>
      <c r="AD29" s="1">
        <v>4</v>
      </c>
      <c r="AF29" s="3">
        <v>4320000</v>
      </c>
      <c r="AG29" s="1">
        <v>12</v>
      </c>
      <c r="AS29" s="1" t="s">
        <v>69</v>
      </c>
      <c r="BP29" s="1">
        <v>3</v>
      </c>
      <c r="BQ29" s="1" t="s">
        <v>4145</v>
      </c>
      <c r="BR29" s="1" t="s">
        <v>3207</v>
      </c>
      <c r="BS29" s="1" t="s">
        <v>3208</v>
      </c>
      <c r="BT29" s="1" t="s">
        <v>79</v>
      </c>
      <c r="BU29" s="1">
        <v>1</v>
      </c>
      <c r="BV29" s="1">
        <v>1</v>
      </c>
      <c r="BW29" s="1">
        <v>1</v>
      </c>
      <c r="BX29" s="1">
        <v>0</v>
      </c>
      <c r="BY29" s="1">
        <v>0</v>
      </c>
      <c r="BZ29" s="1">
        <v>0</v>
      </c>
      <c r="CA29" s="1">
        <v>0</v>
      </c>
      <c r="CB29" s="1">
        <v>0</v>
      </c>
      <c r="CC29" s="1">
        <v>0</v>
      </c>
      <c r="CD29" s="1">
        <v>0</v>
      </c>
      <c r="CE29" s="1">
        <v>0</v>
      </c>
      <c r="CF29" s="1">
        <v>0</v>
      </c>
      <c r="CG29" s="1">
        <v>0</v>
      </c>
      <c r="CH29" s="1">
        <v>0</v>
      </c>
      <c r="CI29" s="1">
        <v>0</v>
      </c>
      <c r="CJ29" s="1">
        <v>4</v>
      </c>
      <c r="CK29" s="1">
        <v>4</v>
      </c>
      <c r="CL29" s="1">
        <v>3</v>
      </c>
      <c r="CM29" s="1">
        <v>4</v>
      </c>
      <c r="CN29" s="1">
        <v>4</v>
      </c>
      <c r="CO29" s="1">
        <v>4</v>
      </c>
      <c r="CP29" s="1">
        <v>4</v>
      </c>
      <c r="CU29" s="1">
        <v>1</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D7E199-7290-427F-AF33-9895C550B490}">
  <dimension ref="A1:CU49"/>
  <sheetViews>
    <sheetView topLeftCell="T1" zoomScale="55" zoomScaleNormal="55" workbookViewId="0">
      <pane ySplit="1" topLeftCell="A2" activePane="bottomLeft" state="frozen"/>
      <selection pane="bottomLeft" activeCell="U16" sqref="U16"/>
    </sheetView>
  </sheetViews>
  <sheetFormatPr defaultColWidth="8.90625" defaultRowHeight="14.5" x14ac:dyDescent="0.35"/>
  <cols>
    <col min="1" max="1" width="35.54296875" style="1" bestFit="1" customWidth="1"/>
    <col min="2" max="2" width="10" style="1" customWidth="1"/>
    <col min="3" max="9" width="64.08984375" style="1" bestFit="1" customWidth="1"/>
    <col min="10" max="14" width="65.08984375" style="1" bestFit="1" customWidth="1"/>
    <col min="15" max="15" width="67.54296875" style="1" bestFit="1" customWidth="1"/>
    <col min="16" max="16" width="110" style="1" bestFit="1" customWidth="1"/>
    <col min="17" max="17" width="63.90625" style="1" bestFit="1" customWidth="1"/>
    <col min="18" max="18" width="73" style="1" bestFit="1" customWidth="1"/>
    <col min="19" max="19" width="25" style="1" bestFit="1" customWidth="1"/>
    <col min="20" max="20" width="41.26953125" style="1" bestFit="1" customWidth="1"/>
    <col min="21" max="21" width="67.08984375" style="1" bestFit="1" customWidth="1"/>
    <col min="22" max="22" width="90.453125" style="1" bestFit="1" customWidth="1"/>
    <col min="23" max="23" width="74.90625" style="1" bestFit="1" customWidth="1"/>
    <col min="24" max="24" width="89.36328125" style="1" bestFit="1" customWidth="1"/>
    <col min="25" max="25" width="72.453125" style="1" bestFit="1" customWidth="1"/>
    <col min="26" max="26" width="75.1796875" style="1" bestFit="1" customWidth="1"/>
    <col min="27" max="27" width="79" style="1" bestFit="1" customWidth="1"/>
    <col min="28" max="28" width="43.08984375" style="1" bestFit="1" customWidth="1"/>
    <col min="29" max="29" width="73.1796875" style="1" bestFit="1" customWidth="1"/>
    <col min="30" max="30" width="43.36328125" style="1" bestFit="1" customWidth="1"/>
    <col min="31" max="31" width="50.54296875" style="1" bestFit="1" customWidth="1"/>
    <col min="32" max="32" width="120.26953125" style="1" bestFit="1" customWidth="1"/>
    <col min="33" max="33" width="39.08984375" style="1" bestFit="1" customWidth="1"/>
    <col min="34" max="35" width="45.7265625" style="1" bestFit="1" customWidth="1"/>
    <col min="36" max="37" width="46.1796875" style="1" bestFit="1" customWidth="1"/>
    <col min="38" max="38" width="45.7265625" style="1" bestFit="1" customWidth="1"/>
    <col min="39" max="52" width="46.1796875" style="1" bestFit="1" customWidth="1"/>
    <col min="53" max="55" width="45.7265625" style="1" bestFit="1" customWidth="1"/>
    <col min="56" max="64" width="46.1796875" style="1" bestFit="1" customWidth="1"/>
    <col min="65" max="67" width="45.7265625" style="1" bestFit="1" customWidth="1"/>
    <col min="68" max="68" width="58.90625" style="1" bestFit="1" customWidth="1"/>
    <col min="69" max="69" width="43.26953125" style="1" bestFit="1" customWidth="1"/>
    <col min="70" max="70" width="45.36328125" style="1" bestFit="1" customWidth="1"/>
    <col min="71" max="71" width="45.26953125" style="1" bestFit="1" customWidth="1"/>
    <col min="72" max="72" width="55.453125" style="1" bestFit="1" customWidth="1"/>
    <col min="73" max="73" width="217.453125" style="1" bestFit="1" customWidth="1"/>
    <col min="74" max="74" width="65.08984375" style="1" bestFit="1" customWidth="1"/>
    <col min="75" max="83" width="117.26953125" style="1" bestFit="1" customWidth="1"/>
    <col min="84" max="86" width="118.26953125" style="1" bestFit="1" customWidth="1"/>
    <col min="87" max="87" width="120.7265625" style="1" bestFit="1" customWidth="1"/>
    <col min="88" max="88" width="76.6328125" style="1" bestFit="1" customWidth="1"/>
    <col min="89" max="89" width="100.26953125" style="1" bestFit="1" customWidth="1"/>
    <col min="90" max="90" width="84.36328125" style="1" bestFit="1" customWidth="1"/>
    <col min="91" max="91" width="98.6328125" style="1" bestFit="1" customWidth="1"/>
    <col min="92" max="92" width="81.90625" style="1" bestFit="1" customWidth="1"/>
    <col min="93" max="93" width="84.7265625" style="1" bestFit="1" customWidth="1"/>
    <col min="94" max="94" width="88.54296875" style="1" bestFit="1" customWidth="1"/>
    <col min="95" max="95" width="40.54296875" style="1" bestFit="1" customWidth="1"/>
    <col min="96" max="96" width="53.36328125" style="1" bestFit="1" customWidth="1"/>
    <col min="97" max="97" width="23.90625" style="1" bestFit="1" customWidth="1"/>
    <col min="98" max="98" width="24.7265625" style="1" bestFit="1" customWidth="1"/>
    <col min="99" max="99" width="51.90625" style="1" bestFit="1" customWidth="1"/>
    <col min="100" max="16384" width="8.90625" style="1"/>
  </cols>
  <sheetData>
    <row r="1" spans="1:99" s="6" customFormat="1" x14ac:dyDescent="0.35">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6" t="s">
        <v>15</v>
      </c>
      <c r="Q1" s="6" t="s">
        <v>16</v>
      </c>
      <c r="R1" s="6" t="s">
        <v>17</v>
      </c>
      <c r="S1" s="6" t="s">
        <v>18</v>
      </c>
      <c r="T1" s="6" t="s">
        <v>19</v>
      </c>
      <c r="U1" s="6" t="s">
        <v>20</v>
      </c>
      <c r="V1" s="6" t="s">
        <v>21</v>
      </c>
      <c r="W1" s="6" t="s">
        <v>22</v>
      </c>
      <c r="X1" s="6" t="s">
        <v>23</v>
      </c>
      <c r="Y1" s="6" t="s">
        <v>24</v>
      </c>
      <c r="Z1" s="6" t="s">
        <v>25</v>
      </c>
      <c r="AA1" s="6" t="s">
        <v>26</v>
      </c>
      <c r="AB1" s="6" t="s">
        <v>27</v>
      </c>
      <c r="AC1" s="6" t="s">
        <v>28</v>
      </c>
      <c r="AD1" s="6" t="s">
        <v>29</v>
      </c>
      <c r="AE1" s="6" t="s">
        <v>30</v>
      </c>
      <c r="AF1" s="6" t="s">
        <v>31</v>
      </c>
      <c r="AG1" s="6" t="s">
        <v>32</v>
      </c>
      <c r="AH1" s="6" t="s">
        <v>33</v>
      </c>
      <c r="AI1" s="6" t="s">
        <v>33</v>
      </c>
      <c r="AJ1" s="6" t="s">
        <v>34</v>
      </c>
      <c r="AK1" s="6" t="s">
        <v>34</v>
      </c>
      <c r="AL1" s="6" t="s">
        <v>33</v>
      </c>
      <c r="AM1" s="6" t="s">
        <v>34</v>
      </c>
      <c r="AN1" s="6" t="s">
        <v>34</v>
      </c>
      <c r="AO1" s="6" t="s">
        <v>34</v>
      </c>
      <c r="AP1" s="6" t="s">
        <v>34</v>
      </c>
      <c r="AQ1" s="6" t="s">
        <v>34</v>
      </c>
      <c r="AR1" s="6" t="s">
        <v>34</v>
      </c>
      <c r="AS1" s="6" t="s">
        <v>34</v>
      </c>
      <c r="AT1" s="6" t="s">
        <v>34</v>
      </c>
      <c r="AU1" s="6" t="s">
        <v>34</v>
      </c>
      <c r="AV1" s="6" t="s">
        <v>34</v>
      </c>
      <c r="AW1" s="6" t="s">
        <v>34</v>
      </c>
      <c r="AX1" s="6" t="s">
        <v>34</v>
      </c>
      <c r="AY1" s="6" t="s">
        <v>34</v>
      </c>
      <c r="AZ1" s="6" t="s">
        <v>34</v>
      </c>
      <c r="BA1" s="6" t="s">
        <v>33</v>
      </c>
      <c r="BB1" s="6" t="s">
        <v>33</v>
      </c>
      <c r="BC1" s="6" t="s">
        <v>33</v>
      </c>
      <c r="BD1" s="6" t="s">
        <v>34</v>
      </c>
      <c r="BE1" s="6" t="s">
        <v>34</v>
      </c>
      <c r="BF1" s="6" t="s">
        <v>34</v>
      </c>
      <c r="BG1" s="6" t="s">
        <v>34</v>
      </c>
      <c r="BH1" s="6" t="s">
        <v>34</v>
      </c>
      <c r="BI1" s="6" t="s">
        <v>34</v>
      </c>
      <c r="BJ1" s="6" t="s">
        <v>34</v>
      </c>
      <c r="BK1" s="6" t="s">
        <v>34</v>
      </c>
      <c r="BL1" s="6" t="s">
        <v>34</v>
      </c>
      <c r="BM1" s="6" t="s">
        <v>33</v>
      </c>
      <c r="BN1" s="6" t="s">
        <v>33</v>
      </c>
      <c r="BO1" s="6" t="s">
        <v>33</v>
      </c>
      <c r="BP1" s="6" t="s">
        <v>35</v>
      </c>
      <c r="BQ1" s="6" t="s">
        <v>36</v>
      </c>
      <c r="BR1" s="6" t="s">
        <v>37</v>
      </c>
      <c r="BS1" s="6" t="s">
        <v>38</v>
      </c>
      <c r="BT1" s="6" t="s">
        <v>39</v>
      </c>
      <c r="BU1" s="6" t="s">
        <v>40</v>
      </c>
      <c r="BV1" s="6" t="s">
        <v>41</v>
      </c>
      <c r="BW1" s="6" t="s">
        <v>42</v>
      </c>
      <c r="BX1" s="6" t="s">
        <v>43</v>
      </c>
      <c r="BY1" s="6" t="s">
        <v>44</v>
      </c>
      <c r="BZ1" s="6" t="s">
        <v>45</v>
      </c>
      <c r="CA1" s="6" t="s">
        <v>46</v>
      </c>
      <c r="CB1" s="6" t="s">
        <v>47</v>
      </c>
      <c r="CC1" s="6" t="s">
        <v>48</v>
      </c>
      <c r="CD1" s="6" t="s">
        <v>49</v>
      </c>
      <c r="CE1" s="6" t="s">
        <v>50</v>
      </c>
      <c r="CF1" s="6" t="s">
        <v>51</v>
      </c>
      <c r="CG1" s="6" t="s">
        <v>52</v>
      </c>
      <c r="CH1" s="6" t="s">
        <v>53</v>
      </c>
      <c r="CI1" s="6" t="s">
        <v>54</v>
      </c>
      <c r="CJ1" s="6" t="s">
        <v>55</v>
      </c>
      <c r="CK1" s="6" t="s">
        <v>56</v>
      </c>
      <c r="CL1" s="6" t="s">
        <v>57</v>
      </c>
      <c r="CM1" s="6" t="s">
        <v>58</v>
      </c>
      <c r="CN1" s="6" t="s">
        <v>59</v>
      </c>
      <c r="CO1" s="6" t="s">
        <v>60</v>
      </c>
      <c r="CP1" s="6" t="s">
        <v>61</v>
      </c>
      <c r="CQ1" s="6" t="s">
        <v>62</v>
      </c>
      <c r="CR1" s="6" t="s">
        <v>63</v>
      </c>
      <c r="CS1" s="6" t="s">
        <v>64</v>
      </c>
      <c r="CT1" s="6" t="s">
        <v>65</v>
      </c>
      <c r="CU1" s="6" t="s">
        <v>66</v>
      </c>
    </row>
    <row r="2" spans="1:99" x14ac:dyDescent="0.35">
      <c r="A2" s="1" t="s">
        <v>3231</v>
      </c>
      <c r="B2" s="1">
        <v>185311001</v>
      </c>
      <c r="C2" s="1">
        <v>0</v>
      </c>
      <c r="D2" s="1">
        <v>1</v>
      </c>
      <c r="E2" s="1">
        <v>0</v>
      </c>
      <c r="F2" s="1">
        <v>0</v>
      </c>
      <c r="G2" s="1">
        <v>0</v>
      </c>
      <c r="H2" s="1">
        <v>0</v>
      </c>
      <c r="I2" s="1">
        <v>0</v>
      </c>
      <c r="J2" s="1">
        <v>0</v>
      </c>
      <c r="K2" s="1">
        <v>0</v>
      </c>
      <c r="L2" s="1">
        <v>0</v>
      </c>
      <c r="M2" s="1">
        <v>0</v>
      </c>
      <c r="N2" s="1">
        <v>0</v>
      </c>
      <c r="O2" s="1">
        <v>0</v>
      </c>
      <c r="P2" s="1">
        <v>3</v>
      </c>
      <c r="Q2" s="1">
        <v>3</v>
      </c>
      <c r="R2" s="1">
        <v>3</v>
      </c>
      <c r="S2" s="1">
        <v>1</v>
      </c>
      <c r="T2" s="1">
        <v>1</v>
      </c>
      <c r="U2" s="1">
        <v>4</v>
      </c>
      <c r="V2" s="1">
        <v>4</v>
      </c>
      <c r="W2" s="1">
        <v>4</v>
      </c>
      <c r="X2" s="1">
        <v>3</v>
      </c>
      <c r="Y2" s="1">
        <v>4</v>
      </c>
      <c r="Z2" s="1">
        <v>4</v>
      </c>
      <c r="AA2" s="1">
        <v>4</v>
      </c>
      <c r="AC2" s="1">
        <v>1</v>
      </c>
      <c r="AD2" s="1">
        <v>1</v>
      </c>
      <c r="AF2" s="3">
        <v>8000000</v>
      </c>
      <c r="AG2" s="1">
        <v>11</v>
      </c>
      <c r="AR2" s="1" t="s">
        <v>130</v>
      </c>
      <c r="BP2" s="1">
        <v>3</v>
      </c>
      <c r="BQ2" s="1" t="s">
        <v>3232</v>
      </c>
      <c r="BR2" s="1" t="s">
        <v>3233</v>
      </c>
      <c r="BS2" s="1" t="s">
        <v>3234</v>
      </c>
      <c r="BT2" s="1" t="s">
        <v>73</v>
      </c>
      <c r="BU2" s="1">
        <v>2</v>
      </c>
      <c r="BV2" s="1">
        <v>1</v>
      </c>
      <c r="BW2" s="1">
        <v>1</v>
      </c>
      <c r="BX2" s="1">
        <v>0</v>
      </c>
      <c r="BY2" s="1">
        <v>1</v>
      </c>
      <c r="BZ2" s="1">
        <v>0</v>
      </c>
      <c r="CA2" s="1">
        <v>0</v>
      </c>
      <c r="CB2" s="1">
        <v>0</v>
      </c>
      <c r="CC2" s="1">
        <v>0</v>
      </c>
      <c r="CD2" s="1">
        <v>0</v>
      </c>
      <c r="CE2" s="1">
        <v>0</v>
      </c>
      <c r="CF2" s="1">
        <v>0</v>
      </c>
      <c r="CG2" s="1">
        <v>1</v>
      </c>
      <c r="CH2" s="1">
        <v>0</v>
      </c>
      <c r="CI2" s="1">
        <v>0</v>
      </c>
      <c r="CJ2" s="1">
        <v>4</v>
      </c>
      <c r="CK2" s="1">
        <v>4</v>
      </c>
      <c r="CL2" s="1">
        <v>4</v>
      </c>
      <c r="CM2" s="1">
        <v>4</v>
      </c>
      <c r="CN2" s="1">
        <v>4</v>
      </c>
      <c r="CO2" s="1">
        <v>4</v>
      </c>
      <c r="CP2" s="1">
        <v>4</v>
      </c>
      <c r="CU2" s="1">
        <v>1</v>
      </c>
    </row>
    <row r="3" spans="1:99" x14ac:dyDescent="0.35">
      <c r="A3" s="1" t="s">
        <v>3235</v>
      </c>
      <c r="B3" s="1">
        <v>185311002</v>
      </c>
      <c r="C3" s="1">
        <v>0</v>
      </c>
      <c r="D3" s="1">
        <v>1</v>
      </c>
      <c r="E3" s="1">
        <v>0</v>
      </c>
      <c r="F3" s="1">
        <v>0</v>
      </c>
      <c r="G3" s="1">
        <v>0</v>
      </c>
      <c r="H3" s="1">
        <v>0</v>
      </c>
      <c r="I3" s="1">
        <v>0</v>
      </c>
      <c r="J3" s="1">
        <v>0</v>
      </c>
      <c r="K3" s="1">
        <v>0</v>
      </c>
      <c r="L3" s="1">
        <v>0</v>
      </c>
      <c r="M3" s="1">
        <v>0</v>
      </c>
      <c r="N3" s="1">
        <v>0</v>
      </c>
      <c r="O3" s="1">
        <v>0</v>
      </c>
      <c r="P3" s="1">
        <v>6</v>
      </c>
      <c r="Q3" s="1">
        <v>4</v>
      </c>
      <c r="R3" s="1">
        <v>4</v>
      </c>
      <c r="S3" s="1">
        <v>1</v>
      </c>
      <c r="T3" s="1">
        <v>1</v>
      </c>
      <c r="U3" s="1">
        <v>3</v>
      </c>
      <c r="V3" s="1">
        <v>4</v>
      </c>
      <c r="W3" s="1">
        <v>4</v>
      </c>
      <c r="X3" s="1">
        <v>3</v>
      </c>
      <c r="Y3" s="1">
        <v>3</v>
      </c>
      <c r="Z3" s="1">
        <v>3</v>
      </c>
      <c r="AA3" s="1">
        <v>3</v>
      </c>
      <c r="AC3" s="1">
        <v>1</v>
      </c>
      <c r="AD3" s="1">
        <v>0</v>
      </c>
      <c r="AE3" s="1">
        <v>0</v>
      </c>
      <c r="AF3" s="3">
        <v>6000000</v>
      </c>
      <c r="AG3" s="1">
        <v>13</v>
      </c>
      <c r="AT3" s="1" t="s">
        <v>86</v>
      </c>
      <c r="BP3" s="1">
        <v>3</v>
      </c>
      <c r="BQ3" s="1" t="s">
        <v>3236</v>
      </c>
      <c r="BR3" s="1" t="s">
        <v>3237</v>
      </c>
      <c r="BT3" s="1" t="s">
        <v>73</v>
      </c>
      <c r="BU3" s="1">
        <v>3</v>
      </c>
      <c r="BV3" s="1">
        <v>1</v>
      </c>
      <c r="BW3" s="1">
        <v>0</v>
      </c>
      <c r="BX3" s="1">
        <v>0</v>
      </c>
      <c r="BY3" s="1">
        <v>1</v>
      </c>
      <c r="BZ3" s="1">
        <v>0</v>
      </c>
      <c r="CA3" s="1">
        <v>0</v>
      </c>
      <c r="CB3" s="1">
        <v>1</v>
      </c>
      <c r="CC3" s="1">
        <v>0</v>
      </c>
      <c r="CD3" s="1">
        <v>1</v>
      </c>
      <c r="CE3" s="1">
        <v>0</v>
      </c>
      <c r="CF3" s="1">
        <v>0</v>
      </c>
      <c r="CG3" s="1">
        <v>1</v>
      </c>
      <c r="CH3" s="1">
        <v>0</v>
      </c>
      <c r="CI3" s="1">
        <v>0</v>
      </c>
      <c r="CJ3" s="1">
        <v>4</v>
      </c>
      <c r="CK3" s="1">
        <v>3</v>
      </c>
      <c r="CL3" s="1">
        <v>4</v>
      </c>
      <c r="CM3" s="1">
        <v>4</v>
      </c>
      <c r="CN3" s="1">
        <v>4</v>
      </c>
      <c r="CO3" s="1">
        <v>4</v>
      </c>
      <c r="CP3" s="1">
        <v>4</v>
      </c>
      <c r="CU3" s="1">
        <v>1</v>
      </c>
    </row>
    <row r="4" spans="1:99" x14ac:dyDescent="0.35">
      <c r="A4" s="1" t="s">
        <v>3238</v>
      </c>
      <c r="B4" s="1">
        <v>185311004</v>
      </c>
      <c r="C4" s="2"/>
      <c r="D4" s="2"/>
      <c r="E4" s="2"/>
      <c r="F4" s="2"/>
      <c r="G4" s="2"/>
      <c r="H4" s="2"/>
      <c r="I4" s="2"/>
      <c r="J4" s="2"/>
      <c r="K4" s="2"/>
      <c r="L4" s="2"/>
      <c r="M4" s="2"/>
      <c r="N4" s="2"/>
      <c r="O4" s="2"/>
      <c r="P4" s="2"/>
      <c r="Q4" s="2"/>
      <c r="R4" s="2"/>
      <c r="S4" s="1">
        <v>1</v>
      </c>
      <c r="T4" s="1">
        <v>1</v>
      </c>
      <c r="U4" s="1">
        <v>3</v>
      </c>
      <c r="V4" s="1">
        <v>4</v>
      </c>
      <c r="W4" s="1">
        <v>4</v>
      </c>
      <c r="X4" s="1">
        <v>3</v>
      </c>
      <c r="Y4" s="1">
        <v>3</v>
      </c>
      <c r="Z4" s="1">
        <v>3</v>
      </c>
      <c r="AA4" s="1">
        <v>3</v>
      </c>
      <c r="AC4" s="1">
        <v>1</v>
      </c>
      <c r="AD4" s="1">
        <v>0</v>
      </c>
      <c r="AF4" s="3">
        <v>3200000</v>
      </c>
      <c r="AG4" s="1">
        <v>13</v>
      </c>
      <c r="AT4" s="1" t="s">
        <v>93</v>
      </c>
      <c r="BP4" s="1" t="s">
        <v>3239</v>
      </c>
      <c r="BQ4" s="1" t="s">
        <v>3240</v>
      </c>
      <c r="BR4" s="1" t="s">
        <v>3241</v>
      </c>
      <c r="BS4" s="1" t="s">
        <v>3242</v>
      </c>
      <c r="BT4" s="1" t="s">
        <v>107</v>
      </c>
      <c r="BU4" s="1">
        <v>1</v>
      </c>
      <c r="BV4" s="1">
        <v>2</v>
      </c>
      <c r="BW4" s="1">
        <v>1</v>
      </c>
      <c r="BX4" s="1">
        <v>0</v>
      </c>
      <c r="BY4" s="1">
        <v>0</v>
      </c>
      <c r="BZ4" s="1">
        <v>0</v>
      </c>
      <c r="CA4" s="1">
        <v>0</v>
      </c>
      <c r="CB4" s="1">
        <v>0</v>
      </c>
      <c r="CC4" s="1">
        <v>0</v>
      </c>
      <c r="CD4" s="1">
        <v>0</v>
      </c>
      <c r="CE4" s="1">
        <v>0</v>
      </c>
      <c r="CF4" s="1">
        <v>0</v>
      </c>
      <c r="CG4" s="1">
        <v>0</v>
      </c>
      <c r="CH4" s="1">
        <v>0</v>
      </c>
      <c r="CI4" s="1">
        <v>0</v>
      </c>
      <c r="CJ4" s="1">
        <v>4</v>
      </c>
      <c r="CK4" s="1">
        <v>4</v>
      </c>
      <c r="CL4" s="1">
        <v>4</v>
      </c>
      <c r="CM4" s="1">
        <v>3</v>
      </c>
      <c r="CN4" s="1">
        <v>4</v>
      </c>
      <c r="CO4" s="1">
        <v>4</v>
      </c>
      <c r="CP4" s="1">
        <v>3</v>
      </c>
      <c r="CU4" s="1">
        <v>1</v>
      </c>
    </row>
    <row r="5" spans="1:99" x14ac:dyDescent="0.35">
      <c r="A5" s="1" t="s">
        <v>3243</v>
      </c>
      <c r="B5" s="1">
        <v>185311007</v>
      </c>
      <c r="C5" s="1">
        <v>0</v>
      </c>
      <c r="D5" s="1">
        <v>0</v>
      </c>
      <c r="E5" s="1">
        <v>0</v>
      </c>
      <c r="F5" s="1">
        <v>0</v>
      </c>
      <c r="G5" s="1">
        <v>0</v>
      </c>
      <c r="H5" s="1">
        <v>0</v>
      </c>
      <c r="I5" s="1">
        <v>0</v>
      </c>
      <c r="J5" s="1">
        <v>0</v>
      </c>
      <c r="K5" s="1">
        <v>1</v>
      </c>
      <c r="L5" s="1">
        <v>0</v>
      </c>
      <c r="M5" s="1">
        <v>0</v>
      </c>
      <c r="N5" s="1">
        <v>0</v>
      </c>
      <c r="O5" s="1">
        <v>0</v>
      </c>
      <c r="P5" s="1" t="s">
        <v>1571</v>
      </c>
      <c r="Q5" s="1">
        <v>5</v>
      </c>
      <c r="R5" s="1">
        <v>3</v>
      </c>
      <c r="S5" s="1">
        <v>1</v>
      </c>
      <c r="T5" s="1">
        <v>1</v>
      </c>
      <c r="U5" s="1">
        <v>3</v>
      </c>
      <c r="V5" s="1">
        <v>4</v>
      </c>
      <c r="W5" s="1">
        <v>4</v>
      </c>
      <c r="X5" s="1">
        <v>4</v>
      </c>
      <c r="Y5" s="1">
        <v>4</v>
      </c>
      <c r="Z5" s="1">
        <v>3</v>
      </c>
      <c r="AA5" s="1">
        <v>4</v>
      </c>
      <c r="AC5" s="1">
        <v>2</v>
      </c>
      <c r="AE5" s="1">
        <v>9</v>
      </c>
      <c r="AF5" s="3">
        <v>4000000</v>
      </c>
      <c r="AG5" s="1">
        <v>16</v>
      </c>
      <c r="AW5" s="1" t="s">
        <v>2721</v>
      </c>
      <c r="BP5" s="1">
        <v>6</v>
      </c>
      <c r="BQ5" s="1" t="s">
        <v>3244</v>
      </c>
      <c r="BR5" s="1" t="s">
        <v>3245</v>
      </c>
      <c r="BT5" s="1" t="s">
        <v>79</v>
      </c>
      <c r="BU5" s="1">
        <v>2</v>
      </c>
      <c r="BV5" s="1">
        <v>1</v>
      </c>
      <c r="BW5" s="1">
        <v>0</v>
      </c>
      <c r="BX5" s="1">
        <v>0</v>
      </c>
      <c r="BY5" s="1">
        <v>0</v>
      </c>
      <c r="BZ5" s="1">
        <v>0</v>
      </c>
      <c r="CA5" s="1">
        <v>0</v>
      </c>
      <c r="CB5" s="1">
        <v>0</v>
      </c>
      <c r="CC5" s="1">
        <v>0</v>
      </c>
      <c r="CD5" s="1">
        <v>0</v>
      </c>
      <c r="CE5" s="1">
        <v>0</v>
      </c>
      <c r="CF5" s="1">
        <v>0</v>
      </c>
      <c r="CG5" s="1">
        <v>1</v>
      </c>
      <c r="CH5" s="1">
        <v>0</v>
      </c>
      <c r="CI5" s="1">
        <v>0</v>
      </c>
      <c r="CJ5" s="1">
        <v>4</v>
      </c>
      <c r="CK5" s="1">
        <v>2</v>
      </c>
      <c r="CL5" s="1">
        <v>4</v>
      </c>
      <c r="CM5" s="1">
        <v>2</v>
      </c>
      <c r="CN5" s="1">
        <v>4</v>
      </c>
      <c r="CO5" s="1">
        <v>4</v>
      </c>
      <c r="CP5" s="1">
        <v>1</v>
      </c>
      <c r="CU5" s="1">
        <v>2</v>
      </c>
    </row>
    <row r="6" spans="1:99" x14ac:dyDescent="0.35">
      <c r="A6" s="1" t="s">
        <v>3246</v>
      </c>
      <c r="B6" s="1">
        <v>185311008</v>
      </c>
      <c r="C6" s="1">
        <v>0</v>
      </c>
      <c r="D6" s="1">
        <v>1</v>
      </c>
      <c r="E6" s="1">
        <v>0</v>
      </c>
      <c r="F6" s="1">
        <v>0</v>
      </c>
      <c r="G6" s="1">
        <v>0</v>
      </c>
      <c r="H6" s="1">
        <v>0</v>
      </c>
      <c r="I6" s="1">
        <v>0</v>
      </c>
      <c r="J6" s="1">
        <v>0</v>
      </c>
      <c r="K6" s="1">
        <v>0</v>
      </c>
      <c r="L6" s="1">
        <v>0</v>
      </c>
      <c r="M6" s="1">
        <v>0</v>
      </c>
      <c r="N6" s="1">
        <v>0</v>
      </c>
      <c r="O6" s="1">
        <v>0</v>
      </c>
      <c r="P6" s="1">
        <v>2</v>
      </c>
      <c r="Q6" s="1">
        <v>2</v>
      </c>
      <c r="R6" s="1">
        <v>2</v>
      </c>
      <c r="S6" s="1">
        <v>4</v>
      </c>
      <c r="T6" s="1">
        <v>1</v>
      </c>
      <c r="U6" s="1">
        <v>3</v>
      </c>
      <c r="V6" s="1">
        <v>3</v>
      </c>
      <c r="W6" s="1">
        <v>3</v>
      </c>
      <c r="X6" s="1">
        <v>3</v>
      </c>
      <c r="Y6" s="1">
        <v>3</v>
      </c>
      <c r="Z6" s="1">
        <v>3</v>
      </c>
      <c r="AA6" s="1">
        <v>3</v>
      </c>
      <c r="CQ6" s="1">
        <v>1</v>
      </c>
      <c r="CR6" s="1" t="s">
        <v>733</v>
      </c>
      <c r="CS6" s="1" t="s">
        <v>3247</v>
      </c>
      <c r="CT6" s="5">
        <v>44823</v>
      </c>
      <c r="CU6" s="1">
        <v>2</v>
      </c>
    </row>
    <row r="7" spans="1:99" x14ac:dyDescent="0.35">
      <c r="A7" s="1" t="s">
        <v>3248</v>
      </c>
      <c r="B7" s="1">
        <v>185311012</v>
      </c>
      <c r="C7" s="1">
        <v>0</v>
      </c>
      <c r="D7" s="1">
        <v>1</v>
      </c>
      <c r="E7" s="1">
        <v>0</v>
      </c>
      <c r="F7" s="1">
        <v>0</v>
      </c>
      <c r="G7" s="1">
        <v>0</v>
      </c>
      <c r="H7" s="1">
        <v>0</v>
      </c>
      <c r="I7" s="1">
        <v>0</v>
      </c>
      <c r="J7" s="1">
        <v>0</v>
      </c>
      <c r="K7" s="1">
        <v>1</v>
      </c>
      <c r="L7" s="1">
        <v>0</v>
      </c>
      <c r="M7" s="1">
        <v>0</v>
      </c>
      <c r="N7" s="1">
        <v>0</v>
      </c>
      <c r="O7" s="1">
        <v>0</v>
      </c>
      <c r="P7" s="1">
        <v>8</v>
      </c>
      <c r="Q7" s="1">
        <v>8</v>
      </c>
      <c r="R7" s="1">
        <v>5</v>
      </c>
      <c r="S7" s="1">
        <v>1</v>
      </c>
      <c r="T7" s="1">
        <v>4</v>
      </c>
      <c r="U7" s="1">
        <v>4</v>
      </c>
      <c r="V7" s="1">
        <v>4</v>
      </c>
      <c r="W7" s="1">
        <v>4</v>
      </c>
      <c r="X7" s="1">
        <v>3</v>
      </c>
      <c r="Y7" s="1">
        <v>4</v>
      </c>
      <c r="Z7" s="1">
        <v>3</v>
      </c>
      <c r="AA7" s="1">
        <v>4</v>
      </c>
      <c r="AC7" s="1">
        <v>1</v>
      </c>
      <c r="AD7" s="1">
        <v>0</v>
      </c>
      <c r="AE7" s="1">
        <v>0</v>
      </c>
      <c r="AF7" s="3">
        <v>13450000</v>
      </c>
      <c r="AG7" s="1">
        <v>11</v>
      </c>
      <c r="AR7" s="1" t="s">
        <v>130</v>
      </c>
      <c r="BP7" s="1">
        <v>3</v>
      </c>
      <c r="BQ7" s="1" t="s">
        <v>3249</v>
      </c>
      <c r="BR7" s="1" t="s">
        <v>3250</v>
      </c>
      <c r="BS7" s="1" t="s">
        <v>3251</v>
      </c>
      <c r="BT7" s="1" t="s">
        <v>73</v>
      </c>
      <c r="BU7" s="1">
        <v>1</v>
      </c>
      <c r="BV7" s="1">
        <v>1</v>
      </c>
      <c r="BW7" s="1">
        <v>1</v>
      </c>
      <c r="BX7" s="1">
        <v>0</v>
      </c>
      <c r="BY7" s="1">
        <v>0</v>
      </c>
      <c r="BZ7" s="1">
        <v>0</v>
      </c>
      <c r="CA7" s="1">
        <v>0</v>
      </c>
      <c r="CB7" s="1">
        <v>0</v>
      </c>
      <c r="CC7" s="1">
        <v>0</v>
      </c>
      <c r="CD7" s="1">
        <v>0</v>
      </c>
      <c r="CE7" s="1">
        <v>0</v>
      </c>
      <c r="CF7" s="1">
        <v>0</v>
      </c>
      <c r="CG7" s="1">
        <v>0</v>
      </c>
      <c r="CH7" s="1">
        <v>0</v>
      </c>
      <c r="CI7" s="1">
        <v>0</v>
      </c>
      <c r="CJ7" s="1">
        <v>4</v>
      </c>
      <c r="CK7" s="1">
        <v>4</v>
      </c>
      <c r="CL7" s="1">
        <v>4</v>
      </c>
      <c r="CM7" s="1">
        <v>3</v>
      </c>
      <c r="CN7" s="1">
        <v>4</v>
      </c>
      <c r="CO7" s="1">
        <v>2</v>
      </c>
      <c r="CP7" s="1">
        <v>3</v>
      </c>
      <c r="CU7" s="1">
        <v>1</v>
      </c>
    </row>
    <row r="8" spans="1:99" x14ac:dyDescent="0.35">
      <c r="A8" s="1" t="s">
        <v>3252</v>
      </c>
      <c r="B8" s="1">
        <v>185311015</v>
      </c>
      <c r="C8" s="1">
        <v>0</v>
      </c>
      <c r="D8" s="1">
        <v>1</v>
      </c>
      <c r="E8" s="1">
        <v>0</v>
      </c>
      <c r="F8" s="1">
        <v>0</v>
      </c>
      <c r="G8" s="1">
        <v>0</v>
      </c>
      <c r="H8" s="1">
        <v>0</v>
      </c>
      <c r="I8" s="1">
        <v>0</v>
      </c>
      <c r="J8" s="1">
        <v>0</v>
      </c>
      <c r="K8" s="1">
        <v>0</v>
      </c>
      <c r="L8" s="1">
        <v>0</v>
      </c>
      <c r="M8" s="1">
        <v>0</v>
      </c>
      <c r="N8" s="1">
        <v>0</v>
      </c>
      <c r="O8" s="1">
        <v>0</v>
      </c>
      <c r="P8" s="1">
        <v>5</v>
      </c>
      <c r="Q8" s="1">
        <v>2</v>
      </c>
      <c r="R8" s="1">
        <v>2</v>
      </c>
      <c r="S8" s="1">
        <v>5</v>
      </c>
      <c r="T8" s="1">
        <v>1</v>
      </c>
      <c r="U8" s="1">
        <v>4</v>
      </c>
      <c r="V8" s="1">
        <v>3</v>
      </c>
      <c r="W8" s="1">
        <v>4</v>
      </c>
      <c r="X8" s="1">
        <v>4</v>
      </c>
      <c r="Y8" s="1">
        <v>3</v>
      </c>
      <c r="Z8" s="1">
        <v>4</v>
      </c>
      <c r="AA8" s="1">
        <v>4</v>
      </c>
      <c r="CU8" s="1">
        <v>2</v>
      </c>
    </row>
    <row r="9" spans="1:99" x14ac:dyDescent="0.35">
      <c r="A9" s="1" t="s">
        <v>3253</v>
      </c>
      <c r="B9" s="1">
        <v>185311017</v>
      </c>
      <c r="C9" s="1">
        <v>1</v>
      </c>
      <c r="D9" s="1">
        <v>1</v>
      </c>
      <c r="E9" s="1">
        <v>0</v>
      </c>
      <c r="F9" s="1">
        <v>0</v>
      </c>
      <c r="G9" s="1">
        <v>0</v>
      </c>
      <c r="H9" s="1">
        <v>0</v>
      </c>
      <c r="I9" s="1">
        <v>0</v>
      </c>
      <c r="J9" s="1">
        <v>1</v>
      </c>
      <c r="K9" s="1">
        <v>1</v>
      </c>
      <c r="L9" s="1">
        <v>0</v>
      </c>
      <c r="M9" s="1">
        <v>0</v>
      </c>
      <c r="N9" s="1">
        <v>0</v>
      </c>
      <c r="O9" s="1">
        <v>0</v>
      </c>
      <c r="P9" s="1" t="s">
        <v>3254</v>
      </c>
      <c r="Q9" s="1" t="s">
        <v>3255</v>
      </c>
      <c r="R9" s="1" t="s">
        <v>3256</v>
      </c>
      <c r="S9" s="1">
        <v>1</v>
      </c>
      <c r="T9" s="1">
        <v>1</v>
      </c>
      <c r="U9" s="1">
        <v>4</v>
      </c>
      <c r="V9" s="1">
        <v>4</v>
      </c>
      <c r="W9" s="1">
        <v>4</v>
      </c>
      <c r="X9" s="1">
        <v>2</v>
      </c>
      <c r="Y9" s="1">
        <v>3</v>
      </c>
      <c r="Z9" s="1">
        <v>4</v>
      </c>
      <c r="AA9" s="1">
        <v>3</v>
      </c>
      <c r="AC9" s="1">
        <v>2</v>
      </c>
      <c r="AE9" s="1">
        <v>7</v>
      </c>
      <c r="AF9" s="3">
        <v>2000000</v>
      </c>
      <c r="AG9" s="1" t="s">
        <v>3257</v>
      </c>
      <c r="BP9" s="1">
        <v>3</v>
      </c>
      <c r="BQ9" s="1" t="s">
        <v>3258</v>
      </c>
      <c r="BT9" s="1" t="s">
        <v>73</v>
      </c>
      <c r="BU9" s="1">
        <v>1</v>
      </c>
      <c r="BV9" s="1">
        <v>2</v>
      </c>
      <c r="BW9" s="1">
        <v>1</v>
      </c>
      <c r="BX9" s="1">
        <v>0</v>
      </c>
      <c r="BY9" s="1">
        <v>0</v>
      </c>
      <c r="BZ9" s="1">
        <v>0</v>
      </c>
      <c r="CA9" s="1">
        <v>0</v>
      </c>
      <c r="CB9" s="1">
        <v>0</v>
      </c>
      <c r="CC9" s="1">
        <v>0</v>
      </c>
      <c r="CD9" s="1">
        <v>0</v>
      </c>
      <c r="CE9" s="1">
        <v>0</v>
      </c>
      <c r="CF9" s="1">
        <v>0</v>
      </c>
      <c r="CG9" s="1">
        <v>0</v>
      </c>
      <c r="CH9" s="1">
        <v>0</v>
      </c>
      <c r="CI9" s="1">
        <v>0</v>
      </c>
      <c r="CJ9" s="1">
        <v>3</v>
      </c>
      <c r="CK9" s="1">
        <v>4</v>
      </c>
      <c r="CL9" s="1">
        <v>4</v>
      </c>
      <c r="CM9" s="1">
        <v>4</v>
      </c>
      <c r="CN9" s="1">
        <v>2</v>
      </c>
      <c r="CO9" s="1">
        <v>1</v>
      </c>
      <c r="CP9" s="1">
        <v>3</v>
      </c>
      <c r="CU9" s="1">
        <v>1</v>
      </c>
    </row>
    <row r="10" spans="1:99" x14ac:dyDescent="0.35">
      <c r="A10" s="1" t="s">
        <v>3259</v>
      </c>
      <c r="B10" s="1">
        <v>185311022</v>
      </c>
      <c r="C10" s="1">
        <v>0</v>
      </c>
      <c r="D10" s="1">
        <v>1</v>
      </c>
      <c r="E10" s="1">
        <v>0</v>
      </c>
      <c r="F10" s="1">
        <v>0</v>
      </c>
      <c r="G10" s="1">
        <v>0</v>
      </c>
      <c r="H10" s="1">
        <v>0</v>
      </c>
      <c r="I10" s="1">
        <v>0</v>
      </c>
      <c r="J10" s="1">
        <v>0</v>
      </c>
      <c r="K10" s="1">
        <v>0</v>
      </c>
      <c r="L10" s="1">
        <v>0</v>
      </c>
      <c r="M10" s="1">
        <v>0</v>
      </c>
      <c r="N10" s="1">
        <v>0</v>
      </c>
      <c r="O10" s="1">
        <v>0</v>
      </c>
      <c r="P10" s="1">
        <v>2</v>
      </c>
      <c r="Q10" s="1">
        <v>2</v>
      </c>
      <c r="R10" s="1">
        <v>2</v>
      </c>
      <c r="S10" s="1">
        <v>1</v>
      </c>
      <c r="T10" s="1">
        <v>1</v>
      </c>
      <c r="U10" s="1">
        <v>4</v>
      </c>
      <c r="V10" s="1">
        <v>3</v>
      </c>
      <c r="W10" s="1">
        <v>4</v>
      </c>
      <c r="X10" s="1">
        <v>4</v>
      </c>
      <c r="Y10" s="1">
        <v>3</v>
      </c>
      <c r="Z10" s="1">
        <v>4</v>
      </c>
      <c r="AA10" s="1">
        <v>4</v>
      </c>
      <c r="AC10" s="1">
        <v>1</v>
      </c>
      <c r="AD10" s="1">
        <v>1</v>
      </c>
      <c r="AF10" s="3">
        <v>14000000</v>
      </c>
      <c r="AG10" s="1">
        <v>13</v>
      </c>
      <c r="AT10" s="1" t="s">
        <v>427</v>
      </c>
      <c r="BP10" s="1">
        <v>3</v>
      </c>
      <c r="BQ10" s="1" t="s">
        <v>3260</v>
      </c>
      <c r="BR10" s="1" t="s">
        <v>3261</v>
      </c>
      <c r="BS10" s="1" t="s">
        <v>3262</v>
      </c>
      <c r="BT10" s="1" t="s">
        <v>73</v>
      </c>
      <c r="BU10" s="1">
        <v>4</v>
      </c>
      <c r="BV10" s="1">
        <v>1</v>
      </c>
      <c r="BW10" s="1">
        <v>0</v>
      </c>
      <c r="BX10" s="1">
        <v>0</v>
      </c>
      <c r="BY10" s="1">
        <v>1</v>
      </c>
      <c r="BZ10" s="1">
        <v>1</v>
      </c>
      <c r="CA10" s="1">
        <v>0</v>
      </c>
      <c r="CB10" s="1">
        <v>1</v>
      </c>
      <c r="CC10" s="1">
        <v>1</v>
      </c>
      <c r="CD10" s="1">
        <v>1</v>
      </c>
      <c r="CE10" s="1">
        <v>0</v>
      </c>
      <c r="CF10" s="1">
        <v>1</v>
      </c>
      <c r="CG10" s="1">
        <v>1</v>
      </c>
      <c r="CH10" s="1">
        <v>0</v>
      </c>
      <c r="CI10" s="1">
        <v>0</v>
      </c>
      <c r="CJ10" s="1">
        <v>4</v>
      </c>
      <c r="CK10" s="1">
        <v>3</v>
      </c>
      <c r="CL10" s="1">
        <v>4</v>
      </c>
      <c r="CM10" s="1">
        <v>4</v>
      </c>
      <c r="CN10" s="1">
        <v>4</v>
      </c>
      <c r="CO10" s="1">
        <v>4</v>
      </c>
      <c r="CP10" s="1">
        <v>4</v>
      </c>
      <c r="CU10" s="1">
        <v>1</v>
      </c>
    </row>
    <row r="11" spans="1:99" x14ac:dyDescent="0.35">
      <c r="A11" s="1" t="s">
        <v>3263</v>
      </c>
      <c r="B11" s="1">
        <v>185311023</v>
      </c>
      <c r="C11" s="1">
        <v>0</v>
      </c>
      <c r="D11" s="1">
        <v>1</v>
      </c>
      <c r="E11" s="1">
        <v>0</v>
      </c>
      <c r="F11" s="1">
        <v>0</v>
      </c>
      <c r="G11" s="1">
        <v>0</v>
      </c>
      <c r="H11" s="1">
        <v>0</v>
      </c>
      <c r="I11" s="1">
        <v>0</v>
      </c>
      <c r="J11" s="1">
        <v>1</v>
      </c>
      <c r="K11" s="1">
        <v>1</v>
      </c>
      <c r="L11" s="1">
        <v>0</v>
      </c>
      <c r="M11" s="1">
        <v>0</v>
      </c>
      <c r="N11" s="1">
        <v>0</v>
      </c>
      <c r="O11" s="1">
        <v>0</v>
      </c>
      <c r="P11" s="1" t="s">
        <v>3264</v>
      </c>
      <c r="Q11" s="1" t="s">
        <v>3265</v>
      </c>
      <c r="R11" s="1" t="s">
        <v>399</v>
      </c>
      <c r="S11" s="1">
        <v>1</v>
      </c>
      <c r="T11" s="1">
        <v>1</v>
      </c>
      <c r="U11" s="1">
        <v>4</v>
      </c>
      <c r="V11" s="1">
        <v>3</v>
      </c>
      <c r="W11" s="1">
        <v>3</v>
      </c>
      <c r="X11" s="1">
        <v>3</v>
      </c>
      <c r="Y11" s="1">
        <v>4</v>
      </c>
      <c r="Z11" s="1">
        <v>4</v>
      </c>
      <c r="AA11" s="1">
        <v>3</v>
      </c>
      <c r="AC11" s="1">
        <v>1</v>
      </c>
      <c r="AD11" s="1">
        <v>3</v>
      </c>
      <c r="AF11" s="3">
        <v>1300000</v>
      </c>
      <c r="AG11" s="1">
        <v>13</v>
      </c>
      <c r="AT11" s="1" t="s">
        <v>86</v>
      </c>
      <c r="BP11" s="1">
        <v>3</v>
      </c>
      <c r="BQ11" s="1" t="s">
        <v>3266</v>
      </c>
      <c r="BR11" s="1" t="s">
        <v>3267</v>
      </c>
      <c r="BS11" s="1" t="s">
        <v>3268</v>
      </c>
      <c r="BT11" s="1" t="s">
        <v>107</v>
      </c>
      <c r="BU11" s="1">
        <v>2</v>
      </c>
      <c r="BV11" s="1">
        <v>1</v>
      </c>
      <c r="BW11" s="1">
        <v>1</v>
      </c>
      <c r="BX11" s="1">
        <v>0</v>
      </c>
      <c r="BY11" s="1">
        <v>0</v>
      </c>
      <c r="BZ11" s="1">
        <v>0</v>
      </c>
      <c r="CA11" s="1">
        <v>0</v>
      </c>
      <c r="CB11" s="1">
        <v>0</v>
      </c>
      <c r="CC11" s="1">
        <v>0</v>
      </c>
      <c r="CD11" s="1">
        <v>0</v>
      </c>
      <c r="CE11" s="1">
        <v>0</v>
      </c>
      <c r="CF11" s="1">
        <v>0</v>
      </c>
      <c r="CG11" s="1">
        <v>0</v>
      </c>
      <c r="CH11" s="1">
        <v>0</v>
      </c>
      <c r="CI11" s="1">
        <v>0</v>
      </c>
      <c r="CJ11" s="1">
        <v>4</v>
      </c>
      <c r="CK11" s="1">
        <v>3</v>
      </c>
      <c r="CL11" s="1">
        <v>4</v>
      </c>
      <c r="CM11" s="1">
        <v>4</v>
      </c>
      <c r="CN11" s="1">
        <v>4</v>
      </c>
      <c r="CO11" s="1">
        <v>4</v>
      </c>
      <c r="CP11" s="1">
        <v>4</v>
      </c>
      <c r="CU11" s="1">
        <v>1</v>
      </c>
    </row>
    <row r="12" spans="1:99" x14ac:dyDescent="0.35">
      <c r="A12" s="1" t="s">
        <v>3269</v>
      </c>
      <c r="B12" s="1">
        <v>185311025</v>
      </c>
      <c r="C12" s="1">
        <v>0</v>
      </c>
      <c r="D12" s="1">
        <v>1</v>
      </c>
      <c r="E12" s="1">
        <v>0</v>
      </c>
      <c r="F12" s="1">
        <v>0</v>
      </c>
      <c r="G12" s="1">
        <v>0</v>
      </c>
      <c r="H12" s="1">
        <v>0</v>
      </c>
      <c r="I12" s="1">
        <v>0</v>
      </c>
      <c r="J12" s="1">
        <v>0</v>
      </c>
      <c r="K12" s="1">
        <v>0</v>
      </c>
      <c r="L12" s="1">
        <v>0</v>
      </c>
      <c r="M12" s="1">
        <v>1</v>
      </c>
      <c r="N12" s="1">
        <v>0</v>
      </c>
      <c r="O12" s="1">
        <v>0</v>
      </c>
      <c r="P12" s="1">
        <v>10</v>
      </c>
      <c r="Q12" s="1">
        <v>5</v>
      </c>
      <c r="R12" s="1">
        <v>5</v>
      </c>
      <c r="S12" s="1">
        <v>5</v>
      </c>
      <c r="T12" s="1">
        <v>1</v>
      </c>
      <c r="U12" s="1">
        <v>4</v>
      </c>
      <c r="V12" s="1">
        <v>4</v>
      </c>
      <c r="W12" s="1">
        <v>4</v>
      </c>
      <c r="X12" s="1">
        <v>4</v>
      </c>
      <c r="Y12" s="1">
        <v>4</v>
      </c>
      <c r="Z12" s="1">
        <v>4</v>
      </c>
      <c r="AA12" s="1">
        <v>4</v>
      </c>
      <c r="CU12" s="1">
        <v>4</v>
      </c>
    </row>
    <row r="13" spans="1:99" x14ac:dyDescent="0.35">
      <c r="A13" s="1" t="s">
        <v>3270</v>
      </c>
      <c r="B13" s="1">
        <v>185311027</v>
      </c>
      <c r="C13" s="1">
        <v>0</v>
      </c>
      <c r="D13" s="1">
        <v>1</v>
      </c>
      <c r="E13" s="1">
        <v>0</v>
      </c>
      <c r="F13" s="1">
        <v>0</v>
      </c>
      <c r="G13" s="1">
        <v>0</v>
      </c>
      <c r="H13" s="1">
        <v>0</v>
      </c>
      <c r="I13" s="1">
        <v>0</v>
      </c>
      <c r="J13" s="1">
        <v>0</v>
      </c>
      <c r="K13" s="1">
        <v>1</v>
      </c>
      <c r="L13" s="1">
        <v>0</v>
      </c>
      <c r="M13" s="1">
        <v>0</v>
      </c>
      <c r="N13" s="1">
        <v>0</v>
      </c>
      <c r="O13" s="1">
        <v>0</v>
      </c>
      <c r="P13" s="1" t="s">
        <v>3271</v>
      </c>
      <c r="Q13" s="1">
        <v>25</v>
      </c>
      <c r="R13" s="1">
        <v>20</v>
      </c>
      <c r="S13" s="1">
        <v>1</v>
      </c>
      <c r="T13" s="1">
        <v>1</v>
      </c>
      <c r="U13" s="1">
        <v>4</v>
      </c>
      <c r="V13" s="1">
        <v>4</v>
      </c>
      <c r="W13" s="1">
        <v>4</v>
      </c>
      <c r="X13" s="1">
        <v>2</v>
      </c>
      <c r="Y13" s="1">
        <v>4</v>
      </c>
      <c r="Z13" s="1">
        <v>4</v>
      </c>
      <c r="AA13" s="1">
        <v>3</v>
      </c>
      <c r="AC13" s="1">
        <v>1</v>
      </c>
      <c r="AD13" s="1">
        <v>5</v>
      </c>
      <c r="AF13" s="3">
        <v>4000000</v>
      </c>
      <c r="AG13" s="1">
        <v>12</v>
      </c>
      <c r="AS13" s="1" t="s">
        <v>472</v>
      </c>
      <c r="BP13" s="1">
        <v>3</v>
      </c>
      <c r="BQ13" s="1" t="s">
        <v>3272</v>
      </c>
      <c r="BR13" s="1" t="s">
        <v>3273</v>
      </c>
      <c r="BT13" s="1" t="s">
        <v>73</v>
      </c>
      <c r="BU13" s="1">
        <v>2</v>
      </c>
      <c r="BV13" s="1">
        <v>1</v>
      </c>
      <c r="BW13" s="1">
        <v>1</v>
      </c>
      <c r="BX13" s="1">
        <v>0</v>
      </c>
      <c r="BY13" s="1">
        <v>0</v>
      </c>
      <c r="BZ13" s="1">
        <v>0</v>
      </c>
      <c r="CA13" s="1">
        <v>0</v>
      </c>
      <c r="CB13" s="1">
        <v>0</v>
      </c>
      <c r="CC13" s="1">
        <v>0</v>
      </c>
      <c r="CD13" s="1">
        <v>0</v>
      </c>
      <c r="CE13" s="1">
        <v>0</v>
      </c>
      <c r="CF13" s="1">
        <v>0</v>
      </c>
      <c r="CG13" s="1">
        <v>0</v>
      </c>
      <c r="CH13" s="1">
        <v>0</v>
      </c>
      <c r="CI13" s="1">
        <v>0</v>
      </c>
      <c r="CJ13" s="1">
        <v>4</v>
      </c>
      <c r="CK13" s="1">
        <v>4</v>
      </c>
      <c r="CL13" s="1">
        <v>4</v>
      </c>
      <c r="CM13" s="1">
        <v>4</v>
      </c>
      <c r="CN13" s="1">
        <v>4</v>
      </c>
      <c r="CO13" s="1">
        <v>4</v>
      </c>
      <c r="CP13" s="1">
        <v>4</v>
      </c>
      <c r="CU13" s="1">
        <v>1</v>
      </c>
    </row>
    <row r="14" spans="1:99" x14ac:dyDescent="0.35">
      <c r="A14" s="1" t="s">
        <v>3274</v>
      </c>
      <c r="B14" s="1">
        <v>185311028</v>
      </c>
      <c r="C14" s="1">
        <v>0</v>
      </c>
      <c r="D14" s="1">
        <v>1</v>
      </c>
      <c r="E14" s="1">
        <v>0</v>
      </c>
      <c r="F14" s="1">
        <v>0</v>
      </c>
      <c r="G14" s="1">
        <v>0</v>
      </c>
      <c r="H14" s="1">
        <v>0</v>
      </c>
      <c r="I14" s="1">
        <v>0</v>
      </c>
      <c r="J14" s="1">
        <v>0</v>
      </c>
      <c r="K14" s="1">
        <v>0</v>
      </c>
      <c r="L14" s="1">
        <v>0</v>
      </c>
      <c r="M14" s="1">
        <v>0</v>
      </c>
      <c r="N14" s="1">
        <v>0</v>
      </c>
      <c r="O14" s="1">
        <v>0</v>
      </c>
      <c r="P14" s="1">
        <v>3</v>
      </c>
      <c r="Q14" s="1">
        <v>2</v>
      </c>
      <c r="R14" s="1">
        <v>2</v>
      </c>
      <c r="S14" s="1">
        <v>1</v>
      </c>
      <c r="T14" s="1">
        <v>1</v>
      </c>
      <c r="U14" s="1">
        <v>4</v>
      </c>
      <c r="V14" s="1">
        <v>4</v>
      </c>
      <c r="W14" s="1">
        <v>4</v>
      </c>
      <c r="X14" s="1">
        <v>4</v>
      </c>
      <c r="Y14" s="1">
        <v>4</v>
      </c>
      <c r="Z14" s="1">
        <v>4</v>
      </c>
      <c r="AA14" s="1">
        <v>4</v>
      </c>
      <c r="AC14" s="1">
        <v>2</v>
      </c>
      <c r="AE14" s="1">
        <v>9</v>
      </c>
      <c r="AF14" s="3">
        <v>1500000</v>
      </c>
      <c r="AG14" s="1">
        <v>13</v>
      </c>
      <c r="AT14" s="1" t="s">
        <v>86</v>
      </c>
      <c r="BQ14" s="1" t="s">
        <v>3275</v>
      </c>
      <c r="BR14" s="1" t="s">
        <v>3276</v>
      </c>
      <c r="BT14" s="1" t="s">
        <v>73</v>
      </c>
      <c r="BU14" s="1">
        <v>2</v>
      </c>
      <c r="BV14" s="1">
        <v>1</v>
      </c>
      <c r="BW14" s="1">
        <v>0</v>
      </c>
      <c r="BX14" s="1">
        <v>0</v>
      </c>
      <c r="BY14" s="1">
        <v>0</v>
      </c>
      <c r="BZ14" s="1">
        <v>0</v>
      </c>
      <c r="CA14" s="1">
        <v>0</v>
      </c>
      <c r="CB14" s="1">
        <v>0</v>
      </c>
      <c r="CC14" s="1">
        <v>0</v>
      </c>
      <c r="CD14" s="1">
        <v>0</v>
      </c>
      <c r="CE14" s="1">
        <v>0</v>
      </c>
      <c r="CF14" s="1">
        <v>0</v>
      </c>
      <c r="CG14" s="1">
        <v>0</v>
      </c>
      <c r="CH14" s="1">
        <v>0</v>
      </c>
      <c r="CI14" s="1" t="s">
        <v>78</v>
      </c>
      <c r="CJ14" s="1">
        <v>4</v>
      </c>
      <c r="CK14" s="1">
        <v>4</v>
      </c>
      <c r="CL14" s="1">
        <v>4</v>
      </c>
      <c r="CM14" s="1">
        <v>4</v>
      </c>
      <c r="CN14" s="1">
        <v>4</v>
      </c>
      <c r="CO14" s="1">
        <v>4</v>
      </c>
      <c r="CP14" s="1">
        <v>4</v>
      </c>
      <c r="CU14" s="1">
        <v>1</v>
      </c>
    </row>
    <row r="15" spans="1:99" x14ac:dyDescent="0.35">
      <c r="A15" s="1" t="s">
        <v>3277</v>
      </c>
      <c r="B15" s="1">
        <v>185311029</v>
      </c>
      <c r="S15" s="1">
        <v>3</v>
      </c>
      <c r="T15" s="1">
        <v>1</v>
      </c>
      <c r="U15" s="1">
        <v>3</v>
      </c>
      <c r="V15" s="1">
        <v>3</v>
      </c>
      <c r="W15" s="1">
        <v>3</v>
      </c>
      <c r="X15" s="1">
        <v>4</v>
      </c>
      <c r="Y15" s="1">
        <v>2</v>
      </c>
      <c r="Z15" s="1">
        <v>3</v>
      </c>
      <c r="AA15" s="1">
        <v>2</v>
      </c>
      <c r="AB15" s="1">
        <v>1</v>
      </c>
      <c r="AC15" s="1">
        <v>1</v>
      </c>
      <c r="AD15" s="1">
        <v>5</v>
      </c>
      <c r="AF15" s="3">
        <v>2500000</v>
      </c>
      <c r="AG15" s="1">
        <v>13</v>
      </c>
      <c r="AT15" s="1" t="s">
        <v>86</v>
      </c>
      <c r="BP15" s="1">
        <v>4</v>
      </c>
      <c r="BQ15" s="1" t="s">
        <v>3278</v>
      </c>
      <c r="BT15" s="1" t="s">
        <v>107</v>
      </c>
      <c r="BU15" s="1">
        <v>2</v>
      </c>
      <c r="BV15" s="1">
        <v>4</v>
      </c>
      <c r="BW15" s="1">
        <v>1</v>
      </c>
      <c r="BX15" s="1">
        <v>0</v>
      </c>
      <c r="BY15" s="1">
        <v>0</v>
      </c>
      <c r="BZ15" s="1">
        <v>0</v>
      </c>
      <c r="CA15" s="1">
        <v>0</v>
      </c>
      <c r="CB15" s="1">
        <v>0</v>
      </c>
      <c r="CC15" s="1">
        <v>0</v>
      </c>
      <c r="CD15" s="1">
        <v>0</v>
      </c>
      <c r="CE15" s="1">
        <v>0</v>
      </c>
      <c r="CF15" s="1">
        <v>0</v>
      </c>
      <c r="CG15" s="1">
        <v>0</v>
      </c>
      <c r="CH15" s="1">
        <v>0</v>
      </c>
      <c r="CI15" s="1">
        <v>0</v>
      </c>
      <c r="CJ15" s="1">
        <v>4</v>
      </c>
      <c r="CK15" s="1">
        <v>3</v>
      </c>
      <c r="CL15" s="1">
        <v>3</v>
      </c>
      <c r="CM15" s="1">
        <v>4</v>
      </c>
      <c r="CN15" s="1">
        <v>4</v>
      </c>
      <c r="CO15" s="1">
        <v>4</v>
      </c>
      <c r="CP15" s="1">
        <v>4</v>
      </c>
      <c r="CU15" s="1">
        <v>1</v>
      </c>
    </row>
    <row r="16" spans="1:99" x14ac:dyDescent="0.35">
      <c r="A16" s="1" t="s">
        <v>3279</v>
      </c>
      <c r="B16" s="1">
        <v>185311031</v>
      </c>
      <c r="C16" s="1">
        <v>0</v>
      </c>
      <c r="D16" s="1">
        <v>1</v>
      </c>
      <c r="E16" s="1">
        <v>0</v>
      </c>
      <c r="F16" s="1">
        <v>0</v>
      </c>
      <c r="G16" s="1">
        <v>0</v>
      </c>
      <c r="H16" s="1">
        <v>0</v>
      </c>
      <c r="I16" s="1">
        <v>0</v>
      </c>
      <c r="J16" s="1">
        <v>0</v>
      </c>
      <c r="K16" s="1">
        <v>1</v>
      </c>
      <c r="L16" s="1">
        <v>0</v>
      </c>
      <c r="M16" s="1">
        <v>0</v>
      </c>
      <c r="N16" s="1">
        <v>0</v>
      </c>
      <c r="O16" s="1">
        <v>0</v>
      </c>
      <c r="P16" s="1">
        <v>5</v>
      </c>
      <c r="Q16" s="1">
        <v>2</v>
      </c>
      <c r="R16" s="1" t="s">
        <v>78</v>
      </c>
      <c r="S16" s="1">
        <v>1</v>
      </c>
      <c r="T16" s="1">
        <v>1</v>
      </c>
      <c r="U16" s="1">
        <v>3</v>
      </c>
      <c r="V16" s="1">
        <v>3</v>
      </c>
      <c r="W16" s="1">
        <v>4</v>
      </c>
      <c r="X16" s="1">
        <v>3</v>
      </c>
      <c r="Y16" s="1">
        <v>2</v>
      </c>
      <c r="Z16" s="1">
        <v>2</v>
      </c>
      <c r="AA16" s="1">
        <v>3</v>
      </c>
      <c r="AC16" s="1">
        <v>1</v>
      </c>
      <c r="AD16" s="1">
        <v>1</v>
      </c>
      <c r="AF16" s="3">
        <v>5000000</v>
      </c>
      <c r="AG16" s="1">
        <v>13</v>
      </c>
      <c r="AT16" s="1" t="s">
        <v>829</v>
      </c>
      <c r="BP16" s="1">
        <v>3</v>
      </c>
      <c r="BQ16" s="1" t="s">
        <v>3280</v>
      </c>
      <c r="BR16" s="1" t="s">
        <v>3281</v>
      </c>
      <c r="BT16" s="1" t="s">
        <v>73</v>
      </c>
      <c r="BU16" s="1">
        <v>1</v>
      </c>
      <c r="BV16" s="1">
        <v>1</v>
      </c>
      <c r="BW16" s="1">
        <v>1</v>
      </c>
      <c r="BX16" s="1">
        <v>0</v>
      </c>
      <c r="BY16" s="1">
        <v>0</v>
      </c>
      <c r="BZ16" s="1">
        <v>0</v>
      </c>
      <c r="CA16" s="1">
        <v>0</v>
      </c>
      <c r="CB16" s="1">
        <v>0</v>
      </c>
      <c r="CC16" s="1">
        <v>0</v>
      </c>
      <c r="CD16" s="1">
        <v>0</v>
      </c>
      <c r="CE16" s="1">
        <v>0</v>
      </c>
      <c r="CF16" s="1">
        <v>0</v>
      </c>
      <c r="CG16" s="1">
        <v>0</v>
      </c>
      <c r="CH16" s="1">
        <v>0</v>
      </c>
      <c r="CI16" s="1">
        <v>0</v>
      </c>
      <c r="CJ16" s="1">
        <v>4</v>
      </c>
      <c r="CK16" s="1">
        <v>3</v>
      </c>
      <c r="CL16" s="1">
        <v>3</v>
      </c>
      <c r="CM16" s="1">
        <v>4</v>
      </c>
      <c r="CN16" s="1">
        <v>4</v>
      </c>
      <c r="CO16" s="1">
        <v>4</v>
      </c>
      <c r="CP16" s="1">
        <v>4</v>
      </c>
      <c r="CU16" s="1">
        <v>1</v>
      </c>
    </row>
    <row r="17" spans="1:99" x14ac:dyDescent="0.35">
      <c r="A17" s="1" t="s">
        <v>3282</v>
      </c>
      <c r="B17" s="1">
        <v>185311034</v>
      </c>
      <c r="C17" s="1">
        <v>0</v>
      </c>
      <c r="D17" s="1">
        <v>1</v>
      </c>
      <c r="E17" s="1">
        <v>0</v>
      </c>
      <c r="F17" s="1">
        <v>0</v>
      </c>
      <c r="G17" s="1">
        <v>0</v>
      </c>
      <c r="H17" s="1">
        <v>0</v>
      </c>
      <c r="I17" s="1">
        <v>1</v>
      </c>
      <c r="J17" s="1">
        <v>1</v>
      </c>
      <c r="K17" s="1">
        <v>1</v>
      </c>
      <c r="L17" s="1">
        <v>0</v>
      </c>
      <c r="M17" s="1">
        <v>0</v>
      </c>
      <c r="N17" s="1">
        <v>0</v>
      </c>
      <c r="O17" s="1">
        <v>0</v>
      </c>
      <c r="P17" s="1" t="s">
        <v>3283</v>
      </c>
      <c r="Q17" s="1" t="s">
        <v>3284</v>
      </c>
      <c r="R17" s="1" t="s">
        <v>2239</v>
      </c>
      <c r="S17" s="1">
        <v>1</v>
      </c>
      <c r="T17" s="1">
        <v>3</v>
      </c>
      <c r="U17" s="1">
        <v>4</v>
      </c>
      <c r="V17" s="1">
        <v>4</v>
      </c>
      <c r="W17" s="1">
        <v>4</v>
      </c>
      <c r="X17" s="1">
        <v>3</v>
      </c>
      <c r="Y17" s="1">
        <v>4</v>
      </c>
      <c r="Z17" s="1">
        <v>4</v>
      </c>
      <c r="AA17" s="1">
        <v>4</v>
      </c>
      <c r="AC17" s="1">
        <v>1</v>
      </c>
      <c r="AD17" s="1">
        <v>4</v>
      </c>
      <c r="AF17" s="3">
        <v>2000000</v>
      </c>
      <c r="AG17" s="1">
        <v>13</v>
      </c>
      <c r="AT17" s="1" t="s">
        <v>86</v>
      </c>
      <c r="BP17" s="1" t="s">
        <v>3285</v>
      </c>
      <c r="BQ17" s="1" t="s">
        <v>3286</v>
      </c>
      <c r="BT17" s="1" t="s">
        <v>107</v>
      </c>
      <c r="BU17" s="1">
        <v>4</v>
      </c>
      <c r="BV17" s="1">
        <v>3</v>
      </c>
      <c r="BW17" s="1">
        <v>0</v>
      </c>
      <c r="BX17" s="1">
        <v>1</v>
      </c>
      <c r="BY17" s="1">
        <v>0</v>
      </c>
      <c r="BZ17" s="1">
        <v>0</v>
      </c>
      <c r="CA17" s="1">
        <v>1</v>
      </c>
      <c r="CB17" s="1">
        <v>0</v>
      </c>
      <c r="CC17" s="1">
        <v>1</v>
      </c>
      <c r="CD17" s="1">
        <v>1</v>
      </c>
      <c r="CE17" s="1">
        <v>0</v>
      </c>
      <c r="CF17" s="1">
        <v>1</v>
      </c>
      <c r="CG17" s="1">
        <v>1</v>
      </c>
      <c r="CH17" s="1">
        <v>1</v>
      </c>
      <c r="CI17" s="1">
        <v>0</v>
      </c>
      <c r="CJ17" s="1">
        <v>4</v>
      </c>
      <c r="CK17" s="1">
        <v>3</v>
      </c>
      <c r="CL17" s="1">
        <v>4</v>
      </c>
      <c r="CM17" s="1">
        <v>4</v>
      </c>
      <c r="CN17" s="1">
        <v>4</v>
      </c>
      <c r="CO17" s="1">
        <v>4</v>
      </c>
      <c r="CP17" s="1">
        <v>4</v>
      </c>
      <c r="CU17" s="1">
        <v>4</v>
      </c>
    </row>
    <row r="18" spans="1:99" x14ac:dyDescent="0.35">
      <c r="A18" s="1" t="s">
        <v>3287</v>
      </c>
      <c r="B18" s="1">
        <v>185311035</v>
      </c>
      <c r="C18" s="1">
        <v>0</v>
      </c>
      <c r="D18" s="1">
        <v>1</v>
      </c>
      <c r="E18" s="1">
        <v>0</v>
      </c>
      <c r="F18" s="1">
        <v>0</v>
      </c>
      <c r="G18" s="1">
        <v>0</v>
      </c>
      <c r="H18" s="1">
        <v>0</v>
      </c>
      <c r="I18" s="1">
        <v>0</v>
      </c>
      <c r="J18" s="1">
        <v>0</v>
      </c>
      <c r="K18" s="1">
        <v>0</v>
      </c>
      <c r="L18" s="1">
        <v>0</v>
      </c>
      <c r="M18" s="1">
        <v>0</v>
      </c>
      <c r="N18" s="1">
        <v>0</v>
      </c>
      <c r="O18" s="1">
        <v>0</v>
      </c>
      <c r="P18" s="1" t="s">
        <v>3288</v>
      </c>
      <c r="Q18" s="1">
        <v>5</v>
      </c>
      <c r="R18" s="1">
        <v>4</v>
      </c>
      <c r="S18" s="1">
        <v>5</v>
      </c>
      <c r="T18" s="1">
        <v>1</v>
      </c>
      <c r="U18" s="1">
        <v>4</v>
      </c>
      <c r="V18" s="1">
        <v>3</v>
      </c>
      <c r="W18" s="1">
        <v>4</v>
      </c>
      <c r="X18" s="1">
        <v>2</v>
      </c>
      <c r="Y18" s="1">
        <v>3</v>
      </c>
      <c r="Z18" s="1">
        <v>4</v>
      </c>
      <c r="AA18" s="1">
        <v>4</v>
      </c>
      <c r="CU18" s="1">
        <v>4</v>
      </c>
    </row>
    <row r="19" spans="1:99" x14ac:dyDescent="0.35">
      <c r="A19" s="1" t="s">
        <v>3289</v>
      </c>
      <c r="B19" s="1">
        <v>185311038</v>
      </c>
      <c r="C19" s="1">
        <v>1</v>
      </c>
      <c r="D19" s="1">
        <v>1</v>
      </c>
      <c r="E19" s="1">
        <v>0</v>
      </c>
      <c r="F19" s="1">
        <v>0</v>
      </c>
      <c r="G19" s="1">
        <v>0</v>
      </c>
      <c r="H19" s="1">
        <v>1</v>
      </c>
      <c r="I19" s="1">
        <v>0</v>
      </c>
      <c r="J19" s="1">
        <v>0</v>
      </c>
      <c r="K19" s="1">
        <v>1</v>
      </c>
      <c r="L19" s="1">
        <v>1</v>
      </c>
      <c r="M19" s="1">
        <v>0</v>
      </c>
      <c r="N19" s="1">
        <v>0</v>
      </c>
      <c r="O19" s="1">
        <v>0</v>
      </c>
      <c r="P19" s="1" t="s">
        <v>3290</v>
      </c>
      <c r="Q19" s="1" t="s">
        <v>804</v>
      </c>
      <c r="R19" s="1" t="s">
        <v>3291</v>
      </c>
      <c r="S19" s="1">
        <v>1</v>
      </c>
      <c r="T19" s="1">
        <v>1</v>
      </c>
      <c r="U19" s="1">
        <v>4</v>
      </c>
      <c r="V19" s="1">
        <v>4</v>
      </c>
      <c r="W19" s="1">
        <v>4</v>
      </c>
      <c r="X19" s="1">
        <v>4</v>
      </c>
      <c r="Y19" s="1">
        <v>4</v>
      </c>
      <c r="Z19" s="1">
        <v>4</v>
      </c>
      <c r="AA19" s="1">
        <v>4</v>
      </c>
      <c r="AC19" s="1">
        <v>2</v>
      </c>
      <c r="AE19" s="1">
        <v>9</v>
      </c>
      <c r="AF19" s="3">
        <v>1900000</v>
      </c>
      <c r="AG19" s="1">
        <v>13</v>
      </c>
      <c r="AT19" s="1" t="s">
        <v>271</v>
      </c>
      <c r="BP19" s="1" t="s">
        <v>3292</v>
      </c>
      <c r="BQ19" s="1" t="s">
        <v>3293</v>
      </c>
      <c r="BR19" s="1" t="s">
        <v>3294</v>
      </c>
      <c r="BS19" s="1" t="s">
        <v>4342</v>
      </c>
      <c r="BT19" s="1" t="s">
        <v>79</v>
      </c>
      <c r="BU19" s="1">
        <v>4</v>
      </c>
      <c r="BV19" s="1">
        <v>2</v>
      </c>
      <c r="BW19" s="1">
        <v>0</v>
      </c>
      <c r="BX19" s="1">
        <v>0</v>
      </c>
      <c r="BY19" s="1">
        <v>0</v>
      </c>
      <c r="BZ19" s="1">
        <v>0</v>
      </c>
      <c r="CA19" s="1">
        <v>0</v>
      </c>
      <c r="CB19" s="1">
        <v>0</v>
      </c>
      <c r="CC19" s="1">
        <v>0</v>
      </c>
      <c r="CD19" s="1">
        <v>0</v>
      </c>
      <c r="CE19" s="1">
        <v>0</v>
      </c>
      <c r="CF19" s="1">
        <v>1</v>
      </c>
      <c r="CG19" s="1">
        <v>1</v>
      </c>
      <c r="CH19" s="1">
        <v>1</v>
      </c>
      <c r="CI19" s="1">
        <v>0</v>
      </c>
      <c r="CJ19" s="1">
        <v>4</v>
      </c>
      <c r="CK19" s="1">
        <v>4</v>
      </c>
      <c r="CL19" s="1">
        <v>2</v>
      </c>
      <c r="CM19" s="1">
        <v>4</v>
      </c>
      <c r="CN19" s="1">
        <v>4</v>
      </c>
      <c r="CO19" s="1">
        <v>4</v>
      </c>
      <c r="CP19" s="1">
        <v>4</v>
      </c>
      <c r="CU19" s="1">
        <v>1</v>
      </c>
    </row>
    <row r="20" spans="1:99" x14ac:dyDescent="0.35">
      <c r="A20" s="1" t="s">
        <v>3295</v>
      </c>
      <c r="B20" s="1">
        <v>185311039</v>
      </c>
      <c r="C20" s="1">
        <v>0</v>
      </c>
      <c r="D20" s="1">
        <v>1</v>
      </c>
      <c r="E20" s="1">
        <v>0</v>
      </c>
      <c r="F20" s="1">
        <v>0</v>
      </c>
      <c r="G20" s="1">
        <v>0</v>
      </c>
      <c r="H20" s="1">
        <v>0</v>
      </c>
      <c r="I20" s="1">
        <v>0</v>
      </c>
      <c r="J20" s="1">
        <v>0</v>
      </c>
      <c r="K20" s="1">
        <v>1</v>
      </c>
      <c r="L20" s="1">
        <v>0</v>
      </c>
      <c r="M20" s="1">
        <v>0</v>
      </c>
      <c r="N20" s="1">
        <v>0</v>
      </c>
      <c r="O20" s="1">
        <v>0</v>
      </c>
      <c r="P20" s="1">
        <v>23</v>
      </c>
      <c r="Q20" s="1">
        <v>4</v>
      </c>
      <c r="R20" s="1">
        <v>2</v>
      </c>
      <c r="S20" s="1">
        <v>2</v>
      </c>
      <c r="T20" s="1">
        <v>1</v>
      </c>
      <c r="U20" s="1">
        <v>3</v>
      </c>
      <c r="V20" s="1">
        <v>3</v>
      </c>
      <c r="W20" s="1">
        <v>3</v>
      </c>
      <c r="X20" s="1">
        <v>3</v>
      </c>
      <c r="Y20" s="1">
        <v>3</v>
      </c>
      <c r="Z20" s="1">
        <v>3</v>
      </c>
      <c r="AA20" s="1">
        <v>3</v>
      </c>
      <c r="AT20" s="1" t="s">
        <v>86</v>
      </c>
      <c r="CU20" s="1">
        <v>4</v>
      </c>
    </row>
    <row r="21" spans="1:99" x14ac:dyDescent="0.35">
      <c r="A21" s="1" t="s">
        <v>3296</v>
      </c>
      <c r="B21" s="1">
        <v>185311040</v>
      </c>
      <c r="C21" s="1">
        <v>0</v>
      </c>
      <c r="D21" s="1">
        <v>1</v>
      </c>
      <c r="E21" s="1">
        <v>0</v>
      </c>
      <c r="F21" s="1">
        <v>0</v>
      </c>
      <c r="G21" s="1">
        <v>0</v>
      </c>
      <c r="H21" s="1">
        <v>0</v>
      </c>
      <c r="I21" s="1">
        <v>0</v>
      </c>
      <c r="J21" s="1">
        <v>1</v>
      </c>
      <c r="K21" s="1">
        <v>0</v>
      </c>
      <c r="L21" s="1">
        <v>0</v>
      </c>
      <c r="M21" s="1">
        <v>1</v>
      </c>
      <c r="N21" s="1">
        <v>0</v>
      </c>
      <c r="O21" s="1">
        <v>0</v>
      </c>
      <c r="P21" s="1">
        <v>32</v>
      </c>
      <c r="Q21" s="1">
        <v>2</v>
      </c>
      <c r="R21" s="1">
        <v>2</v>
      </c>
      <c r="S21" s="1">
        <v>1</v>
      </c>
      <c r="T21" s="1">
        <v>1</v>
      </c>
      <c r="U21" s="1">
        <v>3</v>
      </c>
      <c r="V21" s="1">
        <v>3</v>
      </c>
      <c r="W21" s="1">
        <v>3</v>
      </c>
      <c r="X21" s="1">
        <v>3</v>
      </c>
      <c r="Y21" s="1">
        <v>3</v>
      </c>
      <c r="Z21" s="1">
        <v>3</v>
      </c>
      <c r="AA21" s="1">
        <v>3</v>
      </c>
      <c r="AC21" s="1">
        <v>2</v>
      </c>
      <c r="AE21" s="1">
        <v>5</v>
      </c>
      <c r="AF21" s="3">
        <v>2600000</v>
      </c>
      <c r="AG21" s="1">
        <v>13</v>
      </c>
      <c r="AT21" s="1" t="s">
        <v>86</v>
      </c>
      <c r="BP21" s="1">
        <v>3</v>
      </c>
      <c r="BQ21" s="1" t="s">
        <v>3297</v>
      </c>
      <c r="BR21" s="1" t="s">
        <v>3298</v>
      </c>
      <c r="BS21" s="1" t="s">
        <v>3299</v>
      </c>
      <c r="BT21" s="1" t="s">
        <v>79</v>
      </c>
      <c r="BU21" s="1">
        <v>3</v>
      </c>
      <c r="BV21" s="1">
        <v>2</v>
      </c>
      <c r="BW21" s="1">
        <v>0</v>
      </c>
      <c r="BX21" s="1">
        <v>0</v>
      </c>
      <c r="BY21" s="1">
        <v>1</v>
      </c>
      <c r="BZ21" s="1">
        <v>0</v>
      </c>
      <c r="CA21" s="1">
        <v>0</v>
      </c>
      <c r="CB21" s="1">
        <v>0</v>
      </c>
      <c r="CC21" s="1">
        <v>0</v>
      </c>
      <c r="CD21" s="1">
        <v>1</v>
      </c>
      <c r="CE21" s="1">
        <v>0</v>
      </c>
      <c r="CF21" s="1">
        <v>0</v>
      </c>
      <c r="CG21" s="1">
        <v>0</v>
      </c>
      <c r="CH21" s="1">
        <v>0</v>
      </c>
      <c r="CI21" s="1">
        <v>0</v>
      </c>
      <c r="CJ21" s="1">
        <v>3</v>
      </c>
      <c r="CK21" s="1">
        <v>3</v>
      </c>
      <c r="CL21" s="1">
        <v>3</v>
      </c>
      <c r="CM21" s="1">
        <v>3</v>
      </c>
      <c r="CN21" s="1">
        <v>3</v>
      </c>
      <c r="CO21" s="1">
        <v>3</v>
      </c>
      <c r="CP21" s="1">
        <v>3</v>
      </c>
      <c r="CU21" s="1">
        <v>1</v>
      </c>
    </row>
    <row r="22" spans="1:99" x14ac:dyDescent="0.35">
      <c r="A22" s="1" t="s">
        <v>3300</v>
      </c>
      <c r="B22" s="1">
        <v>185311047</v>
      </c>
      <c r="C22" s="1">
        <v>0</v>
      </c>
      <c r="D22" s="1">
        <v>1</v>
      </c>
      <c r="E22" s="1">
        <v>0</v>
      </c>
      <c r="F22" s="1">
        <v>0</v>
      </c>
      <c r="G22" s="1">
        <v>0</v>
      </c>
      <c r="H22" s="1">
        <v>0</v>
      </c>
      <c r="I22" s="1">
        <v>0</v>
      </c>
      <c r="J22" s="1">
        <v>0</v>
      </c>
      <c r="K22" s="1">
        <v>0</v>
      </c>
      <c r="L22" s="1">
        <v>0</v>
      </c>
      <c r="M22" s="1">
        <v>0</v>
      </c>
      <c r="N22" s="1">
        <v>0</v>
      </c>
      <c r="O22" s="1">
        <v>0</v>
      </c>
      <c r="P22" s="1" t="s">
        <v>3301</v>
      </c>
      <c r="Q22" s="4">
        <v>46115</v>
      </c>
      <c r="R22" s="1">
        <v>5</v>
      </c>
      <c r="S22" s="1">
        <v>1</v>
      </c>
      <c r="T22" s="1">
        <v>1</v>
      </c>
      <c r="U22" s="1">
        <v>3</v>
      </c>
      <c r="V22" s="1">
        <v>3</v>
      </c>
      <c r="W22" s="1">
        <v>3</v>
      </c>
      <c r="X22" s="1">
        <v>3</v>
      </c>
      <c r="Y22" s="1">
        <v>3</v>
      </c>
      <c r="Z22" s="1">
        <v>3</v>
      </c>
      <c r="AA22" s="1">
        <v>2</v>
      </c>
      <c r="AC22" s="1">
        <v>2</v>
      </c>
      <c r="AE22" s="1">
        <v>10</v>
      </c>
      <c r="AF22" s="3">
        <v>5000000</v>
      </c>
      <c r="AG22" s="1">
        <v>11</v>
      </c>
      <c r="AR22" s="1" t="s">
        <v>130</v>
      </c>
      <c r="BP22" s="1">
        <v>3</v>
      </c>
      <c r="BQ22" s="1" t="s">
        <v>3302</v>
      </c>
      <c r="BR22" s="1" t="s">
        <v>3303</v>
      </c>
      <c r="BS22" s="1" t="s">
        <v>594</v>
      </c>
      <c r="BT22" s="1" t="s">
        <v>73</v>
      </c>
      <c r="BU22" s="1">
        <v>3</v>
      </c>
      <c r="BV22" s="1">
        <v>2</v>
      </c>
      <c r="BW22" s="1">
        <v>1</v>
      </c>
      <c r="BX22" s="1">
        <v>0</v>
      </c>
      <c r="BY22" s="1">
        <v>0</v>
      </c>
      <c r="BZ22" s="1">
        <v>0</v>
      </c>
      <c r="CA22" s="1">
        <v>0</v>
      </c>
      <c r="CB22" s="1">
        <v>0</v>
      </c>
      <c r="CC22" s="1">
        <v>0</v>
      </c>
      <c r="CD22" s="1">
        <v>0</v>
      </c>
      <c r="CE22" s="1">
        <v>0</v>
      </c>
      <c r="CF22" s="1">
        <v>0</v>
      </c>
      <c r="CG22" s="1">
        <v>0</v>
      </c>
      <c r="CH22" s="1">
        <v>0</v>
      </c>
      <c r="CI22" s="1">
        <v>0</v>
      </c>
      <c r="CJ22" s="1">
        <v>4</v>
      </c>
      <c r="CK22" s="1">
        <v>2</v>
      </c>
      <c r="CL22" s="1">
        <v>4</v>
      </c>
      <c r="CM22" s="1">
        <v>4</v>
      </c>
      <c r="CN22" s="1">
        <v>4</v>
      </c>
      <c r="CO22" s="1">
        <v>4</v>
      </c>
      <c r="CP22" s="1">
        <v>4</v>
      </c>
      <c r="CU22" s="1">
        <v>1</v>
      </c>
    </row>
    <row r="23" spans="1:99" x14ac:dyDescent="0.35">
      <c r="A23" s="1" t="s">
        <v>3304</v>
      </c>
      <c r="B23" s="1">
        <v>185311052</v>
      </c>
      <c r="C23" s="1">
        <v>1</v>
      </c>
      <c r="D23" s="1">
        <v>1</v>
      </c>
      <c r="E23" s="1">
        <v>0</v>
      </c>
      <c r="F23" s="1">
        <v>0</v>
      </c>
      <c r="G23" s="1">
        <v>0</v>
      </c>
      <c r="H23" s="1">
        <v>1</v>
      </c>
      <c r="I23" s="1">
        <v>0</v>
      </c>
      <c r="J23" s="1">
        <v>0</v>
      </c>
      <c r="K23" s="1">
        <v>1</v>
      </c>
      <c r="L23" s="1">
        <v>0</v>
      </c>
      <c r="M23" s="1">
        <v>0</v>
      </c>
      <c r="N23" s="1">
        <v>0</v>
      </c>
      <c r="O23" s="1">
        <v>0</v>
      </c>
      <c r="P23" s="1">
        <v>50</v>
      </c>
      <c r="Q23" s="1">
        <v>8</v>
      </c>
      <c r="R23" s="1">
        <v>4</v>
      </c>
      <c r="S23" s="1">
        <v>1</v>
      </c>
      <c r="T23" s="1">
        <v>1</v>
      </c>
      <c r="U23" s="1">
        <v>4</v>
      </c>
      <c r="V23" s="1">
        <v>3</v>
      </c>
      <c r="W23" s="1">
        <v>4</v>
      </c>
      <c r="X23" s="1">
        <v>3</v>
      </c>
      <c r="Y23" s="1">
        <v>4</v>
      </c>
      <c r="Z23" s="1">
        <v>4</v>
      </c>
      <c r="AA23" s="1">
        <v>4</v>
      </c>
      <c r="AC23" s="1">
        <v>1</v>
      </c>
      <c r="AD23" s="1">
        <v>3</v>
      </c>
      <c r="AF23" s="3">
        <v>4000000</v>
      </c>
      <c r="AG23" s="1">
        <v>13</v>
      </c>
      <c r="AT23" s="1" t="s">
        <v>93</v>
      </c>
      <c r="BP23" s="1">
        <v>3</v>
      </c>
      <c r="BQ23" s="1" t="s">
        <v>719</v>
      </c>
      <c r="BR23" s="1" t="s">
        <v>3305</v>
      </c>
      <c r="BS23" s="1" t="s">
        <v>3306</v>
      </c>
      <c r="BT23" s="1" t="s">
        <v>79</v>
      </c>
      <c r="BU23" s="1">
        <v>2</v>
      </c>
      <c r="BV23" s="1">
        <v>2</v>
      </c>
      <c r="BW23" s="1">
        <v>1</v>
      </c>
      <c r="BX23" s="1">
        <v>0</v>
      </c>
      <c r="BY23" s="1">
        <v>0</v>
      </c>
      <c r="BZ23" s="1">
        <v>0</v>
      </c>
      <c r="CA23" s="1">
        <v>0</v>
      </c>
      <c r="CB23" s="1">
        <v>0</v>
      </c>
      <c r="CC23" s="1">
        <v>0</v>
      </c>
      <c r="CD23" s="1">
        <v>0</v>
      </c>
      <c r="CE23" s="1">
        <v>0</v>
      </c>
      <c r="CF23" s="1">
        <v>0</v>
      </c>
      <c r="CG23" s="1">
        <v>0</v>
      </c>
      <c r="CH23" s="1">
        <v>0</v>
      </c>
      <c r="CI23" s="1">
        <v>0</v>
      </c>
      <c r="CJ23" s="1">
        <v>4</v>
      </c>
      <c r="CK23" s="1">
        <v>4</v>
      </c>
      <c r="CL23" s="1">
        <v>4</v>
      </c>
      <c r="CM23" s="1">
        <v>4</v>
      </c>
      <c r="CN23" s="1">
        <v>4</v>
      </c>
      <c r="CO23" s="1">
        <v>4</v>
      </c>
      <c r="CP23" s="1">
        <v>4</v>
      </c>
      <c r="CU23" s="1">
        <v>4</v>
      </c>
    </row>
    <row r="24" spans="1:99" x14ac:dyDescent="0.35">
      <c r="A24" s="1" t="s">
        <v>3307</v>
      </c>
      <c r="B24" s="1">
        <v>185311057</v>
      </c>
      <c r="C24" s="1">
        <v>0</v>
      </c>
      <c r="D24" s="1">
        <v>1</v>
      </c>
      <c r="E24" s="1">
        <v>0</v>
      </c>
      <c r="F24" s="1">
        <v>0</v>
      </c>
      <c r="G24" s="1">
        <v>0</v>
      </c>
      <c r="H24" s="1">
        <v>0</v>
      </c>
      <c r="I24" s="1">
        <v>0</v>
      </c>
      <c r="J24" s="1">
        <v>0</v>
      </c>
      <c r="K24" s="1">
        <v>1</v>
      </c>
      <c r="L24" s="1">
        <v>0</v>
      </c>
      <c r="M24" s="1">
        <v>0</v>
      </c>
      <c r="N24" s="1">
        <v>0</v>
      </c>
      <c r="O24" s="1">
        <v>0</v>
      </c>
      <c r="P24" s="1">
        <v>20</v>
      </c>
      <c r="Q24" s="1">
        <v>5</v>
      </c>
      <c r="R24" s="1">
        <v>5</v>
      </c>
      <c r="S24" s="1">
        <v>1</v>
      </c>
      <c r="T24" s="1">
        <v>1</v>
      </c>
      <c r="U24" s="1">
        <v>3</v>
      </c>
      <c r="V24" s="1">
        <v>3</v>
      </c>
      <c r="W24" s="1">
        <v>3</v>
      </c>
      <c r="X24" s="1">
        <v>3</v>
      </c>
      <c r="Y24" s="1">
        <v>3</v>
      </c>
      <c r="Z24" s="1">
        <v>3</v>
      </c>
      <c r="AA24" s="1">
        <v>3</v>
      </c>
      <c r="AC24" s="1">
        <v>2</v>
      </c>
      <c r="AE24" s="1">
        <v>8</v>
      </c>
      <c r="AF24" s="3">
        <v>2000000</v>
      </c>
      <c r="AG24" s="1">
        <v>13</v>
      </c>
      <c r="AT24" s="1" t="s">
        <v>86</v>
      </c>
      <c r="BP24" s="1">
        <v>3</v>
      </c>
      <c r="BQ24" s="1" t="s">
        <v>3308</v>
      </c>
      <c r="BR24" s="1" t="s">
        <v>3309</v>
      </c>
      <c r="BT24" s="1" t="s">
        <v>107</v>
      </c>
      <c r="BU24" s="1">
        <v>1</v>
      </c>
      <c r="BV24" s="1">
        <v>3</v>
      </c>
      <c r="BW24" s="1">
        <v>1</v>
      </c>
      <c r="BX24" s="1">
        <v>0</v>
      </c>
      <c r="BY24" s="1">
        <v>0</v>
      </c>
      <c r="BZ24" s="1">
        <v>0</v>
      </c>
      <c r="CA24" s="1">
        <v>0</v>
      </c>
      <c r="CB24" s="1">
        <v>0</v>
      </c>
      <c r="CC24" s="1">
        <v>0</v>
      </c>
      <c r="CD24" s="1">
        <v>0</v>
      </c>
      <c r="CE24" s="1">
        <v>0</v>
      </c>
      <c r="CF24" s="1">
        <v>0</v>
      </c>
      <c r="CG24" s="1">
        <v>0</v>
      </c>
      <c r="CH24" s="1">
        <v>0</v>
      </c>
      <c r="CI24" s="1">
        <v>0</v>
      </c>
      <c r="CJ24" s="1">
        <v>3</v>
      </c>
      <c r="CK24" s="1">
        <v>4</v>
      </c>
      <c r="CL24" s="1">
        <v>4</v>
      </c>
      <c r="CM24" s="1">
        <v>3</v>
      </c>
      <c r="CN24" s="1">
        <v>4</v>
      </c>
      <c r="CO24" s="1">
        <v>3</v>
      </c>
      <c r="CP24" s="1">
        <v>4</v>
      </c>
      <c r="CU24" s="1">
        <v>1</v>
      </c>
    </row>
    <row r="25" spans="1:99" x14ac:dyDescent="0.35">
      <c r="A25" s="1" t="s">
        <v>3310</v>
      </c>
      <c r="B25" s="1">
        <v>185311060</v>
      </c>
      <c r="C25" s="1">
        <v>0</v>
      </c>
      <c r="D25" s="1">
        <v>1</v>
      </c>
      <c r="E25" s="1">
        <v>0</v>
      </c>
      <c r="F25" s="1">
        <v>0</v>
      </c>
      <c r="G25" s="1">
        <v>0</v>
      </c>
      <c r="H25" s="1">
        <v>0</v>
      </c>
      <c r="I25" s="1">
        <v>0</v>
      </c>
      <c r="J25" s="1">
        <v>0</v>
      </c>
      <c r="K25" s="1">
        <v>0</v>
      </c>
      <c r="L25" s="1">
        <v>0</v>
      </c>
      <c r="M25" s="1">
        <v>0</v>
      </c>
      <c r="N25" s="1">
        <v>0</v>
      </c>
      <c r="O25" s="1">
        <v>0</v>
      </c>
      <c r="P25" s="1">
        <v>30</v>
      </c>
      <c r="Q25" s="1">
        <v>9</v>
      </c>
      <c r="R25" s="1">
        <v>5</v>
      </c>
      <c r="S25" s="1">
        <v>1</v>
      </c>
      <c r="T25" s="1">
        <v>3</v>
      </c>
      <c r="U25" s="1">
        <v>3</v>
      </c>
      <c r="V25" s="1">
        <v>3</v>
      </c>
      <c r="W25" s="1">
        <v>3</v>
      </c>
      <c r="X25" s="1">
        <v>3</v>
      </c>
      <c r="Y25" s="1">
        <v>3</v>
      </c>
      <c r="Z25" s="1">
        <v>3</v>
      </c>
      <c r="AA25" s="1">
        <v>3</v>
      </c>
      <c r="AC25" s="1">
        <v>2</v>
      </c>
      <c r="AE25" s="1">
        <v>1</v>
      </c>
      <c r="AF25" s="3">
        <v>4800000</v>
      </c>
      <c r="AG25" s="1">
        <v>11</v>
      </c>
      <c r="AR25" s="1" t="s">
        <v>118</v>
      </c>
      <c r="BP25" s="1">
        <v>3</v>
      </c>
      <c r="BQ25" s="1" t="s">
        <v>3311</v>
      </c>
      <c r="BR25" s="1" t="s">
        <v>3312</v>
      </c>
      <c r="BS25" s="1" t="s">
        <v>3313</v>
      </c>
      <c r="BT25" s="1" t="s">
        <v>107</v>
      </c>
      <c r="BU25" s="1">
        <v>3</v>
      </c>
      <c r="BV25" s="1">
        <v>2</v>
      </c>
      <c r="BW25" s="1">
        <v>0</v>
      </c>
      <c r="BX25" s="1">
        <v>0</v>
      </c>
      <c r="BY25" s="1">
        <v>0</v>
      </c>
      <c r="BZ25" s="1">
        <v>1</v>
      </c>
      <c r="CA25" s="1">
        <v>0</v>
      </c>
      <c r="CB25" s="1">
        <v>0</v>
      </c>
      <c r="CC25" s="1">
        <v>0</v>
      </c>
      <c r="CD25" s="1">
        <v>0</v>
      </c>
      <c r="CE25" s="1">
        <v>0</v>
      </c>
      <c r="CF25" s="1">
        <v>0</v>
      </c>
      <c r="CG25" s="1">
        <v>0</v>
      </c>
      <c r="CH25" s="1">
        <v>0</v>
      </c>
      <c r="CI25" s="1">
        <v>0</v>
      </c>
      <c r="CJ25" s="1">
        <v>4</v>
      </c>
      <c r="CK25" s="1">
        <v>3</v>
      </c>
      <c r="CL25" s="1">
        <v>3</v>
      </c>
      <c r="CM25" s="1">
        <v>3</v>
      </c>
      <c r="CN25" s="1">
        <v>3</v>
      </c>
      <c r="CO25" s="1">
        <v>3</v>
      </c>
      <c r="CP25" s="1">
        <v>3</v>
      </c>
      <c r="CU25" s="1">
        <v>1</v>
      </c>
    </row>
    <row r="26" spans="1:99" x14ac:dyDescent="0.35">
      <c r="A26" s="1" t="s">
        <v>3314</v>
      </c>
      <c r="B26" s="1">
        <v>185311064</v>
      </c>
      <c r="C26" s="1">
        <v>0</v>
      </c>
      <c r="D26" s="1">
        <v>0</v>
      </c>
      <c r="E26" s="1">
        <v>0</v>
      </c>
      <c r="F26" s="1">
        <v>0</v>
      </c>
      <c r="G26" s="1">
        <v>0</v>
      </c>
      <c r="H26" s="1">
        <v>0</v>
      </c>
      <c r="I26" s="1">
        <v>0</v>
      </c>
      <c r="J26" s="1">
        <v>0</v>
      </c>
      <c r="K26" s="1">
        <v>0</v>
      </c>
      <c r="L26" s="1">
        <v>0</v>
      </c>
      <c r="M26" s="1">
        <v>1</v>
      </c>
      <c r="N26" s="1">
        <v>0</v>
      </c>
      <c r="O26" s="1">
        <v>0</v>
      </c>
      <c r="P26" s="1">
        <v>10</v>
      </c>
      <c r="Q26" s="1">
        <v>2</v>
      </c>
      <c r="R26" s="1">
        <v>1</v>
      </c>
      <c r="S26" s="1">
        <v>3</v>
      </c>
      <c r="T26" s="1">
        <v>1</v>
      </c>
      <c r="U26" s="1">
        <v>3</v>
      </c>
      <c r="V26" s="1">
        <v>3</v>
      </c>
      <c r="W26" s="1">
        <v>3</v>
      </c>
      <c r="X26" s="1">
        <v>3</v>
      </c>
      <c r="Y26" s="1">
        <v>3</v>
      </c>
      <c r="Z26" s="1">
        <v>3</v>
      </c>
      <c r="AA26" s="1">
        <v>2</v>
      </c>
      <c r="AB26" s="1">
        <v>4</v>
      </c>
      <c r="AC26" s="1">
        <v>2</v>
      </c>
      <c r="AE26" s="1">
        <v>3</v>
      </c>
      <c r="AF26" s="3">
        <v>4500000</v>
      </c>
      <c r="AG26" s="1">
        <v>11</v>
      </c>
      <c r="AR26" s="1" t="s">
        <v>130</v>
      </c>
      <c r="BP26" s="1">
        <v>3</v>
      </c>
      <c r="BQ26" s="1" t="s">
        <v>3315</v>
      </c>
      <c r="BR26" s="1" t="s">
        <v>3316</v>
      </c>
      <c r="BT26" s="1" t="s">
        <v>79</v>
      </c>
      <c r="BU26" s="1">
        <v>3</v>
      </c>
      <c r="BV26" s="1">
        <v>2</v>
      </c>
      <c r="BW26" s="1">
        <v>0</v>
      </c>
      <c r="BX26" s="1">
        <v>0</v>
      </c>
      <c r="BY26" s="1">
        <v>0</v>
      </c>
      <c r="BZ26" s="1">
        <v>0</v>
      </c>
      <c r="CA26" s="1">
        <v>0</v>
      </c>
      <c r="CB26" s="1">
        <v>0</v>
      </c>
      <c r="CC26" s="1">
        <v>0</v>
      </c>
      <c r="CD26" s="1">
        <v>1</v>
      </c>
      <c r="CE26" s="1">
        <v>1</v>
      </c>
      <c r="CF26" s="1">
        <v>0</v>
      </c>
      <c r="CG26" s="1">
        <v>0</v>
      </c>
      <c r="CH26" s="1">
        <v>0</v>
      </c>
      <c r="CI26" s="1">
        <v>0</v>
      </c>
      <c r="CJ26" s="1">
        <v>3</v>
      </c>
      <c r="CK26" s="1">
        <v>4</v>
      </c>
      <c r="CL26" s="1">
        <v>3</v>
      </c>
      <c r="CM26" s="1">
        <v>2</v>
      </c>
      <c r="CN26" s="1">
        <v>4</v>
      </c>
      <c r="CO26" s="1">
        <v>4</v>
      </c>
      <c r="CP26" s="1">
        <v>3</v>
      </c>
      <c r="CU26" s="1">
        <v>1</v>
      </c>
    </row>
    <row r="27" spans="1:99" x14ac:dyDescent="0.35">
      <c r="A27" s="1" t="s">
        <v>3817</v>
      </c>
      <c r="B27" s="1">
        <v>175311036</v>
      </c>
      <c r="C27" s="2"/>
      <c r="D27" s="2"/>
      <c r="E27" s="2"/>
      <c r="F27" s="2"/>
      <c r="G27" s="2"/>
      <c r="H27" s="2"/>
      <c r="I27" s="2"/>
      <c r="J27" s="2"/>
      <c r="K27" s="2"/>
      <c r="L27" s="2"/>
      <c r="M27" s="2"/>
      <c r="N27" s="2"/>
      <c r="O27" s="2"/>
      <c r="P27" s="2"/>
      <c r="Q27" s="2"/>
      <c r="R27" s="2"/>
      <c r="S27" s="2"/>
      <c r="T27" s="2"/>
      <c r="U27" s="2"/>
      <c r="V27" s="2"/>
      <c r="W27" s="2"/>
      <c r="X27" s="2"/>
      <c r="Y27" s="2"/>
      <c r="Z27" s="2"/>
      <c r="AA27" s="2"/>
      <c r="AB27" s="2"/>
      <c r="AC27" s="2"/>
      <c r="AD27" s="2"/>
      <c r="AE27" s="2"/>
      <c r="AF27" s="2"/>
      <c r="AG27" s="2"/>
      <c r="AH27" s="2"/>
      <c r="AI27" s="2"/>
      <c r="AJ27" s="2"/>
      <c r="AK27" s="2"/>
      <c r="AL27" s="2"/>
      <c r="AM27" s="2"/>
      <c r="AN27" s="2"/>
      <c r="AO27" s="2"/>
      <c r="AP27" s="2"/>
      <c r="AQ27" s="2"/>
      <c r="AR27" s="2"/>
      <c r="AS27" s="2"/>
      <c r="AT27" s="2"/>
      <c r="AU27" s="2"/>
      <c r="AV27" s="2"/>
      <c r="AW27" s="2"/>
      <c r="AX27" s="2"/>
      <c r="AY27" s="2"/>
      <c r="AZ27" s="2"/>
      <c r="BA27" s="2"/>
      <c r="BB27" s="2"/>
      <c r="BC27" s="2"/>
      <c r="BD27" s="2"/>
      <c r="BE27" s="2"/>
      <c r="BF27" s="2"/>
      <c r="BG27" s="2"/>
      <c r="BH27" s="2"/>
      <c r="BI27" s="2"/>
      <c r="BJ27" s="2"/>
      <c r="BK27" s="2"/>
      <c r="BL27" s="2"/>
      <c r="BM27" s="2"/>
      <c r="BN27" s="2"/>
      <c r="BO27" s="2"/>
      <c r="BP27" s="2"/>
      <c r="BQ27" s="2"/>
      <c r="BR27" s="2"/>
      <c r="BS27" s="2"/>
      <c r="BT27" s="2"/>
      <c r="BU27" s="2"/>
      <c r="BV27" s="2"/>
      <c r="BW27" s="2"/>
      <c r="BX27" s="2"/>
      <c r="BY27" s="2"/>
      <c r="BZ27" s="2"/>
      <c r="CA27" s="2"/>
      <c r="CB27" s="2"/>
      <c r="CC27" s="2"/>
      <c r="CD27" s="2"/>
      <c r="CE27" s="2"/>
      <c r="CF27" s="2"/>
      <c r="CG27" s="2"/>
      <c r="CH27" s="2"/>
      <c r="CI27" s="2"/>
      <c r="CJ27" s="2"/>
      <c r="CK27" s="2"/>
      <c r="CL27" s="2"/>
      <c r="CM27" s="2"/>
      <c r="CN27" s="2"/>
      <c r="CO27" s="2"/>
      <c r="CP27" s="2"/>
      <c r="CQ27" s="2"/>
      <c r="CR27" s="2"/>
      <c r="CS27" s="2"/>
      <c r="CT27" s="2"/>
      <c r="CU27" s="2"/>
    </row>
    <row r="28" spans="1:99" x14ac:dyDescent="0.35">
      <c r="A28" s="1" t="s">
        <v>3818</v>
      </c>
      <c r="B28" s="1">
        <v>185311005</v>
      </c>
      <c r="C28" s="2"/>
      <c r="D28" s="2"/>
      <c r="E28" s="2"/>
      <c r="F28" s="2"/>
      <c r="G28" s="2"/>
      <c r="H28" s="2"/>
      <c r="I28" s="2"/>
      <c r="J28" s="2"/>
      <c r="K28" s="2"/>
      <c r="L28" s="2"/>
      <c r="M28" s="2"/>
      <c r="N28" s="2"/>
      <c r="O28" s="2"/>
      <c r="P28" s="2"/>
      <c r="Q28" s="2"/>
      <c r="R28" s="2"/>
      <c r="S28" s="2"/>
      <c r="T28" s="2"/>
      <c r="U28" s="2"/>
      <c r="V28" s="2"/>
      <c r="W28" s="2"/>
      <c r="X28" s="2"/>
      <c r="Y28" s="2"/>
      <c r="Z28" s="2"/>
      <c r="AA28" s="2"/>
      <c r="AB28" s="2"/>
      <c r="AC28" s="2"/>
      <c r="AD28" s="2"/>
      <c r="AE28" s="2"/>
      <c r="AF28" s="2"/>
      <c r="AG28" s="2"/>
      <c r="AH28" s="2"/>
      <c r="AI28" s="2"/>
      <c r="AJ28" s="2"/>
      <c r="AK28" s="2"/>
      <c r="AL28" s="2"/>
      <c r="AM28" s="2"/>
      <c r="AN28" s="2"/>
      <c r="AO28" s="2"/>
      <c r="AP28" s="2"/>
      <c r="AQ28" s="2"/>
      <c r="AR28" s="2"/>
      <c r="AS28" s="2"/>
      <c r="AT28" s="2"/>
      <c r="AU28" s="2"/>
      <c r="AV28" s="2"/>
      <c r="AW28" s="2"/>
      <c r="AX28" s="2"/>
      <c r="AY28" s="2"/>
      <c r="AZ28" s="2"/>
      <c r="BA28" s="2"/>
      <c r="BB28" s="2"/>
      <c r="BC28" s="2"/>
      <c r="BD28" s="2"/>
      <c r="BE28" s="2"/>
      <c r="BF28" s="2"/>
      <c r="BG28" s="2"/>
      <c r="BH28" s="2"/>
      <c r="BI28" s="2"/>
      <c r="BJ28" s="2"/>
      <c r="BK28" s="2"/>
      <c r="BL28" s="2"/>
      <c r="BM28" s="2"/>
      <c r="BN28" s="2"/>
      <c r="BO28" s="2"/>
      <c r="BP28" s="2"/>
      <c r="BQ28" s="2"/>
      <c r="BR28" s="2"/>
      <c r="BS28" s="2"/>
      <c r="BT28" s="2"/>
      <c r="BU28" s="2"/>
      <c r="BV28" s="2"/>
      <c r="BW28" s="2"/>
      <c r="BX28" s="2"/>
      <c r="BY28" s="2"/>
      <c r="BZ28" s="2"/>
      <c r="CA28" s="2"/>
      <c r="CB28" s="2"/>
      <c r="CC28" s="2"/>
      <c r="CD28" s="2"/>
      <c r="CE28" s="2"/>
      <c r="CF28" s="2"/>
      <c r="CG28" s="2"/>
      <c r="CH28" s="2"/>
      <c r="CI28" s="2"/>
      <c r="CJ28" s="2"/>
      <c r="CK28" s="2"/>
      <c r="CL28" s="2"/>
      <c r="CM28" s="2"/>
      <c r="CN28" s="2"/>
      <c r="CO28" s="2"/>
      <c r="CP28" s="2"/>
      <c r="CQ28" s="2"/>
      <c r="CR28" s="2"/>
      <c r="CS28" s="2"/>
      <c r="CT28" s="2"/>
      <c r="CU28" s="2"/>
    </row>
    <row r="29" spans="1:99" x14ac:dyDescent="0.35">
      <c r="A29" s="1" t="s">
        <v>3819</v>
      </c>
      <c r="B29" s="1">
        <v>185311009</v>
      </c>
      <c r="C29" s="2"/>
      <c r="D29" s="2"/>
      <c r="E29" s="2"/>
      <c r="F29" s="2"/>
      <c r="G29" s="2"/>
      <c r="H29" s="2"/>
      <c r="I29" s="2"/>
      <c r="J29" s="2"/>
      <c r="K29" s="2"/>
      <c r="L29" s="2"/>
      <c r="M29" s="2"/>
      <c r="N29" s="2"/>
      <c r="O29" s="2"/>
      <c r="P29" s="2"/>
      <c r="Q29" s="2"/>
      <c r="R29" s="2"/>
      <c r="S29" s="2"/>
      <c r="T29" s="2"/>
      <c r="U29" s="2"/>
      <c r="V29" s="2"/>
      <c r="W29" s="2"/>
      <c r="X29" s="2"/>
      <c r="Y29" s="2"/>
      <c r="Z29" s="2"/>
      <c r="AA29" s="2"/>
      <c r="AB29" s="2"/>
      <c r="AC29" s="2"/>
      <c r="AD29" s="2"/>
      <c r="AE29" s="2"/>
      <c r="AF29" s="2"/>
      <c r="AG29" s="2"/>
      <c r="AH29" s="2"/>
      <c r="AI29" s="2"/>
      <c r="AJ29" s="2"/>
      <c r="AK29" s="2"/>
      <c r="AL29" s="2"/>
      <c r="AM29" s="2"/>
      <c r="AN29" s="2"/>
      <c r="AO29" s="2"/>
      <c r="AP29" s="2"/>
      <c r="AQ29" s="2"/>
      <c r="AR29" s="2"/>
      <c r="AS29" s="2"/>
      <c r="AT29" s="2"/>
      <c r="AU29" s="2"/>
      <c r="AV29" s="2"/>
      <c r="AW29" s="2"/>
      <c r="AX29" s="2"/>
      <c r="AY29" s="2"/>
      <c r="AZ29" s="2"/>
      <c r="BA29" s="2"/>
      <c r="BB29" s="2"/>
      <c r="BC29" s="2"/>
      <c r="BD29" s="2"/>
      <c r="BE29" s="2"/>
      <c r="BF29" s="2"/>
      <c r="BG29" s="2"/>
      <c r="BH29" s="2"/>
      <c r="BI29" s="2"/>
      <c r="BJ29" s="2"/>
      <c r="BK29" s="2"/>
      <c r="BL29" s="2"/>
      <c r="BM29" s="2"/>
      <c r="BN29" s="2"/>
      <c r="BO29" s="2"/>
      <c r="BP29" s="2"/>
      <c r="BQ29" s="2"/>
      <c r="BR29" s="2"/>
      <c r="BS29" s="2"/>
      <c r="BT29" s="2"/>
      <c r="BU29" s="2"/>
      <c r="BV29" s="2"/>
      <c r="BW29" s="2"/>
      <c r="BX29" s="2"/>
      <c r="BY29" s="2"/>
      <c r="BZ29" s="2"/>
      <c r="CA29" s="2"/>
      <c r="CB29" s="2"/>
      <c r="CC29" s="2"/>
      <c r="CD29" s="2"/>
      <c r="CE29" s="2"/>
      <c r="CF29" s="2"/>
      <c r="CG29" s="2"/>
      <c r="CH29" s="2"/>
      <c r="CI29" s="2"/>
      <c r="CJ29" s="2"/>
      <c r="CK29" s="2"/>
      <c r="CL29" s="2"/>
      <c r="CM29" s="2"/>
      <c r="CN29" s="2"/>
      <c r="CO29" s="2"/>
      <c r="CP29" s="2"/>
      <c r="CQ29" s="2"/>
      <c r="CR29" s="2"/>
      <c r="CS29" s="2"/>
      <c r="CT29" s="2"/>
      <c r="CU29" s="2"/>
    </row>
    <row r="30" spans="1:99" x14ac:dyDescent="0.35">
      <c r="A30" s="1" t="s">
        <v>3820</v>
      </c>
      <c r="B30" s="1">
        <v>185311011</v>
      </c>
      <c r="C30" s="2"/>
      <c r="D30" s="2"/>
      <c r="E30" s="2"/>
      <c r="F30" s="2"/>
      <c r="G30" s="2"/>
      <c r="H30" s="2"/>
      <c r="I30" s="2"/>
      <c r="J30" s="2"/>
      <c r="K30" s="2"/>
      <c r="L30" s="2"/>
      <c r="M30" s="2"/>
      <c r="N30" s="2"/>
      <c r="O30" s="2"/>
      <c r="P30" s="2"/>
      <c r="Q30" s="2"/>
      <c r="R30" s="2"/>
      <c r="S30" s="2"/>
      <c r="T30" s="2"/>
      <c r="U30" s="2"/>
      <c r="V30" s="2"/>
      <c r="W30" s="2"/>
      <c r="X30" s="2"/>
      <c r="Y30" s="2"/>
      <c r="Z30" s="2"/>
      <c r="AA30" s="2"/>
      <c r="AB30" s="2"/>
      <c r="AC30" s="2"/>
      <c r="AD30" s="2"/>
      <c r="AE30" s="2"/>
      <c r="AF30" s="2"/>
      <c r="AG30" s="2"/>
      <c r="AH30" s="2"/>
      <c r="AI30" s="2"/>
      <c r="AJ30" s="2"/>
      <c r="AK30" s="2"/>
      <c r="AL30" s="2"/>
      <c r="AM30" s="2"/>
      <c r="AN30" s="2"/>
      <c r="AO30" s="2"/>
      <c r="AP30" s="2"/>
      <c r="AQ30" s="2"/>
      <c r="AR30" s="2"/>
      <c r="AS30" s="2"/>
      <c r="AT30" s="2"/>
      <c r="AU30" s="2"/>
      <c r="AV30" s="2"/>
      <c r="AW30" s="2"/>
      <c r="AX30" s="2"/>
      <c r="AY30" s="2"/>
      <c r="AZ30" s="2"/>
      <c r="BA30" s="2"/>
      <c r="BB30" s="2"/>
      <c r="BC30" s="2"/>
      <c r="BD30" s="2"/>
      <c r="BE30" s="2"/>
      <c r="BF30" s="2"/>
      <c r="BG30" s="2"/>
      <c r="BH30" s="2"/>
      <c r="BI30" s="2"/>
      <c r="BJ30" s="2"/>
      <c r="BK30" s="2"/>
      <c r="BL30" s="2"/>
      <c r="BM30" s="2"/>
      <c r="BN30" s="2"/>
      <c r="BO30" s="2"/>
      <c r="BP30" s="2"/>
      <c r="BQ30" s="2"/>
      <c r="BR30" s="2"/>
      <c r="BS30" s="2"/>
      <c r="BT30" s="2"/>
      <c r="BU30" s="2"/>
      <c r="BV30" s="2"/>
      <c r="BW30" s="2"/>
      <c r="BX30" s="2"/>
      <c r="BY30" s="2"/>
      <c r="BZ30" s="2"/>
      <c r="CA30" s="2"/>
      <c r="CB30" s="2"/>
      <c r="CC30" s="2"/>
      <c r="CD30" s="2"/>
      <c r="CE30" s="2"/>
      <c r="CF30" s="2"/>
      <c r="CG30" s="2"/>
      <c r="CH30" s="2"/>
      <c r="CI30" s="2"/>
      <c r="CJ30" s="2"/>
      <c r="CK30" s="2"/>
      <c r="CL30" s="2"/>
      <c r="CM30" s="2"/>
      <c r="CN30" s="2"/>
      <c r="CO30" s="2"/>
      <c r="CP30" s="2"/>
      <c r="CQ30" s="2"/>
      <c r="CR30" s="2"/>
      <c r="CS30" s="2"/>
      <c r="CT30" s="2"/>
      <c r="CU30" s="2"/>
    </row>
    <row r="31" spans="1:99" x14ac:dyDescent="0.35">
      <c r="A31" s="1" t="s">
        <v>3821</v>
      </c>
      <c r="B31" s="1">
        <v>185311016</v>
      </c>
      <c r="C31" s="2"/>
      <c r="D31" s="2"/>
      <c r="E31" s="2"/>
      <c r="F31" s="2"/>
      <c r="G31" s="2"/>
      <c r="H31" s="2"/>
      <c r="I31" s="2"/>
      <c r="J31" s="2"/>
      <c r="K31" s="2"/>
      <c r="L31" s="2"/>
      <c r="M31" s="2"/>
      <c r="N31" s="2"/>
      <c r="O31" s="2"/>
      <c r="P31" s="2"/>
      <c r="Q31" s="2"/>
      <c r="R31" s="2"/>
      <c r="S31" s="2"/>
      <c r="T31" s="2"/>
      <c r="U31" s="2"/>
      <c r="V31" s="2"/>
      <c r="W31" s="2"/>
      <c r="X31" s="2"/>
      <c r="Y31" s="2"/>
      <c r="Z31" s="2"/>
      <c r="AA31" s="2"/>
      <c r="AB31" s="2"/>
      <c r="AC31" s="2"/>
      <c r="AD31" s="2"/>
      <c r="AE31" s="2"/>
      <c r="AF31" s="2"/>
      <c r="AG31" s="2"/>
      <c r="AH31" s="2"/>
      <c r="AI31" s="2"/>
      <c r="AJ31" s="2"/>
      <c r="AK31" s="2"/>
      <c r="AL31" s="2"/>
      <c r="AM31" s="2"/>
      <c r="AN31" s="2"/>
      <c r="AO31" s="2"/>
      <c r="AP31" s="2"/>
      <c r="AQ31" s="2"/>
      <c r="AR31" s="2"/>
      <c r="AS31" s="2"/>
      <c r="AT31" s="2"/>
      <c r="AU31" s="2"/>
      <c r="AV31" s="2"/>
      <c r="AW31" s="2"/>
      <c r="AX31" s="2"/>
      <c r="AY31" s="2"/>
      <c r="AZ31" s="2"/>
      <c r="BA31" s="2"/>
      <c r="BB31" s="2"/>
      <c r="BC31" s="2"/>
      <c r="BD31" s="2"/>
      <c r="BE31" s="2"/>
      <c r="BF31" s="2"/>
      <c r="BG31" s="2"/>
      <c r="BH31" s="2"/>
      <c r="BI31" s="2"/>
      <c r="BJ31" s="2"/>
      <c r="BK31" s="2"/>
      <c r="BL31" s="2"/>
      <c r="BM31" s="2"/>
      <c r="BN31" s="2"/>
      <c r="BO31" s="2"/>
      <c r="BP31" s="2"/>
      <c r="BQ31" s="2"/>
      <c r="BR31" s="2"/>
      <c r="BS31" s="2"/>
      <c r="BT31" s="2"/>
      <c r="BU31" s="2"/>
      <c r="BV31" s="2"/>
      <c r="BW31" s="2"/>
      <c r="BX31" s="2"/>
      <c r="BY31" s="2"/>
      <c r="BZ31" s="2"/>
      <c r="CA31" s="2"/>
      <c r="CB31" s="2"/>
      <c r="CC31" s="2"/>
      <c r="CD31" s="2"/>
      <c r="CE31" s="2"/>
      <c r="CF31" s="2"/>
      <c r="CG31" s="2"/>
      <c r="CH31" s="2"/>
      <c r="CI31" s="2"/>
      <c r="CJ31" s="2"/>
      <c r="CK31" s="2"/>
      <c r="CL31" s="2"/>
      <c r="CM31" s="2"/>
      <c r="CN31" s="2"/>
      <c r="CO31" s="2"/>
      <c r="CP31" s="2"/>
      <c r="CQ31" s="2"/>
      <c r="CR31" s="2"/>
      <c r="CS31" s="2"/>
      <c r="CT31" s="2"/>
      <c r="CU31" s="2"/>
    </row>
    <row r="32" spans="1:99" x14ac:dyDescent="0.35">
      <c r="A32" s="1" t="s">
        <v>3822</v>
      </c>
      <c r="B32" s="1">
        <v>185311018</v>
      </c>
      <c r="C32" s="2"/>
      <c r="D32" s="2"/>
      <c r="E32" s="2"/>
      <c r="F32" s="2"/>
      <c r="G32" s="2"/>
      <c r="H32" s="2"/>
      <c r="I32" s="2"/>
      <c r="J32" s="2"/>
      <c r="K32" s="2"/>
      <c r="L32" s="2"/>
      <c r="M32" s="2"/>
      <c r="N32" s="2"/>
      <c r="O32" s="2"/>
      <c r="P32" s="2"/>
      <c r="Q32" s="2"/>
      <c r="R32" s="2"/>
      <c r="S32" s="2"/>
      <c r="T32" s="2"/>
      <c r="U32" s="2"/>
      <c r="V32" s="2"/>
      <c r="W32" s="2"/>
      <c r="X32" s="2"/>
      <c r="Y32" s="2"/>
      <c r="Z32" s="2"/>
      <c r="AA32" s="2"/>
      <c r="AB32" s="2"/>
      <c r="AC32" s="2"/>
      <c r="AD32" s="2"/>
      <c r="AE32" s="2"/>
      <c r="AF32" s="2"/>
      <c r="AG32" s="2"/>
      <c r="AH32" s="2"/>
      <c r="AI32" s="2"/>
      <c r="AJ32" s="2"/>
      <c r="AK32" s="2"/>
      <c r="AL32" s="2"/>
      <c r="AM32" s="2"/>
      <c r="AN32" s="2"/>
      <c r="AO32" s="2"/>
      <c r="AP32" s="2"/>
      <c r="AQ32" s="2"/>
      <c r="AR32" s="2"/>
      <c r="AS32" s="2"/>
      <c r="AT32" s="2"/>
      <c r="AU32" s="2"/>
      <c r="AV32" s="2"/>
      <c r="AW32" s="2"/>
      <c r="AX32" s="2"/>
      <c r="AY32" s="2"/>
      <c r="AZ32" s="2"/>
      <c r="BA32" s="2"/>
      <c r="BB32" s="2"/>
      <c r="BC32" s="2"/>
      <c r="BD32" s="2"/>
      <c r="BE32" s="2"/>
      <c r="BF32" s="2"/>
      <c r="BG32" s="2"/>
      <c r="BH32" s="2"/>
      <c r="BI32" s="2"/>
      <c r="BJ32" s="2"/>
      <c r="BK32" s="2"/>
      <c r="BL32" s="2"/>
      <c r="BM32" s="2"/>
      <c r="BN32" s="2"/>
      <c r="BO32" s="2"/>
      <c r="BP32" s="2"/>
      <c r="BQ32" s="2"/>
      <c r="BR32" s="2"/>
      <c r="BS32" s="2"/>
      <c r="BT32" s="2"/>
      <c r="BU32" s="2"/>
      <c r="BV32" s="2"/>
      <c r="BW32" s="2"/>
      <c r="BX32" s="2"/>
      <c r="BY32" s="2"/>
      <c r="BZ32" s="2"/>
      <c r="CA32" s="2"/>
      <c r="CB32" s="2"/>
      <c r="CC32" s="2"/>
      <c r="CD32" s="2"/>
      <c r="CE32" s="2"/>
      <c r="CF32" s="2"/>
      <c r="CG32" s="2"/>
      <c r="CH32" s="2"/>
      <c r="CI32" s="2"/>
      <c r="CJ32" s="2"/>
      <c r="CK32" s="2"/>
      <c r="CL32" s="2"/>
      <c r="CM32" s="2"/>
      <c r="CN32" s="2"/>
      <c r="CO32" s="2"/>
      <c r="CP32" s="2"/>
      <c r="CQ32" s="2"/>
      <c r="CR32" s="2"/>
      <c r="CS32" s="2"/>
      <c r="CT32" s="2"/>
      <c r="CU32" s="2"/>
    </row>
    <row r="33" spans="1:99" x14ac:dyDescent="0.35">
      <c r="A33" s="1" t="s">
        <v>3823</v>
      </c>
      <c r="B33" s="1">
        <v>185311021</v>
      </c>
      <c r="C33" s="2"/>
      <c r="D33" s="2"/>
      <c r="E33" s="2"/>
      <c r="F33" s="2"/>
      <c r="G33" s="2"/>
      <c r="H33" s="2"/>
      <c r="I33" s="2"/>
      <c r="J33" s="2"/>
      <c r="K33" s="2"/>
      <c r="L33" s="2"/>
      <c r="M33" s="2"/>
      <c r="N33" s="2"/>
      <c r="O33" s="2"/>
      <c r="P33" s="2"/>
      <c r="Q33" s="2"/>
      <c r="R33" s="2"/>
      <c r="S33" s="2"/>
      <c r="T33" s="2"/>
      <c r="U33" s="2"/>
      <c r="V33" s="2"/>
      <c r="W33" s="2"/>
      <c r="X33" s="2"/>
      <c r="Y33" s="2"/>
      <c r="Z33" s="2"/>
      <c r="AA33" s="2"/>
      <c r="AB33" s="2"/>
      <c r="AC33" s="2"/>
      <c r="AD33" s="2"/>
      <c r="AE33" s="2"/>
      <c r="AF33" s="2"/>
      <c r="AG33" s="2"/>
      <c r="AH33" s="2"/>
      <c r="AI33" s="2"/>
      <c r="AJ33" s="2"/>
      <c r="AK33" s="2"/>
      <c r="AL33" s="2"/>
      <c r="AM33" s="2"/>
      <c r="AN33" s="2"/>
      <c r="AO33" s="2"/>
      <c r="AP33" s="2"/>
      <c r="AQ33" s="2"/>
      <c r="AR33" s="2"/>
      <c r="AS33" s="2"/>
      <c r="AT33" s="2"/>
      <c r="AU33" s="2"/>
      <c r="AV33" s="2"/>
      <c r="AW33" s="2"/>
      <c r="AX33" s="2"/>
      <c r="AY33" s="2"/>
      <c r="AZ33" s="2"/>
      <c r="BA33" s="2"/>
      <c r="BB33" s="2"/>
      <c r="BC33" s="2"/>
      <c r="BD33" s="2"/>
      <c r="BE33" s="2"/>
      <c r="BF33" s="2"/>
      <c r="BG33" s="2"/>
      <c r="BH33" s="2"/>
      <c r="BI33" s="2"/>
      <c r="BJ33" s="2"/>
      <c r="BK33" s="2"/>
      <c r="BL33" s="2"/>
      <c r="BM33" s="2"/>
      <c r="BN33" s="2"/>
      <c r="BO33" s="2"/>
      <c r="BP33" s="2"/>
      <c r="BQ33" s="2"/>
      <c r="BR33" s="2"/>
      <c r="BS33" s="2"/>
      <c r="BT33" s="2"/>
      <c r="BU33" s="2"/>
      <c r="BV33" s="2"/>
      <c r="BW33" s="2"/>
      <c r="BX33" s="2"/>
      <c r="BY33" s="2"/>
      <c r="BZ33" s="2"/>
      <c r="CA33" s="2"/>
      <c r="CB33" s="2"/>
      <c r="CC33" s="2"/>
      <c r="CD33" s="2"/>
      <c r="CE33" s="2"/>
      <c r="CF33" s="2"/>
      <c r="CG33" s="2"/>
      <c r="CH33" s="2"/>
      <c r="CI33" s="2"/>
      <c r="CJ33" s="2"/>
      <c r="CK33" s="2"/>
      <c r="CL33" s="2"/>
      <c r="CM33" s="2"/>
      <c r="CN33" s="2"/>
      <c r="CO33" s="2"/>
      <c r="CP33" s="2"/>
      <c r="CQ33" s="2"/>
      <c r="CR33" s="2"/>
      <c r="CS33" s="2"/>
      <c r="CT33" s="2"/>
      <c r="CU33" s="2"/>
    </row>
    <row r="34" spans="1:99" x14ac:dyDescent="0.35">
      <c r="A34" s="1" t="s">
        <v>3824</v>
      </c>
      <c r="B34" s="1">
        <v>185311024</v>
      </c>
      <c r="C34" s="2"/>
      <c r="D34" s="2"/>
      <c r="E34" s="2"/>
      <c r="F34" s="2"/>
      <c r="G34" s="2"/>
      <c r="H34" s="2"/>
      <c r="I34" s="2"/>
      <c r="J34" s="2"/>
      <c r="K34" s="2"/>
      <c r="L34" s="2"/>
      <c r="M34" s="2"/>
      <c r="N34" s="2"/>
      <c r="O34" s="2"/>
      <c r="P34" s="2"/>
      <c r="Q34" s="2"/>
      <c r="R34" s="2"/>
      <c r="S34" s="2"/>
      <c r="T34" s="2"/>
      <c r="U34" s="2"/>
      <c r="V34" s="2"/>
      <c r="W34" s="2"/>
      <c r="X34" s="2"/>
      <c r="Y34" s="2"/>
      <c r="Z34" s="2"/>
      <c r="AA34" s="2"/>
      <c r="AB34" s="2"/>
      <c r="AC34" s="2"/>
      <c r="AD34" s="2"/>
      <c r="AE34" s="2"/>
      <c r="AF34" s="2"/>
      <c r="AG34" s="2"/>
      <c r="AH34" s="2"/>
      <c r="AI34" s="2"/>
      <c r="AJ34" s="2"/>
      <c r="AK34" s="2"/>
      <c r="AL34" s="2"/>
      <c r="AM34" s="2"/>
      <c r="AN34" s="2"/>
      <c r="AO34" s="2"/>
      <c r="AP34" s="2"/>
      <c r="AQ34" s="2"/>
      <c r="AR34" s="2"/>
      <c r="AS34" s="2"/>
      <c r="AT34" s="2"/>
      <c r="AU34" s="2"/>
      <c r="AV34" s="2"/>
      <c r="AW34" s="2"/>
      <c r="AX34" s="2"/>
      <c r="AY34" s="2"/>
      <c r="AZ34" s="2"/>
      <c r="BA34" s="2"/>
      <c r="BB34" s="2"/>
      <c r="BC34" s="2"/>
      <c r="BD34" s="2"/>
      <c r="BE34" s="2"/>
      <c r="BF34" s="2"/>
      <c r="BG34" s="2"/>
      <c r="BH34" s="2"/>
      <c r="BI34" s="2"/>
      <c r="BJ34" s="2"/>
      <c r="BK34" s="2"/>
      <c r="BL34" s="2"/>
      <c r="BM34" s="2"/>
      <c r="BN34" s="2"/>
      <c r="BO34" s="2"/>
      <c r="BP34" s="2"/>
      <c r="BQ34" s="2"/>
      <c r="BR34" s="2"/>
      <c r="BS34" s="2"/>
      <c r="BT34" s="2"/>
      <c r="BU34" s="2"/>
      <c r="BV34" s="2"/>
      <c r="BW34" s="2"/>
      <c r="BX34" s="2"/>
      <c r="BY34" s="2"/>
      <c r="BZ34" s="2"/>
      <c r="CA34" s="2"/>
      <c r="CB34" s="2"/>
      <c r="CC34" s="2"/>
      <c r="CD34" s="2"/>
      <c r="CE34" s="2"/>
      <c r="CF34" s="2"/>
      <c r="CG34" s="2"/>
      <c r="CH34" s="2"/>
      <c r="CI34" s="2"/>
      <c r="CJ34" s="2"/>
      <c r="CK34" s="2"/>
      <c r="CL34" s="2"/>
      <c r="CM34" s="2"/>
      <c r="CN34" s="2"/>
      <c r="CO34" s="2"/>
      <c r="CP34" s="2"/>
      <c r="CQ34" s="2"/>
      <c r="CR34" s="2"/>
      <c r="CS34" s="2"/>
      <c r="CT34" s="2"/>
      <c r="CU34" s="2"/>
    </row>
    <row r="35" spans="1:99" x14ac:dyDescent="0.35">
      <c r="A35" s="1" t="s">
        <v>3825</v>
      </c>
      <c r="B35" s="1">
        <v>185311030</v>
      </c>
      <c r="C35" s="2"/>
      <c r="D35" s="2"/>
      <c r="E35" s="2"/>
      <c r="F35" s="2"/>
      <c r="G35" s="2"/>
      <c r="H35" s="2"/>
      <c r="I35" s="2"/>
      <c r="J35" s="2"/>
      <c r="K35" s="2"/>
      <c r="L35" s="2"/>
      <c r="M35" s="2"/>
      <c r="N35" s="2"/>
      <c r="O35" s="2"/>
      <c r="P35" s="2"/>
      <c r="Q35" s="2"/>
      <c r="R35" s="2"/>
      <c r="S35" s="2"/>
      <c r="T35" s="2"/>
      <c r="U35" s="2"/>
      <c r="V35" s="2"/>
      <c r="W35" s="2"/>
      <c r="X35" s="2"/>
      <c r="Y35" s="2"/>
      <c r="Z35" s="2"/>
      <c r="AA35" s="2"/>
      <c r="AB35" s="2"/>
      <c r="AC35" s="2"/>
      <c r="AD35" s="2"/>
      <c r="AE35" s="2"/>
      <c r="AF35" s="2"/>
      <c r="AG35" s="2"/>
      <c r="AH35" s="2"/>
      <c r="AI35" s="2"/>
      <c r="AJ35" s="2"/>
      <c r="AK35" s="2"/>
      <c r="AL35" s="2"/>
      <c r="AM35" s="2"/>
      <c r="AN35" s="2"/>
      <c r="AO35" s="2"/>
      <c r="AP35" s="2"/>
      <c r="AQ35" s="2"/>
      <c r="AR35" s="2"/>
      <c r="AS35" s="2"/>
      <c r="AT35" s="2"/>
      <c r="AU35" s="2"/>
      <c r="AV35" s="2"/>
      <c r="AW35" s="2"/>
      <c r="AX35" s="2"/>
      <c r="AY35" s="2"/>
      <c r="AZ35" s="2"/>
      <c r="BA35" s="2"/>
      <c r="BB35" s="2"/>
      <c r="BC35" s="2"/>
      <c r="BD35" s="2"/>
      <c r="BE35" s="2"/>
      <c r="BF35" s="2"/>
      <c r="BG35" s="2"/>
      <c r="BH35" s="2"/>
      <c r="BI35" s="2"/>
      <c r="BJ35" s="2"/>
      <c r="BK35" s="2"/>
      <c r="BL35" s="2"/>
      <c r="BM35" s="2"/>
      <c r="BN35" s="2"/>
      <c r="BO35" s="2"/>
      <c r="BP35" s="2"/>
      <c r="BQ35" s="2"/>
      <c r="BR35" s="2"/>
      <c r="BS35" s="2"/>
      <c r="BT35" s="2"/>
      <c r="BU35" s="2"/>
      <c r="BV35" s="2"/>
      <c r="BW35" s="2"/>
      <c r="BX35" s="2"/>
      <c r="BY35" s="2"/>
      <c r="BZ35" s="2"/>
      <c r="CA35" s="2"/>
      <c r="CB35" s="2"/>
      <c r="CC35" s="2"/>
      <c r="CD35" s="2"/>
      <c r="CE35" s="2"/>
      <c r="CF35" s="2"/>
      <c r="CG35" s="2"/>
      <c r="CH35" s="2"/>
      <c r="CI35" s="2"/>
      <c r="CJ35" s="2"/>
      <c r="CK35" s="2"/>
      <c r="CL35" s="2"/>
      <c r="CM35" s="2"/>
      <c r="CN35" s="2"/>
      <c r="CO35" s="2"/>
      <c r="CP35" s="2"/>
      <c r="CQ35" s="2"/>
      <c r="CR35" s="2"/>
      <c r="CS35" s="2"/>
      <c r="CT35" s="2"/>
      <c r="CU35" s="2"/>
    </row>
    <row r="36" spans="1:99" x14ac:dyDescent="0.35">
      <c r="A36" s="1" t="s">
        <v>3826</v>
      </c>
      <c r="B36" s="1">
        <v>185311037</v>
      </c>
      <c r="C36" s="2"/>
      <c r="D36" s="2"/>
      <c r="E36" s="2"/>
      <c r="F36" s="2"/>
      <c r="G36" s="2"/>
      <c r="H36" s="2"/>
      <c r="I36" s="2"/>
      <c r="J36" s="2"/>
      <c r="K36" s="2"/>
      <c r="L36" s="2"/>
      <c r="M36" s="2"/>
      <c r="N36" s="2"/>
      <c r="O36" s="2"/>
      <c r="P36" s="2"/>
      <c r="Q36" s="2"/>
      <c r="R36" s="2"/>
      <c r="S36" s="2"/>
      <c r="T36" s="2"/>
      <c r="U36" s="2"/>
      <c r="V36" s="2"/>
      <c r="W36" s="2"/>
      <c r="X36" s="2"/>
      <c r="Y36" s="2"/>
      <c r="Z36" s="2"/>
      <c r="AA36" s="2"/>
      <c r="AB36" s="2"/>
      <c r="AC36" s="2"/>
      <c r="AD36" s="2"/>
      <c r="AE36" s="2"/>
      <c r="AF36" s="2"/>
      <c r="AG36" s="2"/>
      <c r="AH36" s="2"/>
      <c r="AI36" s="2"/>
      <c r="AJ36" s="2"/>
      <c r="AK36" s="2"/>
      <c r="AL36" s="2"/>
      <c r="AM36" s="2"/>
      <c r="AN36" s="2"/>
      <c r="AO36" s="2"/>
      <c r="AP36" s="2"/>
      <c r="AQ36" s="2"/>
      <c r="AR36" s="2"/>
      <c r="AS36" s="2"/>
      <c r="AT36" s="2"/>
      <c r="AU36" s="2"/>
      <c r="AV36" s="2"/>
      <c r="AW36" s="2"/>
      <c r="AX36" s="2"/>
      <c r="AY36" s="2"/>
      <c r="AZ36" s="2"/>
      <c r="BA36" s="2"/>
      <c r="BB36" s="2"/>
      <c r="BC36" s="2"/>
      <c r="BD36" s="2"/>
      <c r="BE36" s="2"/>
      <c r="BF36" s="2"/>
      <c r="BG36" s="2"/>
      <c r="BH36" s="2"/>
      <c r="BI36" s="2"/>
      <c r="BJ36" s="2"/>
      <c r="BK36" s="2"/>
      <c r="BL36" s="2"/>
      <c r="BM36" s="2"/>
      <c r="BN36" s="2"/>
      <c r="BO36" s="2"/>
      <c r="BP36" s="2"/>
      <c r="BQ36" s="2"/>
      <c r="BR36" s="2"/>
      <c r="BS36" s="2"/>
      <c r="BT36" s="2"/>
      <c r="BU36" s="2"/>
      <c r="BV36" s="2"/>
      <c r="BW36" s="2"/>
      <c r="BX36" s="2"/>
      <c r="BY36" s="2"/>
      <c r="BZ36" s="2"/>
      <c r="CA36" s="2"/>
      <c r="CB36" s="2"/>
      <c r="CC36" s="2"/>
      <c r="CD36" s="2"/>
      <c r="CE36" s="2"/>
      <c r="CF36" s="2"/>
      <c r="CG36" s="2"/>
      <c r="CH36" s="2"/>
      <c r="CI36" s="2"/>
      <c r="CJ36" s="2"/>
      <c r="CK36" s="2"/>
      <c r="CL36" s="2"/>
      <c r="CM36" s="2"/>
      <c r="CN36" s="2"/>
      <c r="CO36" s="2"/>
      <c r="CP36" s="2"/>
      <c r="CQ36" s="2"/>
      <c r="CR36" s="2"/>
      <c r="CS36" s="2"/>
      <c r="CT36" s="2"/>
      <c r="CU36" s="2"/>
    </row>
    <row r="37" spans="1:99" x14ac:dyDescent="0.35">
      <c r="A37" s="1" t="s">
        <v>3827</v>
      </c>
      <c r="B37" s="1">
        <v>185311041</v>
      </c>
      <c r="C37" s="2"/>
      <c r="D37" s="2"/>
      <c r="E37" s="2"/>
      <c r="F37" s="2"/>
      <c r="G37" s="2"/>
      <c r="H37" s="2"/>
      <c r="I37" s="2"/>
      <c r="J37" s="2"/>
      <c r="K37" s="2"/>
      <c r="L37" s="2"/>
      <c r="M37" s="2"/>
      <c r="N37" s="2"/>
      <c r="O37" s="2"/>
      <c r="P37" s="2"/>
      <c r="Q37" s="2"/>
      <c r="R37" s="2"/>
      <c r="S37" s="2"/>
      <c r="T37" s="2"/>
      <c r="U37" s="2"/>
      <c r="V37" s="2"/>
      <c r="W37" s="2"/>
      <c r="X37" s="2"/>
      <c r="Y37" s="2"/>
      <c r="Z37" s="2"/>
      <c r="AA37" s="2"/>
      <c r="AB37" s="2"/>
      <c r="AC37" s="2"/>
      <c r="AD37" s="2"/>
      <c r="AE37" s="2"/>
      <c r="AF37" s="2"/>
      <c r="AG37" s="2"/>
      <c r="AH37" s="2"/>
      <c r="AI37" s="2"/>
      <c r="AJ37" s="2"/>
      <c r="AK37" s="2"/>
      <c r="AL37" s="2"/>
      <c r="AM37" s="2"/>
      <c r="AN37" s="2"/>
      <c r="AO37" s="2"/>
      <c r="AP37" s="2"/>
      <c r="AQ37" s="2"/>
      <c r="AR37" s="2"/>
      <c r="AS37" s="2"/>
      <c r="AT37" s="2"/>
      <c r="AU37" s="2"/>
      <c r="AV37" s="2"/>
      <c r="AW37" s="2"/>
      <c r="AX37" s="2"/>
      <c r="AY37" s="2"/>
      <c r="AZ37" s="2"/>
      <c r="BA37" s="2"/>
      <c r="BB37" s="2"/>
      <c r="BC37" s="2"/>
      <c r="BD37" s="2"/>
      <c r="BE37" s="2"/>
      <c r="BF37" s="2"/>
      <c r="BG37" s="2"/>
      <c r="BH37" s="2"/>
      <c r="BI37" s="2"/>
      <c r="BJ37" s="2"/>
      <c r="BK37" s="2"/>
      <c r="BL37" s="2"/>
      <c r="BM37" s="2"/>
      <c r="BN37" s="2"/>
      <c r="BO37" s="2"/>
      <c r="BP37" s="2"/>
      <c r="BQ37" s="2"/>
      <c r="BR37" s="2"/>
      <c r="BS37" s="2"/>
      <c r="BT37" s="2"/>
      <c r="BU37" s="2"/>
      <c r="BV37" s="2"/>
      <c r="BW37" s="2"/>
      <c r="BX37" s="2"/>
      <c r="BY37" s="2"/>
      <c r="BZ37" s="2"/>
      <c r="CA37" s="2"/>
      <c r="CB37" s="2"/>
      <c r="CC37" s="2"/>
      <c r="CD37" s="2"/>
      <c r="CE37" s="2"/>
      <c r="CF37" s="2"/>
      <c r="CG37" s="2"/>
      <c r="CH37" s="2"/>
      <c r="CI37" s="2"/>
      <c r="CJ37" s="2"/>
      <c r="CK37" s="2"/>
      <c r="CL37" s="2"/>
      <c r="CM37" s="2"/>
      <c r="CN37" s="2"/>
      <c r="CO37" s="2"/>
      <c r="CP37" s="2"/>
      <c r="CQ37" s="2"/>
      <c r="CR37" s="2"/>
      <c r="CS37" s="2"/>
      <c r="CT37" s="2"/>
      <c r="CU37" s="2"/>
    </row>
    <row r="38" spans="1:99" x14ac:dyDescent="0.35">
      <c r="A38" s="1" t="s">
        <v>3828</v>
      </c>
      <c r="B38" s="1">
        <v>185311042</v>
      </c>
      <c r="C38" s="2"/>
      <c r="D38" s="2"/>
      <c r="E38" s="2"/>
      <c r="F38" s="2"/>
      <c r="G38" s="2"/>
      <c r="H38" s="2"/>
      <c r="I38" s="2"/>
      <c r="J38" s="2"/>
      <c r="K38" s="2"/>
      <c r="L38" s="2"/>
      <c r="M38" s="2"/>
      <c r="N38" s="2"/>
      <c r="O38" s="2"/>
      <c r="P38" s="2"/>
      <c r="Q38" s="2"/>
      <c r="R38" s="2"/>
      <c r="S38" s="2"/>
      <c r="T38" s="2"/>
      <c r="U38" s="2"/>
      <c r="V38" s="2"/>
      <c r="W38" s="2"/>
      <c r="X38" s="2"/>
      <c r="Y38" s="2"/>
      <c r="Z38" s="2"/>
      <c r="AA38" s="2"/>
      <c r="AB38" s="2"/>
      <c r="AC38" s="2"/>
      <c r="AD38" s="2"/>
      <c r="AE38" s="2"/>
      <c r="AF38" s="2"/>
      <c r="AG38" s="2"/>
      <c r="AH38" s="2"/>
      <c r="AI38" s="2"/>
      <c r="AJ38" s="2"/>
      <c r="AK38" s="2"/>
      <c r="AL38" s="2"/>
      <c r="AM38" s="2"/>
      <c r="AN38" s="2"/>
      <c r="AO38" s="2"/>
      <c r="AP38" s="2"/>
      <c r="AQ38" s="2"/>
      <c r="AR38" s="2"/>
      <c r="AS38" s="2"/>
      <c r="AT38" s="2"/>
      <c r="AU38" s="2"/>
      <c r="AV38" s="2"/>
      <c r="AW38" s="2"/>
      <c r="AX38" s="2"/>
      <c r="AY38" s="2"/>
      <c r="AZ38" s="2"/>
      <c r="BA38" s="2"/>
      <c r="BB38" s="2"/>
      <c r="BC38" s="2"/>
      <c r="BD38" s="2"/>
      <c r="BE38" s="2"/>
      <c r="BF38" s="2"/>
      <c r="BG38" s="2"/>
      <c r="BH38" s="2"/>
      <c r="BI38" s="2"/>
      <c r="BJ38" s="2"/>
      <c r="BK38" s="2"/>
      <c r="BL38" s="2"/>
      <c r="BM38" s="2"/>
      <c r="BN38" s="2"/>
      <c r="BO38" s="2"/>
      <c r="BP38" s="2"/>
      <c r="BQ38" s="2"/>
      <c r="BR38" s="2"/>
      <c r="BS38" s="2"/>
      <c r="BT38" s="2"/>
      <c r="BU38" s="2"/>
      <c r="BV38" s="2"/>
      <c r="BW38" s="2"/>
      <c r="BX38" s="2"/>
      <c r="BY38" s="2"/>
      <c r="BZ38" s="2"/>
      <c r="CA38" s="2"/>
      <c r="CB38" s="2"/>
      <c r="CC38" s="2"/>
      <c r="CD38" s="2"/>
      <c r="CE38" s="2"/>
      <c r="CF38" s="2"/>
      <c r="CG38" s="2"/>
      <c r="CH38" s="2"/>
      <c r="CI38" s="2"/>
      <c r="CJ38" s="2"/>
      <c r="CK38" s="2"/>
      <c r="CL38" s="2"/>
      <c r="CM38" s="2"/>
      <c r="CN38" s="2"/>
      <c r="CO38" s="2"/>
      <c r="CP38" s="2"/>
      <c r="CQ38" s="2"/>
      <c r="CR38" s="2"/>
      <c r="CS38" s="2"/>
      <c r="CT38" s="2"/>
      <c r="CU38" s="2"/>
    </row>
    <row r="39" spans="1:99" x14ac:dyDescent="0.35">
      <c r="A39" s="1" t="s">
        <v>3829</v>
      </c>
      <c r="B39" s="1">
        <v>185311045</v>
      </c>
      <c r="C39" s="2"/>
      <c r="D39" s="2"/>
      <c r="E39" s="2"/>
      <c r="F39" s="2"/>
      <c r="G39" s="2"/>
      <c r="H39" s="2"/>
      <c r="I39" s="2"/>
      <c r="J39" s="2"/>
      <c r="K39" s="2"/>
      <c r="L39" s="2"/>
      <c r="M39" s="2"/>
      <c r="N39" s="2"/>
      <c r="O39" s="2"/>
      <c r="P39" s="2"/>
      <c r="Q39" s="2"/>
      <c r="R39" s="2"/>
      <c r="S39" s="2"/>
      <c r="T39" s="2"/>
      <c r="U39" s="2"/>
      <c r="V39" s="2"/>
      <c r="W39" s="2"/>
      <c r="X39" s="2"/>
      <c r="Y39" s="2"/>
      <c r="Z39" s="2"/>
      <c r="AA39" s="2"/>
      <c r="AB39" s="2"/>
      <c r="AC39" s="2"/>
      <c r="AD39" s="2"/>
      <c r="AE39" s="2"/>
      <c r="AF39" s="2"/>
      <c r="AG39" s="2"/>
      <c r="AH39" s="2"/>
      <c r="AI39" s="2"/>
      <c r="AJ39" s="2"/>
      <c r="AK39" s="2"/>
      <c r="AL39" s="2"/>
      <c r="AM39" s="2"/>
      <c r="AN39" s="2"/>
      <c r="AO39" s="2"/>
      <c r="AP39" s="2"/>
      <c r="AQ39" s="2"/>
      <c r="AR39" s="2"/>
      <c r="AS39" s="2"/>
      <c r="AT39" s="2"/>
      <c r="AU39" s="2"/>
      <c r="AV39" s="2"/>
      <c r="AW39" s="2"/>
      <c r="AX39" s="2"/>
      <c r="AY39" s="2"/>
      <c r="AZ39" s="2"/>
      <c r="BA39" s="2"/>
      <c r="BB39" s="2"/>
      <c r="BC39" s="2"/>
      <c r="BD39" s="2"/>
      <c r="BE39" s="2"/>
      <c r="BF39" s="2"/>
      <c r="BG39" s="2"/>
      <c r="BH39" s="2"/>
      <c r="BI39" s="2"/>
      <c r="BJ39" s="2"/>
      <c r="BK39" s="2"/>
      <c r="BL39" s="2"/>
      <c r="BM39" s="2"/>
      <c r="BN39" s="2"/>
      <c r="BO39" s="2"/>
      <c r="BP39" s="2"/>
      <c r="BQ39" s="2"/>
      <c r="BR39" s="2"/>
      <c r="BS39" s="2"/>
      <c r="BT39" s="2"/>
      <c r="BU39" s="2"/>
      <c r="BV39" s="2"/>
      <c r="BW39" s="2"/>
      <c r="BX39" s="2"/>
      <c r="BY39" s="2"/>
      <c r="BZ39" s="2"/>
      <c r="CA39" s="2"/>
      <c r="CB39" s="2"/>
      <c r="CC39" s="2"/>
      <c r="CD39" s="2"/>
      <c r="CE39" s="2"/>
      <c r="CF39" s="2"/>
      <c r="CG39" s="2"/>
      <c r="CH39" s="2"/>
      <c r="CI39" s="2"/>
      <c r="CJ39" s="2"/>
      <c r="CK39" s="2"/>
      <c r="CL39" s="2"/>
      <c r="CM39" s="2"/>
      <c r="CN39" s="2"/>
      <c r="CO39" s="2"/>
      <c r="CP39" s="2"/>
      <c r="CQ39" s="2"/>
      <c r="CR39" s="2"/>
      <c r="CS39" s="2"/>
      <c r="CT39" s="2"/>
      <c r="CU39" s="2"/>
    </row>
    <row r="40" spans="1:99" x14ac:dyDescent="0.35">
      <c r="A40" s="1" t="s">
        <v>3830</v>
      </c>
      <c r="B40" s="1">
        <v>185311046</v>
      </c>
      <c r="C40" s="2"/>
      <c r="D40" s="2"/>
      <c r="E40" s="2"/>
      <c r="F40" s="2"/>
      <c r="G40" s="2"/>
      <c r="H40" s="2"/>
      <c r="I40" s="2"/>
      <c r="J40" s="2"/>
      <c r="K40" s="2"/>
      <c r="L40" s="2"/>
      <c r="M40" s="2"/>
      <c r="N40" s="2"/>
      <c r="O40" s="2"/>
      <c r="P40" s="2"/>
      <c r="Q40" s="2"/>
      <c r="R40" s="2"/>
      <c r="S40" s="2"/>
      <c r="T40" s="2"/>
      <c r="U40" s="2"/>
      <c r="V40" s="2"/>
      <c r="W40" s="2"/>
      <c r="X40" s="2"/>
      <c r="Y40" s="2"/>
      <c r="Z40" s="2"/>
      <c r="AA40" s="2"/>
      <c r="AB40" s="2"/>
      <c r="AC40" s="2"/>
      <c r="AD40" s="2"/>
      <c r="AE40" s="2"/>
      <c r="AF40" s="2"/>
      <c r="AG40" s="2"/>
      <c r="AH40" s="2"/>
      <c r="AI40" s="2"/>
      <c r="AJ40" s="2"/>
      <c r="AK40" s="2"/>
      <c r="AL40" s="2"/>
      <c r="AM40" s="2"/>
      <c r="AN40" s="2"/>
      <c r="AO40" s="2"/>
      <c r="AP40" s="2"/>
      <c r="AQ40" s="2"/>
      <c r="AR40" s="2"/>
      <c r="AS40" s="2"/>
      <c r="AT40" s="2"/>
      <c r="AU40" s="2"/>
      <c r="AV40" s="2"/>
      <c r="AW40" s="2"/>
      <c r="AX40" s="2"/>
      <c r="AY40" s="2"/>
      <c r="AZ40" s="2"/>
      <c r="BA40" s="2"/>
      <c r="BB40" s="2"/>
      <c r="BC40" s="2"/>
      <c r="BD40" s="2"/>
      <c r="BE40" s="2"/>
      <c r="BF40" s="2"/>
      <c r="BG40" s="2"/>
      <c r="BH40" s="2"/>
      <c r="BI40" s="2"/>
      <c r="BJ40" s="2"/>
      <c r="BK40" s="2"/>
      <c r="BL40" s="2"/>
      <c r="BM40" s="2"/>
      <c r="BN40" s="2"/>
      <c r="BO40" s="2"/>
      <c r="BP40" s="2"/>
      <c r="BQ40" s="2"/>
      <c r="BR40" s="2"/>
      <c r="BS40" s="2"/>
      <c r="BT40" s="2"/>
      <c r="BU40" s="2"/>
      <c r="BV40" s="2"/>
      <c r="BW40" s="2"/>
      <c r="BX40" s="2"/>
      <c r="BY40" s="2"/>
      <c r="BZ40" s="2"/>
      <c r="CA40" s="2"/>
      <c r="CB40" s="2"/>
      <c r="CC40" s="2"/>
      <c r="CD40" s="2"/>
      <c r="CE40" s="2"/>
      <c r="CF40" s="2"/>
      <c r="CG40" s="2"/>
      <c r="CH40" s="2"/>
      <c r="CI40" s="2"/>
      <c r="CJ40" s="2"/>
      <c r="CK40" s="2"/>
      <c r="CL40" s="2"/>
      <c r="CM40" s="2"/>
      <c r="CN40" s="2"/>
      <c r="CO40" s="2"/>
      <c r="CP40" s="2"/>
      <c r="CQ40" s="2"/>
      <c r="CR40" s="2"/>
      <c r="CS40" s="2"/>
      <c r="CT40" s="2"/>
      <c r="CU40" s="2"/>
    </row>
    <row r="41" spans="1:99" x14ac:dyDescent="0.35">
      <c r="A41" s="1" t="s">
        <v>3831</v>
      </c>
      <c r="B41" s="1">
        <v>185311049</v>
      </c>
      <c r="C41" s="2"/>
      <c r="D41" s="2"/>
      <c r="E41" s="2"/>
      <c r="F41" s="2"/>
      <c r="G41" s="2"/>
      <c r="H41" s="2"/>
      <c r="I41" s="2"/>
      <c r="J41" s="2"/>
      <c r="K41" s="2"/>
      <c r="L41" s="2"/>
      <c r="M41" s="2"/>
      <c r="N41" s="2"/>
      <c r="O41" s="2"/>
      <c r="P41" s="2"/>
      <c r="Q41" s="2"/>
      <c r="R41" s="2"/>
      <c r="S41" s="2"/>
      <c r="T41" s="2"/>
      <c r="U41" s="2"/>
      <c r="V41" s="2"/>
      <c r="W41" s="2"/>
      <c r="X41" s="2"/>
      <c r="Y41" s="2"/>
      <c r="Z41" s="2"/>
      <c r="AA41" s="2"/>
      <c r="AB41" s="2"/>
      <c r="AC41" s="2"/>
      <c r="AD41" s="2"/>
      <c r="AE41" s="2"/>
      <c r="AF41" s="2"/>
      <c r="AG41" s="2"/>
      <c r="AH41" s="2"/>
      <c r="AI41" s="2"/>
      <c r="AJ41" s="2"/>
      <c r="AK41" s="2"/>
      <c r="AL41" s="2"/>
      <c r="AM41" s="2"/>
      <c r="AN41" s="2"/>
      <c r="AO41" s="2"/>
      <c r="AP41" s="2"/>
      <c r="AQ41" s="2"/>
      <c r="AR41" s="2"/>
      <c r="AS41" s="2"/>
      <c r="AT41" s="2"/>
      <c r="AU41" s="2"/>
      <c r="AV41" s="2"/>
      <c r="AW41" s="2"/>
      <c r="AX41" s="2"/>
      <c r="AY41" s="2"/>
      <c r="AZ41" s="2"/>
      <c r="BA41" s="2"/>
      <c r="BB41" s="2"/>
      <c r="BC41" s="2"/>
      <c r="BD41" s="2"/>
      <c r="BE41" s="2"/>
      <c r="BF41" s="2"/>
      <c r="BG41" s="2"/>
      <c r="BH41" s="2"/>
      <c r="BI41" s="2"/>
      <c r="BJ41" s="2"/>
      <c r="BK41" s="2"/>
      <c r="BL41" s="2"/>
      <c r="BM41" s="2"/>
      <c r="BN41" s="2"/>
      <c r="BO41" s="2"/>
      <c r="BP41" s="2"/>
      <c r="BQ41" s="2"/>
      <c r="BR41" s="2"/>
      <c r="BS41" s="2"/>
      <c r="BT41" s="2"/>
      <c r="BU41" s="2"/>
      <c r="BV41" s="2"/>
      <c r="BW41" s="2"/>
      <c r="BX41" s="2"/>
      <c r="BY41" s="2"/>
      <c r="BZ41" s="2"/>
      <c r="CA41" s="2"/>
      <c r="CB41" s="2"/>
      <c r="CC41" s="2"/>
      <c r="CD41" s="2"/>
      <c r="CE41" s="2"/>
      <c r="CF41" s="2"/>
      <c r="CG41" s="2"/>
      <c r="CH41" s="2"/>
      <c r="CI41" s="2"/>
      <c r="CJ41" s="2"/>
      <c r="CK41" s="2"/>
      <c r="CL41" s="2"/>
      <c r="CM41" s="2"/>
      <c r="CN41" s="2"/>
      <c r="CO41" s="2"/>
      <c r="CP41" s="2"/>
      <c r="CQ41" s="2"/>
      <c r="CR41" s="2"/>
      <c r="CS41" s="2"/>
      <c r="CT41" s="2"/>
      <c r="CU41" s="2"/>
    </row>
    <row r="42" spans="1:99" x14ac:dyDescent="0.35">
      <c r="A42" s="1" t="s">
        <v>3832</v>
      </c>
      <c r="B42" s="1">
        <v>185311050</v>
      </c>
      <c r="C42" s="2"/>
      <c r="D42" s="2"/>
      <c r="E42" s="2"/>
      <c r="F42" s="2"/>
      <c r="G42" s="2"/>
      <c r="H42" s="2"/>
      <c r="I42" s="2"/>
      <c r="J42" s="2"/>
      <c r="K42" s="2"/>
      <c r="L42" s="2"/>
      <c r="M42" s="2"/>
      <c r="N42" s="2"/>
      <c r="O42" s="2"/>
      <c r="P42" s="2"/>
      <c r="Q42" s="2"/>
      <c r="R42" s="2"/>
      <c r="S42" s="2"/>
      <c r="T42" s="2"/>
      <c r="U42" s="2"/>
      <c r="V42" s="2"/>
      <c r="W42" s="2"/>
      <c r="X42" s="2"/>
      <c r="Y42" s="2"/>
      <c r="Z42" s="2"/>
      <c r="AA42" s="2"/>
      <c r="AB42" s="2"/>
      <c r="AC42" s="2"/>
      <c r="AD42" s="2"/>
      <c r="AE42" s="2"/>
      <c r="AF42" s="2"/>
      <c r="AG42" s="2"/>
      <c r="AH42" s="2"/>
      <c r="AI42" s="2"/>
      <c r="AJ42" s="2"/>
      <c r="AK42" s="2"/>
      <c r="AL42" s="2"/>
      <c r="AM42" s="2"/>
      <c r="AN42" s="2"/>
      <c r="AO42" s="2"/>
      <c r="AP42" s="2"/>
      <c r="AQ42" s="2"/>
      <c r="AR42" s="2"/>
      <c r="AS42" s="2"/>
      <c r="AT42" s="2"/>
      <c r="AU42" s="2"/>
      <c r="AV42" s="2"/>
      <c r="AW42" s="2"/>
      <c r="AX42" s="2"/>
      <c r="AY42" s="2"/>
      <c r="AZ42" s="2"/>
      <c r="BA42" s="2"/>
      <c r="BB42" s="2"/>
      <c r="BC42" s="2"/>
      <c r="BD42" s="2"/>
      <c r="BE42" s="2"/>
      <c r="BF42" s="2"/>
      <c r="BG42" s="2"/>
      <c r="BH42" s="2"/>
      <c r="BI42" s="2"/>
      <c r="BJ42" s="2"/>
      <c r="BK42" s="2"/>
      <c r="BL42" s="2"/>
      <c r="BM42" s="2"/>
      <c r="BN42" s="2"/>
      <c r="BO42" s="2"/>
      <c r="BP42" s="2"/>
      <c r="BQ42" s="2"/>
      <c r="BR42" s="2"/>
      <c r="BS42" s="2"/>
      <c r="BT42" s="2"/>
      <c r="BU42" s="2"/>
      <c r="BV42" s="2"/>
      <c r="BW42" s="2"/>
      <c r="BX42" s="2"/>
      <c r="BY42" s="2"/>
      <c r="BZ42" s="2"/>
      <c r="CA42" s="2"/>
      <c r="CB42" s="2"/>
      <c r="CC42" s="2"/>
      <c r="CD42" s="2"/>
      <c r="CE42" s="2"/>
      <c r="CF42" s="2"/>
      <c r="CG42" s="2"/>
      <c r="CH42" s="2"/>
      <c r="CI42" s="2"/>
      <c r="CJ42" s="2"/>
      <c r="CK42" s="2"/>
      <c r="CL42" s="2"/>
      <c r="CM42" s="2"/>
      <c r="CN42" s="2"/>
      <c r="CO42" s="2"/>
      <c r="CP42" s="2"/>
      <c r="CQ42" s="2"/>
      <c r="CR42" s="2"/>
      <c r="CS42" s="2"/>
      <c r="CT42" s="2"/>
      <c r="CU42" s="2"/>
    </row>
    <row r="43" spans="1:99" x14ac:dyDescent="0.35">
      <c r="A43" s="1" t="s">
        <v>3833</v>
      </c>
      <c r="B43" s="1">
        <v>185311051</v>
      </c>
      <c r="C43" s="2"/>
      <c r="D43" s="2"/>
      <c r="E43" s="2"/>
      <c r="F43" s="2"/>
      <c r="G43" s="2"/>
      <c r="H43" s="2"/>
      <c r="I43" s="2"/>
      <c r="J43" s="2"/>
      <c r="K43" s="2"/>
      <c r="L43" s="2"/>
      <c r="M43" s="2"/>
      <c r="N43" s="2"/>
      <c r="O43" s="2"/>
      <c r="P43" s="2"/>
      <c r="Q43" s="2"/>
      <c r="R43" s="2"/>
      <c r="S43" s="2"/>
      <c r="T43" s="2"/>
      <c r="U43" s="2"/>
      <c r="V43" s="2"/>
      <c r="W43" s="2"/>
      <c r="X43" s="2"/>
      <c r="Y43" s="2"/>
      <c r="Z43" s="2"/>
      <c r="AA43" s="2"/>
      <c r="AB43" s="2"/>
      <c r="AC43" s="2"/>
      <c r="AD43" s="2"/>
      <c r="AE43" s="2"/>
      <c r="AF43" s="2"/>
      <c r="AG43" s="2"/>
      <c r="AH43" s="2"/>
      <c r="AI43" s="2"/>
      <c r="AJ43" s="2"/>
      <c r="AK43" s="2"/>
      <c r="AL43" s="2"/>
      <c r="AM43" s="2"/>
      <c r="AN43" s="2"/>
      <c r="AO43" s="2"/>
      <c r="AP43" s="2"/>
      <c r="AQ43" s="2"/>
      <c r="AR43" s="2"/>
      <c r="AS43" s="2"/>
      <c r="AT43" s="2"/>
      <c r="AU43" s="2"/>
      <c r="AV43" s="2"/>
      <c r="AW43" s="2"/>
      <c r="AX43" s="2"/>
      <c r="AY43" s="2"/>
      <c r="AZ43" s="2"/>
      <c r="BA43" s="2"/>
      <c r="BB43" s="2"/>
      <c r="BC43" s="2"/>
      <c r="BD43" s="2"/>
      <c r="BE43" s="2"/>
      <c r="BF43" s="2"/>
      <c r="BG43" s="2"/>
      <c r="BH43" s="2"/>
      <c r="BI43" s="2"/>
      <c r="BJ43" s="2"/>
      <c r="BK43" s="2"/>
      <c r="BL43" s="2"/>
      <c r="BM43" s="2"/>
      <c r="BN43" s="2"/>
      <c r="BO43" s="2"/>
      <c r="BP43" s="2"/>
      <c r="BQ43" s="2"/>
      <c r="BR43" s="2"/>
      <c r="BS43" s="2"/>
      <c r="BT43" s="2"/>
      <c r="BU43" s="2"/>
      <c r="BV43" s="2"/>
      <c r="BW43" s="2"/>
      <c r="BX43" s="2"/>
      <c r="BY43" s="2"/>
      <c r="BZ43" s="2"/>
      <c r="CA43" s="2"/>
      <c r="CB43" s="2"/>
      <c r="CC43" s="2"/>
      <c r="CD43" s="2"/>
      <c r="CE43" s="2"/>
      <c r="CF43" s="2"/>
      <c r="CG43" s="2"/>
      <c r="CH43" s="2"/>
      <c r="CI43" s="2"/>
      <c r="CJ43" s="2"/>
      <c r="CK43" s="2"/>
      <c r="CL43" s="2"/>
      <c r="CM43" s="2"/>
      <c r="CN43" s="2"/>
      <c r="CO43" s="2"/>
      <c r="CP43" s="2"/>
      <c r="CQ43" s="2"/>
      <c r="CR43" s="2"/>
      <c r="CS43" s="2"/>
      <c r="CT43" s="2"/>
      <c r="CU43" s="2"/>
    </row>
    <row r="44" spans="1:99" x14ac:dyDescent="0.35">
      <c r="A44" s="1" t="s">
        <v>3834</v>
      </c>
      <c r="B44" s="1">
        <v>185311054</v>
      </c>
      <c r="C44" s="2"/>
      <c r="D44" s="2"/>
      <c r="E44" s="2"/>
      <c r="F44" s="2"/>
      <c r="G44" s="2"/>
      <c r="H44" s="2"/>
      <c r="I44" s="2"/>
      <c r="J44" s="2"/>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2"/>
      <c r="AN44" s="2"/>
      <c r="AO44" s="2"/>
      <c r="AP44" s="2"/>
      <c r="AQ44" s="2"/>
      <c r="AR44" s="2"/>
      <c r="AS44" s="2"/>
      <c r="AT44" s="2"/>
      <c r="AU44" s="2"/>
      <c r="AV44" s="2"/>
      <c r="AW44" s="2"/>
      <c r="AX44" s="2"/>
      <c r="AY44" s="2"/>
      <c r="AZ44" s="2"/>
      <c r="BA44" s="2"/>
      <c r="BB44" s="2"/>
      <c r="BC44" s="2"/>
      <c r="BD44" s="2"/>
      <c r="BE44" s="2"/>
      <c r="BF44" s="2"/>
      <c r="BG44" s="2"/>
      <c r="BH44" s="2"/>
      <c r="BI44" s="2"/>
      <c r="BJ44" s="2"/>
      <c r="BK44" s="2"/>
      <c r="BL44" s="2"/>
      <c r="BM44" s="2"/>
      <c r="BN44" s="2"/>
      <c r="BO44" s="2"/>
      <c r="BP44" s="2"/>
      <c r="BQ44" s="2"/>
      <c r="BR44" s="2"/>
      <c r="BS44" s="2"/>
      <c r="BT44" s="2"/>
      <c r="BU44" s="2"/>
      <c r="BV44" s="2"/>
      <c r="BW44" s="2"/>
      <c r="BX44" s="2"/>
      <c r="BY44" s="2"/>
      <c r="BZ44" s="2"/>
      <c r="CA44" s="2"/>
      <c r="CB44" s="2"/>
      <c r="CC44" s="2"/>
      <c r="CD44" s="2"/>
      <c r="CE44" s="2"/>
      <c r="CF44" s="2"/>
      <c r="CG44" s="2"/>
      <c r="CH44" s="2"/>
      <c r="CI44" s="2"/>
      <c r="CJ44" s="2"/>
      <c r="CK44" s="2"/>
      <c r="CL44" s="2"/>
      <c r="CM44" s="2"/>
      <c r="CN44" s="2"/>
      <c r="CO44" s="2"/>
      <c r="CP44" s="2"/>
      <c r="CQ44" s="2"/>
      <c r="CR44" s="2"/>
      <c r="CS44" s="2"/>
      <c r="CT44" s="2"/>
      <c r="CU44" s="2"/>
    </row>
    <row r="45" spans="1:99" x14ac:dyDescent="0.35">
      <c r="A45" s="1" t="s">
        <v>3835</v>
      </c>
      <c r="B45" s="1">
        <v>185311063</v>
      </c>
      <c r="C45" s="2"/>
      <c r="D45" s="2"/>
      <c r="E45" s="2"/>
      <c r="F45" s="2"/>
      <c r="G45" s="2"/>
      <c r="H45" s="2"/>
      <c r="I45" s="2"/>
      <c r="J45" s="2"/>
      <c r="K45" s="2"/>
      <c r="L45" s="2"/>
      <c r="M45" s="2"/>
      <c r="N45" s="2"/>
      <c r="O45" s="2"/>
      <c r="P45" s="2"/>
      <c r="Q45" s="2"/>
      <c r="R45" s="2"/>
      <c r="S45" s="2"/>
      <c r="T45" s="2"/>
      <c r="U45" s="2"/>
      <c r="V45" s="2"/>
      <c r="W45" s="2"/>
      <c r="X45" s="2"/>
      <c r="Y45" s="2"/>
      <c r="Z45" s="2"/>
      <c r="AA45" s="2"/>
      <c r="AB45" s="2"/>
      <c r="AC45" s="2"/>
      <c r="AD45" s="2"/>
      <c r="AE45" s="2"/>
      <c r="AF45" s="2"/>
      <c r="AG45" s="2"/>
      <c r="AH45" s="2"/>
      <c r="AI45" s="2"/>
      <c r="AJ45" s="2"/>
      <c r="AK45" s="2"/>
      <c r="AL45" s="2"/>
      <c r="AM45" s="2"/>
      <c r="AN45" s="2"/>
      <c r="AO45" s="2"/>
      <c r="AP45" s="2"/>
      <c r="AQ45" s="2"/>
      <c r="AR45" s="2"/>
      <c r="AS45" s="2"/>
      <c r="AT45" s="2"/>
      <c r="AU45" s="2"/>
      <c r="AV45" s="2"/>
      <c r="AW45" s="2"/>
      <c r="AX45" s="2"/>
      <c r="AY45" s="2"/>
      <c r="AZ45" s="2"/>
      <c r="BA45" s="2"/>
      <c r="BB45" s="2"/>
      <c r="BC45" s="2"/>
      <c r="BD45" s="2"/>
      <c r="BE45" s="2"/>
      <c r="BF45" s="2"/>
      <c r="BG45" s="2"/>
      <c r="BH45" s="2"/>
      <c r="BI45" s="2"/>
      <c r="BJ45" s="2"/>
      <c r="BK45" s="2"/>
      <c r="BL45" s="2"/>
      <c r="BM45" s="2"/>
      <c r="BN45" s="2"/>
      <c r="BO45" s="2"/>
      <c r="BP45" s="2"/>
      <c r="BQ45" s="2"/>
      <c r="BR45" s="2"/>
      <c r="BS45" s="2"/>
      <c r="BT45" s="2"/>
      <c r="BU45" s="2"/>
      <c r="BV45" s="2"/>
      <c r="BW45" s="2"/>
      <c r="BX45" s="2"/>
      <c r="BY45" s="2"/>
      <c r="BZ45" s="2"/>
      <c r="CA45" s="2"/>
      <c r="CB45" s="2"/>
      <c r="CC45" s="2"/>
      <c r="CD45" s="2"/>
      <c r="CE45" s="2"/>
      <c r="CF45" s="2"/>
      <c r="CG45" s="2"/>
      <c r="CH45" s="2"/>
      <c r="CI45" s="2"/>
      <c r="CJ45" s="2"/>
      <c r="CK45" s="2"/>
      <c r="CL45" s="2"/>
      <c r="CM45" s="2"/>
      <c r="CN45" s="2"/>
      <c r="CO45" s="2"/>
      <c r="CP45" s="2"/>
      <c r="CQ45" s="2"/>
      <c r="CR45" s="2"/>
      <c r="CS45" s="2"/>
      <c r="CT45" s="2"/>
      <c r="CU45" s="2"/>
    </row>
    <row r="46" spans="1:99" x14ac:dyDescent="0.35">
      <c r="A46" s="1" t="s">
        <v>4194</v>
      </c>
      <c r="B46" s="1">
        <v>185311048</v>
      </c>
      <c r="C46" s="1">
        <v>0</v>
      </c>
      <c r="D46" s="1">
        <v>1</v>
      </c>
      <c r="E46" s="1">
        <v>0</v>
      </c>
      <c r="F46" s="1">
        <v>0</v>
      </c>
      <c r="G46" s="1">
        <v>0</v>
      </c>
      <c r="H46" s="1">
        <v>0</v>
      </c>
      <c r="I46" s="1">
        <v>0</v>
      </c>
      <c r="J46" s="1">
        <v>0</v>
      </c>
      <c r="K46" s="1">
        <v>1</v>
      </c>
      <c r="L46" s="1">
        <v>0</v>
      </c>
      <c r="M46" s="1">
        <v>0</v>
      </c>
      <c r="N46" s="1">
        <v>0</v>
      </c>
      <c r="O46" s="1">
        <v>0</v>
      </c>
      <c r="P46" s="1">
        <v>3</v>
      </c>
      <c r="Q46" s="1">
        <v>2</v>
      </c>
      <c r="R46" s="1">
        <v>1</v>
      </c>
      <c r="S46" s="1">
        <v>1</v>
      </c>
      <c r="T46" s="1" t="s">
        <v>4195</v>
      </c>
      <c r="U46" s="1">
        <v>4</v>
      </c>
      <c r="V46" s="1">
        <v>3</v>
      </c>
      <c r="W46" s="1">
        <v>3</v>
      </c>
      <c r="X46" s="1">
        <v>3</v>
      </c>
      <c r="Y46" s="1">
        <v>3</v>
      </c>
      <c r="Z46" s="1">
        <v>4</v>
      </c>
      <c r="AA46" s="1">
        <v>4</v>
      </c>
      <c r="AC46" s="1">
        <v>2</v>
      </c>
      <c r="AE46" s="1">
        <v>3</v>
      </c>
      <c r="AF46" s="3">
        <v>3800000</v>
      </c>
      <c r="AG46" s="1">
        <v>13</v>
      </c>
      <c r="AT46" s="1" t="s">
        <v>86</v>
      </c>
      <c r="BP46" s="1">
        <v>3</v>
      </c>
      <c r="BQ46" s="1" t="s">
        <v>4196</v>
      </c>
      <c r="BR46" s="1" t="s">
        <v>4197</v>
      </c>
      <c r="BS46" s="1" t="s">
        <v>4198</v>
      </c>
      <c r="BT46" s="1" t="s">
        <v>79</v>
      </c>
      <c r="BU46" s="1">
        <v>4</v>
      </c>
      <c r="BV46" s="1">
        <v>2</v>
      </c>
      <c r="BW46" s="1">
        <v>0</v>
      </c>
      <c r="BX46" s="1">
        <v>1</v>
      </c>
      <c r="BY46" s="1">
        <v>0</v>
      </c>
      <c r="BZ46" s="1">
        <v>0</v>
      </c>
      <c r="CA46" s="1">
        <v>0</v>
      </c>
      <c r="CB46" s="1">
        <v>0</v>
      </c>
      <c r="CC46" s="1">
        <v>0</v>
      </c>
      <c r="CD46" s="1">
        <v>0</v>
      </c>
      <c r="CE46" s="1">
        <v>0</v>
      </c>
      <c r="CF46" s="1">
        <v>0</v>
      </c>
      <c r="CG46" s="1">
        <v>0</v>
      </c>
      <c r="CH46" s="1">
        <v>1</v>
      </c>
      <c r="CI46" s="1" t="s">
        <v>4199</v>
      </c>
      <c r="CJ46" s="1">
        <v>4</v>
      </c>
      <c r="CK46" s="1">
        <v>4</v>
      </c>
      <c r="CL46" s="1">
        <v>4</v>
      </c>
      <c r="CM46" s="1">
        <v>4</v>
      </c>
      <c r="CN46" s="1">
        <v>4</v>
      </c>
      <c r="CO46" s="1">
        <v>4</v>
      </c>
      <c r="CP46" s="1">
        <v>4</v>
      </c>
      <c r="CU46" s="1">
        <v>4</v>
      </c>
    </row>
    <row r="47" spans="1:99" x14ac:dyDescent="0.35">
      <c r="A47" s="1" t="s">
        <v>4200</v>
      </c>
      <c r="B47" s="1">
        <v>185311056</v>
      </c>
      <c r="C47" s="1">
        <v>0</v>
      </c>
      <c r="D47" s="1">
        <v>1</v>
      </c>
      <c r="E47" s="1">
        <v>0</v>
      </c>
      <c r="F47" s="1">
        <v>0</v>
      </c>
      <c r="G47" s="1">
        <v>0</v>
      </c>
      <c r="H47" s="1">
        <v>0</v>
      </c>
      <c r="I47" s="1">
        <v>0</v>
      </c>
      <c r="J47" s="1">
        <v>0</v>
      </c>
      <c r="K47" s="1">
        <v>1</v>
      </c>
      <c r="L47" s="1">
        <v>0</v>
      </c>
      <c r="M47" s="1">
        <v>0</v>
      </c>
      <c r="N47" s="1">
        <v>0</v>
      </c>
      <c r="O47" s="1">
        <v>0</v>
      </c>
      <c r="P47" s="1">
        <v>7</v>
      </c>
      <c r="Q47" s="1">
        <v>5</v>
      </c>
      <c r="R47" s="1">
        <v>3</v>
      </c>
      <c r="S47" s="1">
        <v>1</v>
      </c>
      <c r="T47" s="1">
        <v>1</v>
      </c>
      <c r="U47" s="1">
        <v>4</v>
      </c>
      <c r="V47" s="1">
        <v>3</v>
      </c>
      <c r="W47" s="1">
        <v>4</v>
      </c>
      <c r="X47" s="1">
        <v>4</v>
      </c>
      <c r="Y47" s="1">
        <v>4</v>
      </c>
      <c r="Z47" s="1">
        <v>4</v>
      </c>
      <c r="AA47" s="1">
        <v>4</v>
      </c>
      <c r="AC47" s="1">
        <v>2</v>
      </c>
      <c r="AE47" s="1">
        <v>7</v>
      </c>
      <c r="AF47" s="3">
        <v>1500000</v>
      </c>
      <c r="AG47" s="1">
        <v>12</v>
      </c>
      <c r="AS47" s="1" t="s">
        <v>69</v>
      </c>
      <c r="BP47" s="1">
        <v>3</v>
      </c>
      <c r="BQ47" s="1" t="s">
        <v>4201</v>
      </c>
      <c r="BR47" s="1" t="s">
        <v>4202</v>
      </c>
      <c r="BS47" s="1" t="s">
        <v>4203</v>
      </c>
      <c r="BT47" s="1" t="s">
        <v>79</v>
      </c>
      <c r="BU47" s="1">
        <v>5</v>
      </c>
      <c r="BV47" s="1">
        <v>1</v>
      </c>
      <c r="BW47" s="1">
        <v>0</v>
      </c>
      <c r="BX47" s="1">
        <v>1</v>
      </c>
      <c r="BY47" s="1">
        <v>0</v>
      </c>
      <c r="BZ47" s="1">
        <v>0</v>
      </c>
      <c r="CA47" s="1">
        <v>0</v>
      </c>
      <c r="CB47" s="1">
        <v>0</v>
      </c>
      <c r="CC47" s="1">
        <v>0</v>
      </c>
      <c r="CD47" s="1">
        <v>0</v>
      </c>
      <c r="CE47" s="1">
        <v>1</v>
      </c>
      <c r="CF47" s="1">
        <v>0</v>
      </c>
      <c r="CG47" s="1">
        <v>0</v>
      </c>
      <c r="CH47" s="1">
        <v>1</v>
      </c>
      <c r="CI47" s="1">
        <v>0</v>
      </c>
      <c r="CJ47" s="1">
        <v>4</v>
      </c>
      <c r="CK47" s="1">
        <v>4</v>
      </c>
      <c r="CL47" s="1">
        <v>3</v>
      </c>
      <c r="CM47" s="1">
        <v>4</v>
      </c>
      <c r="CN47" s="1">
        <v>4</v>
      </c>
      <c r="CO47" s="1">
        <v>4</v>
      </c>
      <c r="CP47" s="1">
        <v>4</v>
      </c>
      <c r="CU47" s="1">
        <v>4</v>
      </c>
    </row>
    <row r="48" spans="1:99" x14ac:dyDescent="0.35">
      <c r="A48" s="1" t="s">
        <v>4194</v>
      </c>
      <c r="B48" s="1">
        <v>185311048</v>
      </c>
      <c r="C48" s="1">
        <v>0</v>
      </c>
      <c r="D48" s="1">
        <v>1</v>
      </c>
      <c r="E48" s="1">
        <v>0</v>
      </c>
      <c r="F48" s="1">
        <v>0</v>
      </c>
      <c r="G48" s="1">
        <v>0</v>
      </c>
      <c r="H48" s="1">
        <v>0</v>
      </c>
      <c r="I48" s="1">
        <v>0</v>
      </c>
      <c r="J48" s="1">
        <v>0</v>
      </c>
      <c r="K48" s="1">
        <v>1</v>
      </c>
      <c r="L48" s="1">
        <v>0</v>
      </c>
      <c r="M48" s="1">
        <v>0</v>
      </c>
      <c r="N48" s="1">
        <v>0</v>
      </c>
      <c r="O48" s="1">
        <v>0</v>
      </c>
      <c r="P48" s="1">
        <v>3</v>
      </c>
      <c r="Q48" s="1">
        <v>2</v>
      </c>
      <c r="R48" s="1">
        <v>1</v>
      </c>
      <c r="S48" s="1">
        <v>1</v>
      </c>
      <c r="T48" s="1" t="s">
        <v>4195</v>
      </c>
      <c r="U48" s="1">
        <v>4</v>
      </c>
      <c r="V48" s="1">
        <v>3</v>
      </c>
      <c r="W48" s="1">
        <v>3</v>
      </c>
      <c r="X48" s="1">
        <v>3</v>
      </c>
      <c r="Y48" s="1">
        <v>3</v>
      </c>
      <c r="Z48" s="1">
        <v>4</v>
      </c>
      <c r="AA48" s="1">
        <v>4</v>
      </c>
      <c r="AC48" s="1">
        <v>2</v>
      </c>
      <c r="AE48" s="1">
        <v>3</v>
      </c>
      <c r="AF48" s="3">
        <v>3800000</v>
      </c>
      <c r="AG48" s="1">
        <v>13</v>
      </c>
      <c r="AT48" s="1" t="s">
        <v>86</v>
      </c>
      <c r="BP48" s="1">
        <v>3</v>
      </c>
      <c r="BQ48" s="1" t="s">
        <v>4196</v>
      </c>
      <c r="BR48" s="1" t="s">
        <v>4197</v>
      </c>
      <c r="BS48" s="1" t="s">
        <v>4198</v>
      </c>
      <c r="BT48" s="1" t="s">
        <v>79</v>
      </c>
      <c r="BU48" s="1">
        <v>4</v>
      </c>
      <c r="BV48" s="1">
        <v>2</v>
      </c>
      <c r="BW48" s="1">
        <v>0</v>
      </c>
      <c r="BX48" s="1">
        <v>1</v>
      </c>
      <c r="BY48" s="1">
        <v>0</v>
      </c>
      <c r="BZ48" s="1">
        <v>0</v>
      </c>
      <c r="CA48" s="1">
        <v>0</v>
      </c>
      <c r="CB48" s="1">
        <v>0</v>
      </c>
      <c r="CC48" s="1">
        <v>0</v>
      </c>
      <c r="CD48" s="1">
        <v>0</v>
      </c>
      <c r="CE48" s="1">
        <v>0</v>
      </c>
      <c r="CF48" s="1">
        <v>0</v>
      </c>
      <c r="CG48" s="1">
        <v>0</v>
      </c>
      <c r="CH48" s="1">
        <v>1</v>
      </c>
      <c r="CI48" s="1" t="s">
        <v>4199</v>
      </c>
      <c r="CJ48" s="1">
        <v>4</v>
      </c>
      <c r="CK48" s="1">
        <v>4</v>
      </c>
      <c r="CL48" s="1">
        <v>4</v>
      </c>
      <c r="CM48" s="1">
        <v>4</v>
      </c>
      <c r="CN48" s="1">
        <v>4</v>
      </c>
      <c r="CO48" s="1">
        <v>4</v>
      </c>
      <c r="CP48" s="1">
        <v>4</v>
      </c>
      <c r="CU48" s="1">
        <v>4</v>
      </c>
    </row>
    <row r="49" spans="1:99" x14ac:dyDescent="0.35">
      <c r="A49" s="1" t="s">
        <v>4200</v>
      </c>
      <c r="B49" s="1">
        <v>185311056</v>
      </c>
      <c r="C49" s="1">
        <v>0</v>
      </c>
      <c r="D49" s="1">
        <v>1</v>
      </c>
      <c r="E49" s="1">
        <v>0</v>
      </c>
      <c r="F49" s="1">
        <v>0</v>
      </c>
      <c r="G49" s="1">
        <v>0</v>
      </c>
      <c r="H49" s="1">
        <v>0</v>
      </c>
      <c r="I49" s="1">
        <v>0</v>
      </c>
      <c r="J49" s="1">
        <v>0</v>
      </c>
      <c r="K49" s="1">
        <v>1</v>
      </c>
      <c r="L49" s="1">
        <v>0</v>
      </c>
      <c r="M49" s="1">
        <v>0</v>
      </c>
      <c r="N49" s="1">
        <v>0</v>
      </c>
      <c r="O49" s="1">
        <v>0</v>
      </c>
      <c r="P49" s="1">
        <v>7</v>
      </c>
      <c r="Q49" s="1">
        <v>5</v>
      </c>
      <c r="R49" s="1">
        <v>3</v>
      </c>
      <c r="S49" s="1">
        <v>1</v>
      </c>
      <c r="T49" s="1">
        <v>1</v>
      </c>
      <c r="U49" s="1">
        <v>4</v>
      </c>
      <c r="V49" s="1">
        <v>3</v>
      </c>
      <c r="W49" s="1">
        <v>4</v>
      </c>
      <c r="X49" s="1">
        <v>4</v>
      </c>
      <c r="Y49" s="1">
        <v>4</v>
      </c>
      <c r="Z49" s="1">
        <v>4</v>
      </c>
      <c r="AA49" s="1">
        <v>4</v>
      </c>
      <c r="AC49" s="1">
        <v>2</v>
      </c>
      <c r="AE49" s="1">
        <v>7</v>
      </c>
      <c r="AF49" s="3">
        <v>1500000</v>
      </c>
      <c r="AG49" s="1">
        <v>12</v>
      </c>
      <c r="AS49" s="1" t="s">
        <v>69</v>
      </c>
      <c r="BP49" s="1">
        <v>3</v>
      </c>
      <c r="BQ49" s="1" t="s">
        <v>4201</v>
      </c>
      <c r="BR49" s="1" t="s">
        <v>4202</v>
      </c>
      <c r="BS49" s="1" t="s">
        <v>4203</v>
      </c>
      <c r="BT49" s="1" t="s">
        <v>79</v>
      </c>
      <c r="BU49" s="1">
        <v>5</v>
      </c>
      <c r="BV49" s="1">
        <v>1</v>
      </c>
      <c r="BW49" s="1">
        <v>0</v>
      </c>
      <c r="BX49" s="1">
        <v>1</v>
      </c>
      <c r="BY49" s="1">
        <v>0</v>
      </c>
      <c r="BZ49" s="1">
        <v>0</v>
      </c>
      <c r="CA49" s="1">
        <v>0</v>
      </c>
      <c r="CB49" s="1">
        <v>0</v>
      </c>
      <c r="CC49" s="1">
        <v>0</v>
      </c>
      <c r="CD49" s="1">
        <v>0</v>
      </c>
      <c r="CE49" s="1">
        <v>1</v>
      </c>
      <c r="CF49" s="1">
        <v>0</v>
      </c>
      <c r="CG49" s="1">
        <v>0</v>
      </c>
      <c r="CH49" s="1">
        <v>1</v>
      </c>
      <c r="CI49" s="1">
        <v>0</v>
      </c>
      <c r="CJ49" s="1">
        <v>4</v>
      </c>
      <c r="CK49" s="1">
        <v>4</v>
      </c>
      <c r="CL49" s="1">
        <v>3</v>
      </c>
      <c r="CM49" s="1">
        <v>4</v>
      </c>
      <c r="CN49" s="1">
        <v>4</v>
      </c>
      <c r="CO49" s="1">
        <v>4</v>
      </c>
      <c r="CP49" s="1">
        <v>4</v>
      </c>
      <c r="CU49" s="1">
        <v>4</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22CD7C-2688-4A1F-AF89-2A25041AE189}">
  <dimension ref="A1:CU61"/>
  <sheetViews>
    <sheetView topLeftCell="T1" zoomScale="55" zoomScaleNormal="55" workbookViewId="0">
      <pane ySplit="1" topLeftCell="A2" activePane="bottomLeft" state="frozen"/>
      <selection pane="bottomLeft" activeCell="T1" sqref="T1"/>
    </sheetView>
  </sheetViews>
  <sheetFormatPr defaultColWidth="8.90625" defaultRowHeight="14.5" x14ac:dyDescent="0.35"/>
  <cols>
    <col min="1" max="1" width="32.1796875" style="1" bestFit="1" customWidth="1"/>
    <col min="2" max="2" width="10" style="1" customWidth="1"/>
    <col min="3" max="9" width="64.08984375" style="1" bestFit="1" customWidth="1"/>
    <col min="10" max="14" width="65.08984375" style="1" bestFit="1" customWidth="1"/>
    <col min="15" max="15" width="80.26953125" style="1" bestFit="1" customWidth="1"/>
    <col min="16" max="16" width="110" style="1" bestFit="1" customWidth="1"/>
    <col min="17" max="17" width="63.90625" style="1" bestFit="1" customWidth="1"/>
    <col min="18" max="18" width="73" style="1" bestFit="1" customWidth="1"/>
    <col min="19" max="19" width="25" style="1" bestFit="1" customWidth="1"/>
    <col min="20" max="20" width="41.26953125" style="1" bestFit="1" customWidth="1"/>
    <col min="21" max="21" width="67.08984375" style="1" bestFit="1" customWidth="1"/>
    <col min="22" max="22" width="90.453125" style="1" bestFit="1" customWidth="1"/>
    <col min="23" max="23" width="74.90625" style="1" bestFit="1" customWidth="1"/>
    <col min="24" max="24" width="89.36328125" style="1" bestFit="1" customWidth="1"/>
    <col min="25" max="25" width="72.453125" style="1" bestFit="1" customWidth="1"/>
    <col min="26" max="26" width="75.1796875" style="1" bestFit="1" customWidth="1"/>
    <col min="27" max="27" width="79" style="1" bestFit="1" customWidth="1"/>
    <col min="28" max="28" width="43.08984375" style="1" bestFit="1" customWidth="1"/>
    <col min="29" max="29" width="73.1796875" style="1" bestFit="1" customWidth="1"/>
    <col min="30" max="30" width="43.36328125" style="1" bestFit="1" customWidth="1"/>
    <col min="31" max="31" width="50.54296875" style="1" bestFit="1" customWidth="1"/>
    <col min="32" max="32" width="120.26953125" style="1" bestFit="1" customWidth="1"/>
    <col min="33" max="33" width="39.08984375" style="1" bestFit="1" customWidth="1"/>
    <col min="34" max="35" width="45.7265625" style="1" bestFit="1" customWidth="1"/>
    <col min="36" max="37" width="46.1796875" style="1" bestFit="1" customWidth="1"/>
    <col min="38" max="38" width="45.7265625" style="1" bestFit="1" customWidth="1"/>
    <col min="39" max="52" width="46.1796875" style="1" bestFit="1" customWidth="1"/>
    <col min="53" max="55" width="45.7265625" style="1" bestFit="1" customWidth="1"/>
    <col min="56" max="64" width="46.1796875" style="1" bestFit="1" customWidth="1"/>
    <col min="65" max="67" width="45.7265625" style="1" bestFit="1" customWidth="1"/>
    <col min="68" max="68" width="58.90625" style="1" bestFit="1" customWidth="1"/>
    <col min="69" max="69" width="43.26953125" style="1" bestFit="1" customWidth="1"/>
    <col min="70" max="70" width="45.36328125" style="1" bestFit="1" customWidth="1"/>
    <col min="71" max="71" width="45.26953125" style="1" bestFit="1" customWidth="1"/>
    <col min="72" max="72" width="55.453125" style="1" bestFit="1" customWidth="1"/>
    <col min="73" max="73" width="217.453125" style="1" bestFit="1" customWidth="1"/>
    <col min="74" max="74" width="65.08984375" style="1" bestFit="1" customWidth="1"/>
    <col min="75" max="83" width="117.26953125" style="1" bestFit="1" customWidth="1"/>
    <col min="84" max="86" width="118.26953125" style="1" bestFit="1" customWidth="1"/>
    <col min="87" max="87" width="120.7265625" style="1" bestFit="1" customWidth="1"/>
    <col min="88" max="88" width="76.6328125" style="1" bestFit="1" customWidth="1"/>
    <col min="89" max="89" width="100.26953125" style="1" bestFit="1" customWidth="1"/>
    <col min="90" max="90" width="84.36328125" style="1" bestFit="1" customWidth="1"/>
    <col min="91" max="91" width="98.6328125" style="1" bestFit="1" customWidth="1"/>
    <col min="92" max="92" width="81.90625" style="1" bestFit="1" customWidth="1"/>
    <col min="93" max="93" width="84.7265625" style="1" bestFit="1" customWidth="1"/>
    <col min="94" max="94" width="88.54296875" style="1" bestFit="1" customWidth="1"/>
    <col min="95" max="95" width="40.54296875" style="1" bestFit="1" customWidth="1"/>
    <col min="96" max="96" width="53.36328125" style="1" bestFit="1" customWidth="1"/>
    <col min="97" max="97" width="23.90625" style="1" bestFit="1" customWidth="1"/>
    <col min="98" max="98" width="24.7265625" style="1" bestFit="1" customWidth="1"/>
    <col min="99" max="99" width="62.1796875" style="1" bestFit="1" customWidth="1"/>
    <col min="100" max="16384" width="8.90625" style="1"/>
  </cols>
  <sheetData>
    <row r="1" spans="1:99" s="6" customFormat="1" x14ac:dyDescent="0.35">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6" t="s">
        <v>15</v>
      </c>
      <c r="Q1" s="6" t="s">
        <v>16</v>
      </c>
      <c r="R1" s="6" t="s">
        <v>17</v>
      </c>
      <c r="S1" s="6" t="s">
        <v>18</v>
      </c>
      <c r="T1" s="6" t="s">
        <v>19</v>
      </c>
      <c r="U1" s="6" t="s">
        <v>20</v>
      </c>
      <c r="V1" s="6" t="s">
        <v>21</v>
      </c>
      <c r="W1" s="6" t="s">
        <v>22</v>
      </c>
      <c r="X1" s="6" t="s">
        <v>23</v>
      </c>
      <c r="Y1" s="6" t="s">
        <v>24</v>
      </c>
      <c r="Z1" s="6" t="s">
        <v>25</v>
      </c>
      <c r="AA1" s="6" t="s">
        <v>26</v>
      </c>
      <c r="AB1" s="6" t="s">
        <v>27</v>
      </c>
      <c r="AC1" s="6" t="s">
        <v>28</v>
      </c>
      <c r="AD1" s="6" t="s">
        <v>29</v>
      </c>
      <c r="AE1" s="6" t="s">
        <v>30</v>
      </c>
      <c r="AF1" s="6" t="s">
        <v>31</v>
      </c>
      <c r="AG1" s="6" t="s">
        <v>32</v>
      </c>
      <c r="AH1" s="6" t="s">
        <v>33</v>
      </c>
      <c r="AI1" s="6" t="s">
        <v>33</v>
      </c>
      <c r="AJ1" s="6" t="s">
        <v>34</v>
      </c>
      <c r="AK1" s="6" t="s">
        <v>34</v>
      </c>
      <c r="AL1" s="6" t="s">
        <v>33</v>
      </c>
      <c r="AM1" s="6" t="s">
        <v>34</v>
      </c>
      <c r="AN1" s="6" t="s">
        <v>34</v>
      </c>
      <c r="AO1" s="6" t="s">
        <v>34</v>
      </c>
      <c r="AP1" s="6" t="s">
        <v>34</v>
      </c>
      <c r="AQ1" s="6" t="s">
        <v>34</v>
      </c>
      <c r="AR1" s="6" t="s">
        <v>34</v>
      </c>
      <c r="AS1" s="6" t="s">
        <v>34</v>
      </c>
      <c r="AT1" s="6" t="s">
        <v>34</v>
      </c>
      <c r="AU1" s="6" t="s">
        <v>34</v>
      </c>
      <c r="AV1" s="6" t="s">
        <v>34</v>
      </c>
      <c r="AW1" s="6" t="s">
        <v>34</v>
      </c>
      <c r="AX1" s="6" t="s">
        <v>34</v>
      </c>
      <c r="AY1" s="6" t="s">
        <v>34</v>
      </c>
      <c r="AZ1" s="6" t="s">
        <v>34</v>
      </c>
      <c r="BA1" s="6" t="s">
        <v>33</v>
      </c>
      <c r="BB1" s="6" t="s">
        <v>33</v>
      </c>
      <c r="BC1" s="6" t="s">
        <v>33</v>
      </c>
      <c r="BD1" s="6" t="s">
        <v>34</v>
      </c>
      <c r="BE1" s="6" t="s">
        <v>34</v>
      </c>
      <c r="BF1" s="6" t="s">
        <v>34</v>
      </c>
      <c r="BG1" s="6" t="s">
        <v>34</v>
      </c>
      <c r="BH1" s="6" t="s">
        <v>34</v>
      </c>
      <c r="BI1" s="6" t="s">
        <v>34</v>
      </c>
      <c r="BJ1" s="6" t="s">
        <v>34</v>
      </c>
      <c r="BK1" s="6" t="s">
        <v>34</v>
      </c>
      <c r="BL1" s="6" t="s">
        <v>34</v>
      </c>
      <c r="BM1" s="6" t="s">
        <v>33</v>
      </c>
      <c r="BN1" s="6" t="s">
        <v>33</v>
      </c>
      <c r="BO1" s="6" t="s">
        <v>33</v>
      </c>
      <c r="BP1" s="6" t="s">
        <v>35</v>
      </c>
      <c r="BQ1" s="6" t="s">
        <v>36</v>
      </c>
      <c r="BR1" s="6" t="s">
        <v>37</v>
      </c>
      <c r="BS1" s="6" t="s">
        <v>38</v>
      </c>
      <c r="BT1" s="6" t="s">
        <v>39</v>
      </c>
      <c r="BU1" s="6" t="s">
        <v>40</v>
      </c>
      <c r="BV1" s="6" t="s">
        <v>41</v>
      </c>
      <c r="BW1" s="6" t="s">
        <v>42</v>
      </c>
      <c r="BX1" s="6" t="s">
        <v>43</v>
      </c>
      <c r="BY1" s="6" t="s">
        <v>44</v>
      </c>
      <c r="BZ1" s="6" t="s">
        <v>45</v>
      </c>
      <c r="CA1" s="6" t="s">
        <v>46</v>
      </c>
      <c r="CB1" s="6" t="s">
        <v>47</v>
      </c>
      <c r="CC1" s="6" t="s">
        <v>48</v>
      </c>
      <c r="CD1" s="6" t="s">
        <v>49</v>
      </c>
      <c r="CE1" s="6" t="s">
        <v>50</v>
      </c>
      <c r="CF1" s="6" t="s">
        <v>51</v>
      </c>
      <c r="CG1" s="6" t="s">
        <v>52</v>
      </c>
      <c r="CH1" s="6" t="s">
        <v>53</v>
      </c>
      <c r="CI1" s="6" t="s">
        <v>54</v>
      </c>
      <c r="CJ1" s="6" t="s">
        <v>55</v>
      </c>
      <c r="CK1" s="6" t="s">
        <v>56</v>
      </c>
      <c r="CL1" s="6" t="s">
        <v>57</v>
      </c>
      <c r="CM1" s="6" t="s">
        <v>58</v>
      </c>
      <c r="CN1" s="6" t="s">
        <v>59</v>
      </c>
      <c r="CO1" s="6" t="s">
        <v>60</v>
      </c>
      <c r="CP1" s="6" t="s">
        <v>61</v>
      </c>
      <c r="CQ1" s="6" t="s">
        <v>62</v>
      </c>
      <c r="CR1" s="6" t="s">
        <v>63</v>
      </c>
      <c r="CS1" s="6" t="s">
        <v>64</v>
      </c>
      <c r="CT1" s="6" t="s">
        <v>65</v>
      </c>
      <c r="CU1" s="6" t="s">
        <v>66</v>
      </c>
    </row>
    <row r="2" spans="1:99" x14ac:dyDescent="0.35">
      <c r="A2" s="1" t="s">
        <v>3317</v>
      </c>
      <c r="B2" s="1">
        <v>185121007</v>
      </c>
      <c r="C2" s="1">
        <v>0</v>
      </c>
      <c r="D2" s="1">
        <v>1</v>
      </c>
      <c r="E2" s="1">
        <v>0</v>
      </c>
      <c r="F2" s="1">
        <v>0</v>
      </c>
      <c r="G2" s="1">
        <v>0</v>
      </c>
      <c r="H2" s="1">
        <v>0</v>
      </c>
      <c r="I2" s="1">
        <v>0</v>
      </c>
      <c r="J2" s="1">
        <v>0</v>
      </c>
      <c r="K2" s="1">
        <v>0</v>
      </c>
      <c r="L2" s="1">
        <v>0</v>
      </c>
      <c r="M2" s="1">
        <v>0</v>
      </c>
      <c r="N2" s="1">
        <v>0</v>
      </c>
      <c r="O2" s="1">
        <v>0</v>
      </c>
      <c r="P2" s="1">
        <v>10</v>
      </c>
      <c r="Q2" s="1">
        <v>3</v>
      </c>
      <c r="R2" s="1">
        <v>3</v>
      </c>
      <c r="S2" s="1">
        <v>1</v>
      </c>
      <c r="T2" s="1">
        <v>3</v>
      </c>
      <c r="U2" s="1">
        <v>3</v>
      </c>
      <c r="V2" s="1">
        <v>3</v>
      </c>
      <c r="W2" s="1">
        <v>2</v>
      </c>
      <c r="X2" s="1">
        <v>3</v>
      </c>
      <c r="Y2" s="1">
        <v>3</v>
      </c>
      <c r="Z2" s="1">
        <v>3</v>
      </c>
      <c r="AA2" s="1">
        <v>3</v>
      </c>
      <c r="AC2" s="1">
        <v>1</v>
      </c>
      <c r="AD2" s="1">
        <v>3</v>
      </c>
      <c r="AF2" s="3">
        <v>2000000</v>
      </c>
      <c r="AG2" s="1">
        <v>13</v>
      </c>
      <c r="AT2" s="1" t="s">
        <v>427</v>
      </c>
      <c r="BP2" s="1">
        <v>3</v>
      </c>
      <c r="BQ2" s="1" t="s">
        <v>3318</v>
      </c>
      <c r="BR2" s="1" t="s">
        <v>3319</v>
      </c>
      <c r="BS2" s="1" t="s">
        <v>3320</v>
      </c>
      <c r="BT2" s="1" t="s">
        <v>79</v>
      </c>
      <c r="BU2" s="1">
        <v>1</v>
      </c>
      <c r="BV2" s="1">
        <v>2</v>
      </c>
      <c r="BW2" s="1">
        <v>1</v>
      </c>
      <c r="BX2" s="1">
        <v>0</v>
      </c>
      <c r="BY2" s="1">
        <v>0</v>
      </c>
      <c r="BZ2" s="1">
        <v>0</v>
      </c>
      <c r="CA2" s="1">
        <v>0</v>
      </c>
      <c r="CB2" s="1">
        <v>0</v>
      </c>
      <c r="CC2" s="1">
        <v>0</v>
      </c>
      <c r="CD2" s="1">
        <v>0</v>
      </c>
      <c r="CE2" s="1">
        <v>0</v>
      </c>
      <c r="CF2" s="1">
        <v>0</v>
      </c>
      <c r="CG2" s="1">
        <v>0</v>
      </c>
      <c r="CH2" s="1">
        <v>0</v>
      </c>
      <c r="CI2" s="1">
        <v>0</v>
      </c>
      <c r="CJ2" s="1">
        <v>4</v>
      </c>
      <c r="CK2" s="1">
        <v>4</v>
      </c>
      <c r="CL2" s="1">
        <v>3</v>
      </c>
      <c r="CM2" s="1">
        <v>4</v>
      </c>
      <c r="CN2" s="1">
        <v>4</v>
      </c>
      <c r="CO2" s="1">
        <v>4</v>
      </c>
      <c r="CP2" s="1">
        <v>4</v>
      </c>
      <c r="CU2" s="1">
        <v>1</v>
      </c>
    </row>
    <row r="3" spans="1:99" x14ac:dyDescent="0.35">
      <c r="A3" s="1" t="s">
        <v>3321</v>
      </c>
      <c r="B3" s="1">
        <v>185121008</v>
      </c>
      <c r="C3" s="1">
        <v>1</v>
      </c>
      <c r="D3" s="1">
        <v>1</v>
      </c>
      <c r="E3" s="1">
        <v>0</v>
      </c>
      <c r="F3" s="1">
        <v>0</v>
      </c>
      <c r="G3" s="1">
        <v>0</v>
      </c>
      <c r="H3" s="1">
        <v>1</v>
      </c>
      <c r="I3" s="1">
        <v>0</v>
      </c>
      <c r="J3" s="1">
        <v>1</v>
      </c>
      <c r="K3" s="1">
        <v>1</v>
      </c>
      <c r="L3" s="1">
        <v>1</v>
      </c>
      <c r="M3" s="1">
        <v>1</v>
      </c>
      <c r="N3" s="1">
        <v>0</v>
      </c>
      <c r="O3" s="1">
        <v>0</v>
      </c>
      <c r="P3" s="1">
        <v>10</v>
      </c>
      <c r="Q3" s="1">
        <v>3</v>
      </c>
      <c r="R3" s="1">
        <v>3</v>
      </c>
      <c r="S3" s="1">
        <v>1</v>
      </c>
      <c r="T3" s="1">
        <v>1</v>
      </c>
      <c r="U3" s="1">
        <v>4</v>
      </c>
      <c r="V3" s="1">
        <v>3</v>
      </c>
      <c r="W3" s="1">
        <v>3</v>
      </c>
      <c r="X3" s="1">
        <v>3</v>
      </c>
      <c r="Y3" s="1">
        <v>4</v>
      </c>
      <c r="Z3" s="1">
        <v>4</v>
      </c>
      <c r="AA3" s="1">
        <v>4</v>
      </c>
      <c r="AC3" s="1">
        <v>1</v>
      </c>
      <c r="AD3" s="1">
        <v>3</v>
      </c>
      <c r="AE3" s="1">
        <v>3</v>
      </c>
      <c r="AF3" s="3">
        <v>4000000</v>
      </c>
      <c r="AG3" s="1">
        <v>13</v>
      </c>
      <c r="AT3" s="1" t="s">
        <v>86</v>
      </c>
      <c r="BP3" s="1">
        <v>3</v>
      </c>
      <c r="BQ3" s="1" t="s">
        <v>3322</v>
      </c>
      <c r="BR3" s="1" t="s">
        <v>3323</v>
      </c>
      <c r="BT3" s="1" t="s">
        <v>73</v>
      </c>
      <c r="BU3" s="1">
        <v>1</v>
      </c>
      <c r="BV3" s="1">
        <v>1</v>
      </c>
      <c r="BW3" s="1">
        <v>0</v>
      </c>
      <c r="BX3" s="1">
        <v>0</v>
      </c>
      <c r="BY3" s="1">
        <v>0</v>
      </c>
      <c r="BZ3" s="1">
        <v>0</v>
      </c>
      <c r="CA3" s="1">
        <v>0</v>
      </c>
      <c r="CB3" s="1">
        <v>0</v>
      </c>
      <c r="CC3" s="1">
        <v>0</v>
      </c>
      <c r="CD3" s="1">
        <v>0</v>
      </c>
      <c r="CE3" s="1">
        <v>0</v>
      </c>
      <c r="CF3" s="1">
        <v>0</v>
      </c>
      <c r="CG3" s="1">
        <v>0</v>
      </c>
      <c r="CH3" s="1">
        <v>0</v>
      </c>
      <c r="CI3" s="1" t="s">
        <v>78</v>
      </c>
      <c r="CJ3" s="1">
        <v>4</v>
      </c>
      <c r="CK3" s="1">
        <v>4</v>
      </c>
      <c r="CL3" s="1">
        <v>4</v>
      </c>
      <c r="CM3" s="1">
        <v>4</v>
      </c>
      <c r="CN3" s="1">
        <v>4</v>
      </c>
      <c r="CO3" s="1">
        <v>4</v>
      </c>
      <c r="CP3" s="1">
        <v>4</v>
      </c>
      <c r="CU3" s="1">
        <v>1</v>
      </c>
    </row>
    <row r="4" spans="1:99" x14ac:dyDescent="0.35">
      <c r="A4" s="1" t="s">
        <v>3324</v>
      </c>
      <c r="B4" s="1">
        <v>185121010</v>
      </c>
      <c r="C4" s="1">
        <v>0</v>
      </c>
      <c r="D4" s="1">
        <v>1</v>
      </c>
      <c r="E4" s="1">
        <v>0</v>
      </c>
      <c r="F4" s="1">
        <v>0</v>
      </c>
      <c r="G4" s="1">
        <v>0</v>
      </c>
      <c r="H4" s="1">
        <v>0</v>
      </c>
      <c r="I4" s="1">
        <v>0</v>
      </c>
      <c r="J4" s="1">
        <v>1</v>
      </c>
      <c r="K4" s="1">
        <v>1</v>
      </c>
      <c r="L4" s="1">
        <v>0</v>
      </c>
      <c r="M4" s="1">
        <v>0</v>
      </c>
      <c r="N4" s="1">
        <v>0</v>
      </c>
      <c r="O4" s="1">
        <v>0</v>
      </c>
      <c r="P4" s="1" t="s">
        <v>3325</v>
      </c>
      <c r="Q4" s="1" t="s">
        <v>1063</v>
      </c>
      <c r="R4" s="1" t="s">
        <v>3326</v>
      </c>
      <c r="S4" s="1">
        <v>1</v>
      </c>
      <c r="T4" s="1">
        <v>1</v>
      </c>
      <c r="U4" s="1">
        <v>4</v>
      </c>
      <c r="V4" s="1">
        <v>4</v>
      </c>
      <c r="W4" s="1">
        <v>2</v>
      </c>
      <c r="X4" s="1">
        <v>3</v>
      </c>
      <c r="Y4" s="1">
        <v>4</v>
      </c>
      <c r="Z4" s="1">
        <v>4</v>
      </c>
      <c r="AA4" s="1">
        <v>4</v>
      </c>
      <c r="AC4" s="1">
        <v>1</v>
      </c>
      <c r="AD4" s="1">
        <v>1</v>
      </c>
      <c r="AF4" s="3">
        <v>4000000</v>
      </c>
      <c r="AG4" s="1">
        <v>13</v>
      </c>
      <c r="AT4" s="1" t="s">
        <v>1414</v>
      </c>
      <c r="BP4" s="1">
        <v>3</v>
      </c>
      <c r="BQ4" s="1" t="s">
        <v>3327</v>
      </c>
      <c r="BR4" s="1" t="s">
        <v>3328</v>
      </c>
      <c r="BT4" s="1" t="s">
        <v>73</v>
      </c>
      <c r="BU4" s="1">
        <v>1</v>
      </c>
      <c r="BV4" s="1">
        <v>1</v>
      </c>
      <c r="BW4" s="1">
        <v>0</v>
      </c>
      <c r="BX4" s="1">
        <v>1</v>
      </c>
      <c r="BY4" s="1">
        <v>0</v>
      </c>
      <c r="BZ4" s="1">
        <v>0</v>
      </c>
      <c r="CA4" s="1">
        <v>0</v>
      </c>
      <c r="CB4" s="1">
        <v>0</v>
      </c>
      <c r="CC4" s="1">
        <v>0</v>
      </c>
      <c r="CD4" s="1">
        <v>0</v>
      </c>
      <c r="CE4" s="1">
        <v>1</v>
      </c>
      <c r="CF4" s="1">
        <v>0</v>
      </c>
      <c r="CG4" s="1">
        <v>0</v>
      </c>
      <c r="CH4" s="1">
        <v>0</v>
      </c>
      <c r="CI4" s="1">
        <v>0</v>
      </c>
      <c r="CJ4" s="1">
        <v>4</v>
      </c>
      <c r="CK4" s="1">
        <v>4</v>
      </c>
      <c r="CL4" s="1">
        <v>3</v>
      </c>
      <c r="CM4" s="1">
        <v>4</v>
      </c>
      <c r="CN4" s="1">
        <v>4</v>
      </c>
      <c r="CO4" s="1">
        <v>4</v>
      </c>
      <c r="CP4" s="1">
        <v>4</v>
      </c>
      <c r="CU4" s="1">
        <v>4</v>
      </c>
    </row>
    <row r="5" spans="1:99" x14ac:dyDescent="0.35">
      <c r="A5" s="1" t="s">
        <v>3329</v>
      </c>
      <c r="B5" s="1">
        <v>185121022</v>
      </c>
      <c r="C5" s="1">
        <v>1</v>
      </c>
      <c r="D5" s="1">
        <v>1</v>
      </c>
      <c r="E5" s="1">
        <v>0</v>
      </c>
      <c r="F5" s="1">
        <v>0</v>
      </c>
      <c r="G5" s="1">
        <v>0</v>
      </c>
      <c r="H5" s="1">
        <v>0</v>
      </c>
      <c r="I5" s="1">
        <v>0</v>
      </c>
      <c r="J5" s="1">
        <v>0</v>
      </c>
      <c r="K5" s="1">
        <v>0</v>
      </c>
      <c r="L5" s="1">
        <v>0</v>
      </c>
      <c r="M5" s="1">
        <v>0</v>
      </c>
      <c r="N5" s="1">
        <v>0</v>
      </c>
      <c r="O5" s="1">
        <v>0</v>
      </c>
      <c r="P5" s="1">
        <v>50</v>
      </c>
      <c r="Q5" s="1">
        <v>20</v>
      </c>
      <c r="R5" s="1">
        <v>20</v>
      </c>
      <c r="S5" s="1">
        <v>5</v>
      </c>
      <c r="T5" s="1">
        <v>1</v>
      </c>
      <c r="U5" s="1">
        <v>3</v>
      </c>
      <c r="V5" s="1">
        <v>3</v>
      </c>
      <c r="W5" s="1">
        <v>3</v>
      </c>
      <c r="X5" s="1">
        <v>3</v>
      </c>
      <c r="Y5" s="1">
        <v>3</v>
      </c>
      <c r="Z5" s="1">
        <v>3</v>
      </c>
      <c r="AA5" s="1">
        <v>3</v>
      </c>
      <c r="CU5" s="1">
        <v>4</v>
      </c>
    </row>
    <row r="6" spans="1:99" x14ac:dyDescent="0.35">
      <c r="A6" s="1" t="s">
        <v>3330</v>
      </c>
      <c r="B6" s="1">
        <v>185121023</v>
      </c>
      <c r="C6" s="1">
        <v>1</v>
      </c>
      <c r="D6" s="1">
        <v>1</v>
      </c>
      <c r="E6" s="1">
        <v>1</v>
      </c>
      <c r="F6" s="1">
        <v>0</v>
      </c>
      <c r="G6" s="1">
        <v>0</v>
      </c>
      <c r="H6" s="1">
        <v>1</v>
      </c>
      <c r="I6" s="1">
        <v>0</v>
      </c>
      <c r="J6" s="1">
        <v>1</v>
      </c>
      <c r="K6" s="1">
        <v>1</v>
      </c>
      <c r="L6" s="1">
        <v>0</v>
      </c>
      <c r="M6" s="1">
        <v>1</v>
      </c>
      <c r="N6" s="1">
        <v>0</v>
      </c>
      <c r="O6" s="1">
        <v>0</v>
      </c>
      <c r="P6" s="1">
        <v>60</v>
      </c>
      <c r="Q6" s="1">
        <v>30</v>
      </c>
      <c r="R6" s="1">
        <v>15</v>
      </c>
      <c r="S6" s="1">
        <v>1</v>
      </c>
      <c r="T6" s="1">
        <v>1</v>
      </c>
      <c r="U6" s="1">
        <v>4</v>
      </c>
      <c r="V6" s="1">
        <v>3</v>
      </c>
      <c r="W6" s="1">
        <v>2</v>
      </c>
      <c r="X6" s="1">
        <v>3</v>
      </c>
      <c r="Y6" s="1">
        <v>4</v>
      </c>
      <c r="Z6" s="1">
        <v>4</v>
      </c>
      <c r="AA6" s="1">
        <v>3</v>
      </c>
      <c r="AC6" s="1">
        <v>1</v>
      </c>
      <c r="AD6" s="1">
        <v>3</v>
      </c>
      <c r="AE6" s="1">
        <v>7</v>
      </c>
      <c r="AF6" s="3">
        <v>5000000</v>
      </c>
      <c r="AG6" s="1">
        <v>11</v>
      </c>
      <c r="AR6" s="1" t="s">
        <v>130</v>
      </c>
      <c r="BP6" s="1">
        <v>6</v>
      </c>
      <c r="BQ6" s="1" t="s">
        <v>3331</v>
      </c>
      <c r="BR6" s="1" t="s">
        <v>3332</v>
      </c>
      <c r="BS6" s="1" t="s">
        <v>3333</v>
      </c>
      <c r="BT6" s="1" t="s">
        <v>79</v>
      </c>
      <c r="BU6" s="1">
        <v>2</v>
      </c>
      <c r="BV6" s="1">
        <v>2</v>
      </c>
      <c r="BW6" s="1">
        <v>1</v>
      </c>
      <c r="BX6" s="1">
        <v>0</v>
      </c>
      <c r="BY6" s="1">
        <v>0</v>
      </c>
      <c r="BZ6" s="1">
        <v>0</v>
      </c>
      <c r="CA6" s="1">
        <v>0</v>
      </c>
      <c r="CB6" s="1">
        <v>0</v>
      </c>
      <c r="CC6" s="1">
        <v>0</v>
      </c>
      <c r="CD6" s="1">
        <v>0</v>
      </c>
      <c r="CE6" s="1">
        <v>0</v>
      </c>
      <c r="CF6" s="1">
        <v>0</v>
      </c>
      <c r="CG6" s="1">
        <v>0</v>
      </c>
      <c r="CH6" s="1">
        <v>0</v>
      </c>
      <c r="CI6" s="1">
        <v>0</v>
      </c>
      <c r="CJ6" s="1">
        <v>4</v>
      </c>
      <c r="CK6" s="1">
        <v>4</v>
      </c>
      <c r="CL6" s="1">
        <v>2</v>
      </c>
      <c r="CM6" s="1">
        <v>4</v>
      </c>
      <c r="CN6" s="1">
        <v>4</v>
      </c>
      <c r="CO6" s="1">
        <v>4</v>
      </c>
      <c r="CP6" s="1">
        <v>4</v>
      </c>
      <c r="CU6" s="1">
        <v>1</v>
      </c>
    </row>
    <row r="7" spans="1:99" x14ac:dyDescent="0.35">
      <c r="A7" s="1" t="s">
        <v>3334</v>
      </c>
      <c r="B7" s="1">
        <v>185121025</v>
      </c>
      <c r="C7" s="1">
        <v>1</v>
      </c>
      <c r="D7" s="1">
        <v>1</v>
      </c>
      <c r="E7" s="1">
        <v>0</v>
      </c>
      <c r="F7" s="1">
        <v>1</v>
      </c>
      <c r="G7" s="1">
        <v>1</v>
      </c>
      <c r="H7" s="1">
        <v>1</v>
      </c>
      <c r="I7" s="1">
        <v>1</v>
      </c>
      <c r="J7" s="1">
        <v>0</v>
      </c>
      <c r="K7" s="1">
        <v>1</v>
      </c>
      <c r="L7" s="1">
        <v>0</v>
      </c>
      <c r="M7" s="1">
        <v>1</v>
      </c>
      <c r="N7" s="1">
        <v>0</v>
      </c>
      <c r="O7" s="1">
        <v>0</v>
      </c>
      <c r="P7" s="1">
        <v>30</v>
      </c>
      <c r="Q7" s="1">
        <v>25</v>
      </c>
      <c r="R7" s="1">
        <v>20</v>
      </c>
      <c r="S7" s="1">
        <v>5</v>
      </c>
      <c r="T7" s="1">
        <v>6</v>
      </c>
      <c r="U7" s="1">
        <v>4</v>
      </c>
      <c r="V7" s="1">
        <v>4</v>
      </c>
      <c r="W7" s="1">
        <v>4</v>
      </c>
      <c r="X7" s="1">
        <v>4</v>
      </c>
      <c r="Y7" s="1">
        <v>4</v>
      </c>
      <c r="Z7" s="1">
        <v>4</v>
      </c>
      <c r="AA7" s="1">
        <v>4</v>
      </c>
      <c r="CU7" s="1">
        <v>3</v>
      </c>
    </row>
    <row r="8" spans="1:99" x14ac:dyDescent="0.35">
      <c r="A8" s="1" t="s">
        <v>3335</v>
      </c>
      <c r="B8" s="1">
        <v>185121028</v>
      </c>
      <c r="C8" s="1">
        <v>0</v>
      </c>
      <c r="D8" s="1">
        <v>0</v>
      </c>
      <c r="E8" s="1">
        <v>1</v>
      </c>
      <c r="F8" s="1">
        <v>0</v>
      </c>
      <c r="G8" s="1">
        <v>0</v>
      </c>
      <c r="H8" s="1">
        <v>0</v>
      </c>
      <c r="I8" s="1">
        <v>0</v>
      </c>
      <c r="J8" s="1">
        <v>0</v>
      </c>
      <c r="K8" s="1">
        <v>0</v>
      </c>
      <c r="L8" s="1">
        <v>0</v>
      </c>
      <c r="M8" s="1">
        <v>0</v>
      </c>
      <c r="N8" s="1">
        <v>0</v>
      </c>
      <c r="O8" s="1">
        <v>0</v>
      </c>
      <c r="P8" s="1">
        <v>4</v>
      </c>
      <c r="Q8" s="1">
        <v>6</v>
      </c>
      <c r="R8" s="1">
        <v>4</v>
      </c>
      <c r="S8" s="1">
        <v>1</v>
      </c>
      <c r="T8" s="1">
        <v>1</v>
      </c>
      <c r="U8" s="1">
        <v>4</v>
      </c>
      <c r="V8" s="1">
        <v>4</v>
      </c>
      <c r="W8" s="1">
        <v>4</v>
      </c>
      <c r="X8" s="1">
        <v>4</v>
      </c>
      <c r="Y8" s="1">
        <v>4</v>
      </c>
      <c r="Z8" s="1">
        <v>4</v>
      </c>
      <c r="AA8" s="1">
        <v>4</v>
      </c>
      <c r="AC8" s="1">
        <v>2</v>
      </c>
      <c r="AE8" s="1">
        <v>6</v>
      </c>
      <c r="AF8" s="3">
        <v>5000000</v>
      </c>
      <c r="AG8" s="1">
        <v>13</v>
      </c>
      <c r="AT8" s="1" t="s">
        <v>271</v>
      </c>
      <c r="BQ8" s="1" t="s">
        <v>3336</v>
      </c>
      <c r="BR8" s="1" t="s">
        <v>3337</v>
      </c>
      <c r="BT8" s="1" t="s">
        <v>79</v>
      </c>
      <c r="BU8" s="1">
        <v>2</v>
      </c>
      <c r="BV8" s="1">
        <v>2</v>
      </c>
      <c r="BW8" s="1">
        <v>1</v>
      </c>
      <c r="BX8" s="1">
        <v>0</v>
      </c>
      <c r="BY8" s="1">
        <v>0</v>
      </c>
      <c r="BZ8" s="1">
        <v>0</v>
      </c>
      <c r="CA8" s="1">
        <v>0</v>
      </c>
      <c r="CB8" s="1">
        <v>0</v>
      </c>
      <c r="CC8" s="1">
        <v>0</v>
      </c>
      <c r="CD8" s="1">
        <v>0</v>
      </c>
      <c r="CE8" s="1">
        <v>0</v>
      </c>
      <c r="CF8" s="1">
        <v>0</v>
      </c>
      <c r="CG8" s="1">
        <v>0</v>
      </c>
      <c r="CH8" s="1">
        <v>0</v>
      </c>
      <c r="CI8" s="1">
        <v>0</v>
      </c>
      <c r="CJ8" s="1">
        <v>4</v>
      </c>
      <c r="CK8" s="1">
        <v>4</v>
      </c>
      <c r="CL8" s="1">
        <v>4</v>
      </c>
      <c r="CM8" s="1">
        <v>4</v>
      </c>
      <c r="CN8" s="1">
        <v>4</v>
      </c>
      <c r="CO8" s="1">
        <v>4</v>
      </c>
      <c r="CP8" s="1">
        <v>4</v>
      </c>
      <c r="CU8" s="1">
        <v>1</v>
      </c>
    </row>
    <row r="9" spans="1:99" x14ac:dyDescent="0.35">
      <c r="A9" s="1" t="s">
        <v>3338</v>
      </c>
      <c r="B9" s="1">
        <v>185121029</v>
      </c>
      <c r="C9" s="1">
        <v>0</v>
      </c>
      <c r="D9" s="1">
        <v>1</v>
      </c>
      <c r="E9" s="1">
        <v>0</v>
      </c>
      <c r="F9" s="1">
        <v>0</v>
      </c>
      <c r="G9" s="1">
        <v>0</v>
      </c>
      <c r="H9" s="1">
        <v>0</v>
      </c>
      <c r="I9" s="1">
        <v>0</v>
      </c>
      <c r="J9" s="1">
        <v>0</v>
      </c>
      <c r="K9" s="1">
        <v>0</v>
      </c>
      <c r="L9" s="1">
        <v>0</v>
      </c>
      <c r="M9" s="1">
        <v>0</v>
      </c>
      <c r="N9" s="1">
        <v>0</v>
      </c>
      <c r="O9" s="1">
        <v>0</v>
      </c>
      <c r="P9" s="1">
        <v>2</v>
      </c>
      <c r="Q9" s="1">
        <v>2</v>
      </c>
      <c r="R9" s="1">
        <v>1</v>
      </c>
      <c r="S9" s="1">
        <v>1</v>
      </c>
      <c r="U9" s="1">
        <v>4</v>
      </c>
      <c r="V9" s="1">
        <v>3</v>
      </c>
      <c r="W9" s="1">
        <v>2</v>
      </c>
      <c r="X9" s="1">
        <v>4</v>
      </c>
      <c r="Y9" s="1">
        <v>4</v>
      </c>
      <c r="Z9" s="1">
        <v>4</v>
      </c>
      <c r="AA9" s="1">
        <v>4</v>
      </c>
      <c r="AC9" s="1">
        <v>1</v>
      </c>
      <c r="AD9" s="1">
        <v>2</v>
      </c>
      <c r="AE9" s="1">
        <v>2</v>
      </c>
      <c r="AF9" s="3">
        <v>4200000</v>
      </c>
      <c r="AG9" s="1">
        <v>13</v>
      </c>
      <c r="AT9" s="1" t="s">
        <v>86</v>
      </c>
      <c r="BP9" s="1">
        <v>3</v>
      </c>
      <c r="BQ9" s="1" t="s">
        <v>3339</v>
      </c>
      <c r="BR9" s="1" t="s">
        <v>3340</v>
      </c>
      <c r="BT9" s="1" t="s">
        <v>79</v>
      </c>
      <c r="BU9" s="1">
        <v>4</v>
      </c>
      <c r="BV9" s="1">
        <v>2</v>
      </c>
      <c r="BW9" s="1">
        <v>0</v>
      </c>
      <c r="BX9" s="1">
        <v>1</v>
      </c>
      <c r="BY9" s="1">
        <v>1</v>
      </c>
      <c r="BZ9" s="1">
        <v>0</v>
      </c>
      <c r="CA9" s="1">
        <v>0</v>
      </c>
      <c r="CB9" s="1">
        <v>0</v>
      </c>
      <c r="CC9" s="1">
        <v>0</v>
      </c>
      <c r="CD9" s="1">
        <v>0</v>
      </c>
      <c r="CE9" s="1">
        <v>0</v>
      </c>
      <c r="CF9" s="1">
        <v>0</v>
      </c>
      <c r="CG9" s="1">
        <v>1</v>
      </c>
      <c r="CH9" s="1">
        <v>0</v>
      </c>
      <c r="CI9" s="1">
        <v>0</v>
      </c>
      <c r="CJ9" s="1">
        <v>4</v>
      </c>
      <c r="CK9" s="1">
        <v>3</v>
      </c>
      <c r="CL9" s="1">
        <v>2</v>
      </c>
      <c r="CM9" s="1">
        <v>4</v>
      </c>
      <c r="CN9" s="1">
        <v>4</v>
      </c>
      <c r="CO9" s="1">
        <v>4</v>
      </c>
      <c r="CP9" s="1">
        <v>4</v>
      </c>
      <c r="CU9" s="1">
        <v>1</v>
      </c>
    </row>
    <row r="10" spans="1:99" x14ac:dyDescent="0.35">
      <c r="A10" s="1" t="s">
        <v>3341</v>
      </c>
      <c r="B10" s="1">
        <v>185121036</v>
      </c>
      <c r="C10" s="1">
        <v>1</v>
      </c>
      <c r="D10" s="1">
        <v>1</v>
      </c>
      <c r="E10" s="1">
        <v>0</v>
      </c>
      <c r="F10" s="1">
        <v>0</v>
      </c>
      <c r="G10" s="1">
        <v>0</v>
      </c>
      <c r="H10" s="1">
        <v>1</v>
      </c>
      <c r="I10" s="1">
        <v>0</v>
      </c>
      <c r="J10" s="1">
        <v>1</v>
      </c>
      <c r="K10" s="1">
        <v>1</v>
      </c>
      <c r="L10" s="1">
        <v>0</v>
      </c>
      <c r="M10" s="1">
        <v>0</v>
      </c>
      <c r="N10" s="1">
        <v>0</v>
      </c>
      <c r="O10" s="1">
        <v>0</v>
      </c>
      <c r="P10" s="1">
        <v>57</v>
      </c>
      <c r="Q10" s="1">
        <v>30</v>
      </c>
      <c r="R10" s="1">
        <v>17</v>
      </c>
      <c r="S10" s="1">
        <v>1</v>
      </c>
      <c r="T10" s="1">
        <v>1</v>
      </c>
      <c r="U10" s="1">
        <v>3</v>
      </c>
      <c r="V10" s="1">
        <v>3</v>
      </c>
      <c r="W10" s="1">
        <v>2</v>
      </c>
      <c r="X10" s="1">
        <v>3</v>
      </c>
      <c r="Y10" s="1">
        <v>3</v>
      </c>
      <c r="Z10" s="1">
        <v>4</v>
      </c>
      <c r="AA10" s="1">
        <v>4</v>
      </c>
      <c r="AC10" s="1">
        <v>2</v>
      </c>
      <c r="AE10" s="1">
        <v>3</v>
      </c>
      <c r="AF10" s="3">
        <v>5000000</v>
      </c>
      <c r="AG10" s="1">
        <v>11</v>
      </c>
      <c r="AR10" s="1" t="s">
        <v>130</v>
      </c>
      <c r="BP10" s="1">
        <v>3</v>
      </c>
      <c r="BQ10" s="1" t="s">
        <v>3342</v>
      </c>
      <c r="BR10" s="1" t="s">
        <v>3343</v>
      </c>
      <c r="BT10" s="1" t="s">
        <v>79</v>
      </c>
      <c r="BU10" s="1">
        <v>2</v>
      </c>
      <c r="BV10" s="1">
        <v>1</v>
      </c>
      <c r="BW10" s="1">
        <v>0</v>
      </c>
      <c r="BX10" s="1">
        <v>0</v>
      </c>
      <c r="BY10" s="1">
        <v>0</v>
      </c>
      <c r="BZ10" s="1">
        <v>0</v>
      </c>
      <c r="CA10" s="1">
        <v>0</v>
      </c>
      <c r="CB10" s="1">
        <v>0</v>
      </c>
      <c r="CC10" s="1">
        <v>0</v>
      </c>
      <c r="CD10" s="1">
        <v>1</v>
      </c>
      <c r="CE10" s="1">
        <v>1</v>
      </c>
      <c r="CF10" s="1">
        <v>0</v>
      </c>
      <c r="CG10" s="1">
        <v>0</v>
      </c>
      <c r="CH10" s="1">
        <v>0</v>
      </c>
      <c r="CI10" s="1">
        <v>0</v>
      </c>
      <c r="CJ10" s="1">
        <v>4</v>
      </c>
      <c r="CK10" s="1">
        <v>4</v>
      </c>
      <c r="CL10" s="1">
        <v>4</v>
      </c>
      <c r="CM10" s="1">
        <v>4</v>
      </c>
      <c r="CN10" s="1">
        <v>4</v>
      </c>
      <c r="CO10" s="1">
        <v>4</v>
      </c>
      <c r="CP10" s="1">
        <v>4</v>
      </c>
      <c r="CU10" s="1">
        <v>1</v>
      </c>
    </row>
    <row r="11" spans="1:99" x14ac:dyDescent="0.35">
      <c r="A11" s="1" t="s">
        <v>3344</v>
      </c>
      <c r="B11" s="1">
        <v>185121038</v>
      </c>
      <c r="C11" s="1">
        <v>1</v>
      </c>
      <c r="D11" s="1">
        <v>1</v>
      </c>
      <c r="E11" s="1">
        <v>0</v>
      </c>
      <c r="F11" s="1">
        <v>0</v>
      </c>
      <c r="G11" s="1">
        <v>0</v>
      </c>
      <c r="H11" s="1">
        <v>0</v>
      </c>
      <c r="I11" s="1">
        <v>0</v>
      </c>
      <c r="J11" s="1">
        <v>0</v>
      </c>
      <c r="K11" s="1">
        <v>1</v>
      </c>
      <c r="L11" s="1">
        <v>0</v>
      </c>
      <c r="M11" s="1">
        <v>0</v>
      </c>
      <c r="N11" s="1">
        <v>0</v>
      </c>
      <c r="O11" s="1">
        <v>0</v>
      </c>
      <c r="P11" s="1">
        <v>6</v>
      </c>
      <c r="Q11" s="1">
        <v>2</v>
      </c>
      <c r="R11" s="1">
        <v>2</v>
      </c>
      <c r="S11" s="1">
        <v>1</v>
      </c>
      <c r="T11" s="1">
        <v>1</v>
      </c>
      <c r="U11" s="1">
        <v>4</v>
      </c>
      <c r="V11" s="1">
        <v>4</v>
      </c>
      <c r="W11" s="1">
        <v>3</v>
      </c>
      <c r="X11" s="1">
        <v>3</v>
      </c>
      <c r="Y11" s="1">
        <v>3</v>
      </c>
      <c r="Z11" s="1">
        <v>3</v>
      </c>
      <c r="AA11" s="1">
        <v>4</v>
      </c>
      <c r="AC11" s="1">
        <v>1</v>
      </c>
      <c r="AD11" s="1">
        <v>6</v>
      </c>
      <c r="AF11" s="3">
        <v>3800000</v>
      </c>
      <c r="AG11" s="1">
        <v>13</v>
      </c>
      <c r="AT11" s="1" t="s">
        <v>86</v>
      </c>
      <c r="BP11" s="1">
        <v>3</v>
      </c>
      <c r="BQ11" s="1" t="s">
        <v>3345</v>
      </c>
      <c r="BR11" s="1" t="s">
        <v>3346</v>
      </c>
      <c r="BT11" s="1" t="s">
        <v>79</v>
      </c>
      <c r="BU11" s="1">
        <v>2</v>
      </c>
      <c r="BV11" s="1">
        <v>2</v>
      </c>
      <c r="BW11" s="1">
        <v>1</v>
      </c>
      <c r="BX11" s="1">
        <v>0</v>
      </c>
      <c r="BY11" s="1">
        <v>0</v>
      </c>
      <c r="BZ11" s="1">
        <v>0</v>
      </c>
      <c r="CA11" s="1">
        <v>0</v>
      </c>
      <c r="CB11" s="1">
        <v>0</v>
      </c>
      <c r="CC11" s="1">
        <v>0</v>
      </c>
      <c r="CD11" s="1">
        <v>0</v>
      </c>
      <c r="CE11" s="1">
        <v>0</v>
      </c>
      <c r="CF11" s="1">
        <v>0</v>
      </c>
      <c r="CG11" s="1">
        <v>0</v>
      </c>
      <c r="CH11" s="1">
        <v>0</v>
      </c>
      <c r="CI11" s="1">
        <v>0</v>
      </c>
      <c r="CJ11" s="1">
        <v>4</v>
      </c>
      <c r="CK11" s="1">
        <v>4</v>
      </c>
      <c r="CL11" s="1">
        <v>3</v>
      </c>
      <c r="CM11" s="1">
        <v>4</v>
      </c>
      <c r="CN11" s="1">
        <v>4</v>
      </c>
      <c r="CO11" s="1">
        <v>4</v>
      </c>
      <c r="CP11" s="1">
        <v>3</v>
      </c>
      <c r="CU11" s="1">
        <v>1</v>
      </c>
    </row>
    <row r="12" spans="1:99" x14ac:dyDescent="0.35">
      <c r="A12" s="1" t="s">
        <v>3347</v>
      </c>
      <c r="B12" s="1">
        <v>185121042</v>
      </c>
      <c r="C12" s="1">
        <v>0</v>
      </c>
      <c r="D12" s="1">
        <v>1</v>
      </c>
      <c r="E12" s="1">
        <v>0</v>
      </c>
      <c r="F12" s="1">
        <v>0</v>
      </c>
      <c r="G12" s="1">
        <v>0</v>
      </c>
      <c r="H12" s="1">
        <v>0</v>
      </c>
      <c r="I12" s="1">
        <v>0</v>
      </c>
      <c r="J12" s="1">
        <v>0</v>
      </c>
      <c r="K12" s="1">
        <v>1</v>
      </c>
      <c r="L12" s="1">
        <v>0</v>
      </c>
      <c r="M12" s="1">
        <v>0</v>
      </c>
      <c r="N12" s="1">
        <v>0</v>
      </c>
      <c r="O12" s="1">
        <v>0</v>
      </c>
      <c r="P12" s="1" t="s">
        <v>3348</v>
      </c>
      <c r="Q12" s="1" t="s">
        <v>3349</v>
      </c>
      <c r="R12" s="1" t="s">
        <v>1470</v>
      </c>
      <c r="S12" s="1">
        <v>1</v>
      </c>
      <c r="T12" s="1">
        <v>1</v>
      </c>
      <c r="U12" s="1">
        <v>4</v>
      </c>
      <c r="V12" s="1">
        <v>3</v>
      </c>
      <c r="W12" s="1">
        <v>3</v>
      </c>
      <c r="X12" s="1">
        <v>4</v>
      </c>
      <c r="Y12" s="1">
        <v>4</v>
      </c>
      <c r="Z12" s="1">
        <v>4</v>
      </c>
      <c r="AA12" s="1">
        <v>4</v>
      </c>
      <c r="AC12" s="1">
        <v>2</v>
      </c>
      <c r="AE12" s="1">
        <v>8</v>
      </c>
      <c r="AF12" s="3">
        <v>2100000</v>
      </c>
      <c r="AG12" s="1">
        <v>13</v>
      </c>
      <c r="AT12" s="1" t="s">
        <v>93</v>
      </c>
      <c r="BQ12" s="1" t="s">
        <v>3350</v>
      </c>
      <c r="BR12" s="1" t="s">
        <v>3351</v>
      </c>
      <c r="BS12" s="1" t="s">
        <v>3352</v>
      </c>
      <c r="BT12" s="1" t="s">
        <v>79</v>
      </c>
      <c r="BU12" s="1">
        <v>3</v>
      </c>
      <c r="BV12" s="1">
        <v>2</v>
      </c>
      <c r="BW12" s="1">
        <v>0</v>
      </c>
      <c r="BX12" s="1">
        <v>0</v>
      </c>
      <c r="BY12" s="1">
        <v>0</v>
      </c>
      <c r="BZ12" s="1">
        <v>0</v>
      </c>
      <c r="CA12" s="1">
        <v>0</v>
      </c>
      <c r="CB12" s="1">
        <v>0</v>
      </c>
      <c r="CC12" s="1">
        <v>0</v>
      </c>
      <c r="CD12" s="1">
        <v>0</v>
      </c>
      <c r="CE12" s="1">
        <v>0</v>
      </c>
      <c r="CF12" s="1">
        <v>0</v>
      </c>
      <c r="CG12" s="1">
        <v>0</v>
      </c>
      <c r="CH12" s="1">
        <v>0</v>
      </c>
      <c r="CI12" s="1" t="s">
        <v>3353</v>
      </c>
      <c r="CJ12" s="1">
        <v>4</v>
      </c>
      <c r="CK12" s="1">
        <v>3</v>
      </c>
      <c r="CL12" s="1">
        <v>4</v>
      </c>
      <c r="CM12" s="1">
        <v>4</v>
      </c>
      <c r="CN12" s="1">
        <v>4</v>
      </c>
      <c r="CO12" s="1">
        <v>4</v>
      </c>
      <c r="CP12" s="1">
        <v>4</v>
      </c>
      <c r="CU12" s="1">
        <v>1</v>
      </c>
    </row>
    <row r="13" spans="1:99" x14ac:dyDescent="0.35">
      <c r="A13" s="1" t="s">
        <v>3354</v>
      </c>
      <c r="B13" s="1">
        <v>185121047</v>
      </c>
      <c r="C13" s="1">
        <v>1</v>
      </c>
      <c r="D13" s="1">
        <v>1</v>
      </c>
      <c r="E13" s="1">
        <v>0</v>
      </c>
      <c r="F13" s="1">
        <v>0</v>
      </c>
      <c r="G13" s="1">
        <v>0</v>
      </c>
      <c r="H13" s="1">
        <v>0</v>
      </c>
      <c r="I13" s="1">
        <v>1</v>
      </c>
      <c r="J13" s="1">
        <v>1</v>
      </c>
      <c r="K13" s="1">
        <v>1</v>
      </c>
      <c r="L13" s="1">
        <v>0</v>
      </c>
      <c r="M13" s="1">
        <v>0</v>
      </c>
      <c r="N13" s="1">
        <v>0</v>
      </c>
      <c r="O13" s="1">
        <v>0</v>
      </c>
      <c r="P13" s="1">
        <v>50</v>
      </c>
      <c r="Q13" s="1">
        <v>20</v>
      </c>
      <c r="R13" s="1">
        <v>4</v>
      </c>
    </row>
    <row r="14" spans="1:99" x14ac:dyDescent="0.35">
      <c r="A14" s="1" t="s">
        <v>3355</v>
      </c>
      <c r="B14" s="1">
        <v>185121055</v>
      </c>
      <c r="C14" s="1">
        <v>1</v>
      </c>
      <c r="D14" s="1">
        <v>1</v>
      </c>
      <c r="E14" s="1">
        <v>0</v>
      </c>
      <c r="F14" s="1">
        <v>0</v>
      </c>
      <c r="G14" s="1">
        <v>0</v>
      </c>
      <c r="H14" s="1">
        <v>0</v>
      </c>
      <c r="I14" s="1">
        <v>0</v>
      </c>
      <c r="J14" s="1">
        <v>0</v>
      </c>
      <c r="K14" s="1">
        <v>0</v>
      </c>
      <c r="L14" s="1">
        <v>0</v>
      </c>
      <c r="M14" s="1">
        <v>0</v>
      </c>
      <c r="N14" s="1">
        <v>0</v>
      </c>
      <c r="O14" s="1">
        <v>0</v>
      </c>
      <c r="P14" s="1" t="s">
        <v>3356</v>
      </c>
      <c r="Q14" s="1" t="s">
        <v>3357</v>
      </c>
      <c r="R14" s="1" t="s">
        <v>3358</v>
      </c>
      <c r="S14" s="1">
        <v>1</v>
      </c>
      <c r="T14" s="1">
        <v>1</v>
      </c>
      <c r="U14" s="1">
        <v>3</v>
      </c>
      <c r="V14" s="1">
        <v>3</v>
      </c>
      <c r="W14" s="1">
        <v>2</v>
      </c>
      <c r="X14" s="1">
        <v>4</v>
      </c>
      <c r="Y14" s="1">
        <v>4</v>
      </c>
      <c r="Z14" s="1">
        <v>4</v>
      </c>
      <c r="AA14" s="1">
        <v>4</v>
      </c>
      <c r="AC14" s="1">
        <v>2</v>
      </c>
      <c r="AE14" s="1">
        <v>7</v>
      </c>
      <c r="AF14" s="3">
        <v>2360000</v>
      </c>
      <c r="AG14" s="1">
        <v>13</v>
      </c>
      <c r="AT14" s="1" t="s">
        <v>387</v>
      </c>
      <c r="BP14" s="1">
        <v>3</v>
      </c>
      <c r="BQ14" s="1" t="s">
        <v>3359</v>
      </c>
      <c r="BR14" s="1" t="s">
        <v>3360</v>
      </c>
      <c r="BS14" s="1" t="s">
        <v>3361</v>
      </c>
      <c r="BT14" s="1" t="s">
        <v>79</v>
      </c>
      <c r="BU14" s="1">
        <v>1</v>
      </c>
      <c r="BV14" s="1">
        <v>2</v>
      </c>
      <c r="BW14" s="1">
        <v>1</v>
      </c>
      <c r="BX14" s="1">
        <v>0</v>
      </c>
      <c r="BY14" s="1">
        <v>0</v>
      </c>
      <c r="BZ14" s="1">
        <v>0</v>
      </c>
      <c r="CA14" s="1">
        <v>0</v>
      </c>
      <c r="CB14" s="1">
        <v>0</v>
      </c>
      <c r="CC14" s="1">
        <v>0</v>
      </c>
      <c r="CD14" s="1">
        <v>0</v>
      </c>
      <c r="CE14" s="1">
        <v>0</v>
      </c>
      <c r="CF14" s="1">
        <v>1</v>
      </c>
      <c r="CG14" s="1">
        <v>0</v>
      </c>
      <c r="CH14" s="1">
        <v>0</v>
      </c>
      <c r="CI14" s="1">
        <v>0</v>
      </c>
      <c r="CJ14" s="1">
        <v>4</v>
      </c>
      <c r="CK14" s="1">
        <v>4</v>
      </c>
      <c r="CL14" s="1">
        <v>3</v>
      </c>
      <c r="CM14" s="1">
        <v>4</v>
      </c>
      <c r="CN14" s="1">
        <v>4</v>
      </c>
      <c r="CO14" s="1">
        <v>4</v>
      </c>
      <c r="CP14" s="1">
        <v>4</v>
      </c>
      <c r="CU14" s="1">
        <v>4</v>
      </c>
    </row>
    <row r="15" spans="1:99" x14ac:dyDescent="0.35">
      <c r="A15" s="1" t="s">
        <v>3362</v>
      </c>
      <c r="B15" s="1">
        <v>185121058</v>
      </c>
      <c r="C15" s="1">
        <v>0</v>
      </c>
      <c r="D15" s="1">
        <v>1</v>
      </c>
      <c r="E15" s="1">
        <v>0</v>
      </c>
      <c r="F15" s="1">
        <v>0</v>
      </c>
      <c r="G15" s="1">
        <v>0</v>
      </c>
      <c r="H15" s="1">
        <v>0</v>
      </c>
      <c r="I15" s="1">
        <v>0</v>
      </c>
      <c r="J15" s="1">
        <v>0</v>
      </c>
      <c r="K15" s="1">
        <v>0</v>
      </c>
      <c r="L15" s="1">
        <v>0</v>
      </c>
      <c r="M15" s="1">
        <v>0</v>
      </c>
      <c r="N15" s="1">
        <v>0</v>
      </c>
      <c r="O15" s="1">
        <v>0</v>
      </c>
      <c r="P15" s="1">
        <v>50</v>
      </c>
      <c r="Q15" s="1">
        <v>20</v>
      </c>
      <c r="R15" s="1">
        <v>9</v>
      </c>
      <c r="S15" s="1">
        <v>1</v>
      </c>
      <c r="T15" s="1">
        <v>1</v>
      </c>
      <c r="U15" s="1">
        <v>3</v>
      </c>
      <c r="V15" s="1">
        <v>3</v>
      </c>
      <c r="W15" s="1">
        <v>3</v>
      </c>
      <c r="X15" s="1">
        <v>3</v>
      </c>
      <c r="Y15" s="1">
        <v>3</v>
      </c>
      <c r="Z15" s="1">
        <v>3</v>
      </c>
      <c r="AA15" s="1">
        <v>3</v>
      </c>
      <c r="AC15" s="1">
        <v>2</v>
      </c>
      <c r="AE15" s="1">
        <v>6</v>
      </c>
      <c r="AF15" s="3">
        <v>5500000</v>
      </c>
      <c r="AG15" s="1">
        <v>13</v>
      </c>
      <c r="AT15" s="1" t="s">
        <v>86</v>
      </c>
      <c r="BP15" s="1">
        <v>1</v>
      </c>
      <c r="BQ15" s="1" t="s">
        <v>733</v>
      </c>
      <c r="BT15" s="1" t="s">
        <v>79</v>
      </c>
      <c r="BU15" s="1">
        <v>1</v>
      </c>
      <c r="BV15" s="1">
        <v>2</v>
      </c>
      <c r="BW15" s="1">
        <v>1</v>
      </c>
      <c r="BX15" s="1">
        <v>0</v>
      </c>
      <c r="BY15" s="1">
        <v>0</v>
      </c>
      <c r="BZ15" s="1">
        <v>0</v>
      </c>
      <c r="CA15" s="1">
        <v>0</v>
      </c>
      <c r="CB15" s="1">
        <v>0</v>
      </c>
      <c r="CC15" s="1">
        <v>0</v>
      </c>
      <c r="CD15" s="1">
        <v>0</v>
      </c>
      <c r="CE15" s="1">
        <v>0</v>
      </c>
      <c r="CF15" s="1">
        <v>0</v>
      </c>
      <c r="CG15" s="1">
        <v>0</v>
      </c>
      <c r="CH15" s="1">
        <v>0</v>
      </c>
      <c r="CI15" s="1">
        <v>0</v>
      </c>
      <c r="CJ15" s="1">
        <v>4</v>
      </c>
      <c r="CK15" s="1">
        <v>4</v>
      </c>
      <c r="CL15" s="1">
        <v>3</v>
      </c>
      <c r="CM15" s="1">
        <v>4</v>
      </c>
      <c r="CN15" s="1">
        <v>4</v>
      </c>
      <c r="CO15" s="1">
        <v>4</v>
      </c>
      <c r="CP15" s="1">
        <v>4</v>
      </c>
      <c r="CU15" s="1">
        <v>1</v>
      </c>
    </row>
    <row r="16" spans="1:99" x14ac:dyDescent="0.35">
      <c r="A16" s="1" t="s">
        <v>3363</v>
      </c>
      <c r="B16" s="1">
        <v>185121059</v>
      </c>
      <c r="C16" s="1">
        <v>0</v>
      </c>
      <c r="D16" s="1">
        <v>1</v>
      </c>
      <c r="E16" s="1">
        <v>0</v>
      </c>
      <c r="F16" s="1">
        <v>0</v>
      </c>
      <c r="G16" s="1">
        <v>1</v>
      </c>
      <c r="H16" s="1">
        <v>0</v>
      </c>
      <c r="I16" s="1">
        <v>0</v>
      </c>
      <c r="J16" s="1">
        <v>0</v>
      </c>
      <c r="K16" s="1">
        <v>1</v>
      </c>
      <c r="L16" s="1">
        <v>0</v>
      </c>
      <c r="M16" s="1">
        <v>0</v>
      </c>
      <c r="N16" s="1">
        <v>0</v>
      </c>
      <c r="O16" s="1">
        <v>0</v>
      </c>
      <c r="P16" s="1">
        <v>40</v>
      </c>
      <c r="Q16" s="1">
        <v>20</v>
      </c>
      <c r="R16" s="1">
        <v>9</v>
      </c>
    </row>
    <row r="17" spans="1:99" x14ac:dyDescent="0.35">
      <c r="A17" s="1" t="s">
        <v>3364</v>
      </c>
      <c r="B17" s="1">
        <v>185121061</v>
      </c>
      <c r="C17" s="1">
        <v>0</v>
      </c>
      <c r="D17" s="1">
        <v>1</v>
      </c>
      <c r="E17" s="1">
        <v>0</v>
      </c>
      <c r="F17" s="1">
        <v>0</v>
      </c>
      <c r="G17" s="1">
        <v>0</v>
      </c>
      <c r="H17" s="1">
        <v>0</v>
      </c>
      <c r="I17" s="1">
        <v>0</v>
      </c>
      <c r="J17" s="1">
        <v>0</v>
      </c>
      <c r="K17" s="1">
        <v>0</v>
      </c>
      <c r="L17" s="1">
        <v>0</v>
      </c>
      <c r="M17" s="1">
        <v>0</v>
      </c>
      <c r="N17" s="1">
        <v>0</v>
      </c>
      <c r="O17" s="1">
        <v>0</v>
      </c>
      <c r="P17" s="1">
        <v>60</v>
      </c>
      <c r="Q17" s="1">
        <v>15</v>
      </c>
      <c r="R17" s="1">
        <v>5</v>
      </c>
      <c r="S17" s="1">
        <v>1</v>
      </c>
      <c r="T17" s="1">
        <v>1</v>
      </c>
      <c r="U17" s="1">
        <v>4</v>
      </c>
      <c r="V17" s="1">
        <v>3</v>
      </c>
      <c r="W17" s="1">
        <v>2</v>
      </c>
      <c r="X17" s="1">
        <v>3</v>
      </c>
      <c r="Y17" s="1">
        <v>3</v>
      </c>
      <c r="Z17" s="1">
        <v>3</v>
      </c>
      <c r="AA17" s="1">
        <v>4</v>
      </c>
      <c r="AC17" s="1">
        <v>2</v>
      </c>
      <c r="AE17" s="1">
        <v>11</v>
      </c>
      <c r="AF17" s="3">
        <v>3000000</v>
      </c>
      <c r="AG17" s="1">
        <v>13</v>
      </c>
      <c r="AT17" s="1" t="s">
        <v>86</v>
      </c>
      <c r="BP17" s="1">
        <v>3</v>
      </c>
      <c r="BQ17" s="1" t="s">
        <v>3365</v>
      </c>
      <c r="BR17" s="1" t="s">
        <v>3366</v>
      </c>
      <c r="BS17" s="1" t="s">
        <v>3367</v>
      </c>
      <c r="BT17" s="1" t="s">
        <v>79</v>
      </c>
      <c r="BU17" s="1">
        <v>2</v>
      </c>
      <c r="BV17" s="1">
        <v>2</v>
      </c>
      <c r="BW17" s="1">
        <v>1</v>
      </c>
      <c r="BX17" s="1">
        <v>0</v>
      </c>
      <c r="BY17" s="1">
        <v>0</v>
      </c>
      <c r="BZ17" s="1">
        <v>0</v>
      </c>
      <c r="CA17" s="1">
        <v>0</v>
      </c>
      <c r="CB17" s="1">
        <v>0</v>
      </c>
      <c r="CC17" s="1">
        <v>0</v>
      </c>
      <c r="CD17" s="1">
        <v>0</v>
      </c>
      <c r="CE17" s="1">
        <v>0</v>
      </c>
      <c r="CF17" s="1">
        <v>0</v>
      </c>
      <c r="CG17" s="1">
        <v>0</v>
      </c>
      <c r="CH17" s="1">
        <v>0</v>
      </c>
      <c r="CI17" s="1">
        <v>0</v>
      </c>
      <c r="CJ17" s="1">
        <v>4</v>
      </c>
      <c r="CK17" s="1">
        <v>4</v>
      </c>
      <c r="CL17" s="1">
        <v>2</v>
      </c>
      <c r="CM17" s="1">
        <v>4</v>
      </c>
      <c r="CN17" s="1">
        <v>4</v>
      </c>
      <c r="CO17" s="1">
        <v>4</v>
      </c>
      <c r="CP17" s="1">
        <v>4</v>
      </c>
      <c r="CU17" s="1">
        <v>4</v>
      </c>
    </row>
    <row r="18" spans="1:99" x14ac:dyDescent="0.35">
      <c r="A18" s="1" t="s">
        <v>3368</v>
      </c>
      <c r="B18" s="1">
        <v>185121062</v>
      </c>
      <c r="C18" s="1">
        <v>0</v>
      </c>
      <c r="D18" s="1">
        <v>1</v>
      </c>
      <c r="E18" s="1">
        <v>0</v>
      </c>
      <c r="F18" s="1">
        <v>0</v>
      </c>
      <c r="G18" s="1">
        <v>0</v>
      </c>
      <c r="H18" s="1">
        <v>0</v>
      </c>
      <c r="I18" s="1">
        <v>0</v>
      </c>
      <c r="J18" s="1">
        <v>0</v>
      </c>
      <c r="K18" s="1">
        <v>0</v>
      </c>
      <c r="L18" s="1">
        <v>0</v>
      </c>
      <c r="M18" s="1">
        <v>0</v>
      </c>
      <c r="N18" s="1">
        <v>0</v>
      </c>
      <c r="O18" s="1">
        <v>0</v>
      </c>
      <c r="P18" s="1">
        <v>100</v>
      </c>
      <c r="Q18" s="4">
        <v>46300</v>
      </c>
      <c r="R18" s="1">
        <v>5</v>
      </c>
      <c r="S18" s="1">
        <v>1</v>
      </c>
      <c r="T18" s="1">
        <v>1</v>
      </c>
      <c r="U18" s="1">
        <v>4</v>
      </c>
      <c r="V18" s="1">
        <v>3</v>
      </c>
      <c r="W18" s="1">
        <v>2</v>
      </c>
      <c r="X18" s="1">
        <v>3</v>
      </c>
      <c r="Y18" s="1">
        <v>4</v>
      </c>
      <c r="Z18" s="1">
        <v>4</v>
      </c>
      <c r="AA18" s="1">
        <v>3</v>
      </c>
      <c r="AC18" s="1">
        <v>1</v>
      </c>
      <c r="AD18" s="1">
        <v>1</v>
      </c>
      <c r="AE18" s="1">
        <v>1</v>
      </c>
      <c r="AF18" s="3">
        <v>4374860</v>
      </c>
      <c r="AG18" s="1">
        <v>13</v>
      </c>
      <c r="AT18" s="1" t="s">
        <v>86</v>
      </c>
      <c r="BP18" s="1">
        <v>3</v>
      </c>
      <c r="BQ18" s="1" t="s">
        <v>3369</v>
      </c>
      <c r="BR18" s="1" t="s">
        <v>3370</v>
      </c>
      <c r="BS18" s="1" t="s">
        <v>3371</v>
      </c>
      <c r="BT18" s="1" t="s">
        <v>79</v>
      </c>
      <c r="BU18" s="1">
        <v>3</v>
      </c>
      <c r="BV18" s="1">
        <v>1</v>
      </c>
      <c r="BW18" s="1">
        <v>1</v>
      </c>
      <c r="BX18" s="1">
        <v>0</v>
      </c>
      <c r="BY18" s="1">
        <v>0</v>
      </c>
      <c r="BZ18" s="1">
        <v>0</v>
      </c>
      <c r="CA18" s="1">
        <v>0</v>
      </c>
      <c r="CB18" s="1">
        <v>0</v>
      </c>
      <c r="CC18" s="1">
        <v>0</v>
      </c>
      <c r="CD18" s="1">
        <v>0</v>
      </c>
      <c r="CE18" s="1">
        <v>0</v>
      </c>
      <c r="CF18" s="1">
        <v>0</v>
      </c>
      <c r="CG18" s="1">
        <v>0</v>
      </c>
      <c r="CH18" s="1">
        <v>0</v>
      </c>
      <c r="CI18" s="1">
        <v>0</v>
      </c>
      <c r="CJ18" s="1">
        <v>4</v>
      </c>
      <c r="CK18" s="1">
        <v>3</v>
      </c>
      <c r="CL18" s="1">
        <v>3</v>
      </c>
      <c r="CM18" s="1">
        <v>4</v>
      </c>
      <c r="CN18" s="1">
        <v>4</v>
      </c>
      <c r="CO18" s="1">
        <v>4</v>
      </c>
      <c r="CP18" s="1">
        <v>4</v>
      </c>
      <c r="CU18" s="1">
        <v>1</v>
      </c>
    </row>
    <row r="19" spans="1:99" x14ac:dyDescent="0.35">
      <c r="A19" s="1" t="s">
        <v>3372</v>
      </c>
      <c r="B19" s="1">
        <v>185121063</v>
      </c>
      <c r="C19" s="1">
        <v>0</v>
      </c>
      <c r="D19" s="1">
        <v>1</v>
      </c>
      <c r="E19" s="1">
        <v>0</v>
      </c>
      <c r="F19" s="1">
        <v>0</v>
      </c>
      <c r="G19" s="1">
        <v>0</v>
      </c>
      <c r="H19" s="1">
        <v>0</v>
      </c>
      <c r="I19" s="1">
        <v>0</v>
      </c>
      <c r="J19" s="1">
        <v>0</v>
      </c>
      <c r="K19" s="1">
        <v>0</v>
      </c>
      <c r="L19" s="1">
        <v>0</v>
      </c>
      <c r="M19" s="1">
        <v>0</v>
      </c>
      <c r="N19" s="1">
        <v>0</v>
      </c>
      <c r="O19" s="1">
        <v>0</v>
      </c>
      <c r="P19" s="1">
        <v>30</v>
      </c>
      <c r="Q19" s="1">
        <v>5</v>
      </c>
      <c r="R19" s="1">
        <v>3</v>
      </c>
      <c r="S19" s="1">
        <v>5</v>
      </c>
      <c r="T19" s="1">
        <v>1</v>
      </c>
      <c r="U19" s="1">
        <v>4</v>
      </c>
      <c r="V19" s="1">
        <v>3</v>
      </c>
      <c r="W19" s="1">
        <v>4</v>
      </c>
      <c r="X19" s="1">
        <v>3</v>
      </c>
      <c r="Y19" s="1">
        <v>4</v>
      </c>
      <c r="Z19" s="1">
        <v>3</v>
      </c>
      <c r="AA19" s="1">
        <v>3</v>
      </c>
      <c r="CU19" s="1">
        <v>4</v>
      </c>
    </row>
    <row r="20" spans="1:99" x14ac:dyDescent="0.35">
      <c r="A20" s="1" t="s">
        <v>3373</v>
      </c>
      <c r="B20" s="1">
        <v>185121065</v>
      </c>
      <c r="C20" s="1">
        <v>0</v>
      </c>
      <c r="D20" s="1">
        <v>1</v>
      </c>
      <c r="E20" s="1">
        <v>0</v>
      </c>
      <c r="F20" s="1">
        <v>0</v>
      </c>
      <c r="G20" s="1">
        <v>0</v>
      </c>
      <c r="H20" s="1">
        <v>1</v>
      </c>
      <c r="I20" s="1">
        <v>0</v>
      </c>
      <c r="J20" s="1">
        <v>0</v>
      </c>
      <c r="K20" s="1">
        <v>1</v>
      </c>
      <c r="L20" s="1">
        <v>0</v>
      </c>
      <c r="M20" s="1">
        <v>0</v>
      </c>
      <c r="N20" s="1">
        <v>0</v>
      </c>
      <c r="O20" s="1">
        <v>0</v>
      </c>
      <c r="P20" s="1">
        <v>60</v>
      </c>
      <c r="Q20" s="1">
        <v>7</v>
      </c>
      <c r="R20" s="1">
        <v>4</v>
      </c>
      <c r="S20" s="1">
        <v>5</v>
      </c>
      <c r="T20" s="1">
        <v>1</v>
      </c>
      <c r="U20" s="1">
        <v>3</v>
      </c>
      <c r="V20" s="1">
        <v>4</v>
      </c>
      <c r="W20" s="1">
        <v>2</v>
      </c>
      <c r="X20" s="1">
        <v>4</v>
      </c>
      <c r="Y20" s="1">
        <v>3</v>
      </c>
      <c r="Z20" s="1">
        <v>3</v>
      </c>
      <c r="AA20" s="1">
        <v>3</v>
      </c>
      <c r="CU20" s="1">
        <v>4</v>
      </c>
    </row>
    <row r="21" spans="1:99" x14ac:dyDescent="0.35">
      <c r="A21" s="1" t="s">
        <v>3836</v>
      </c>
      <c r="B21" s="1">
        <v>185121001</v>
      </c>
    </row>
    <row r="22" spans="1:99" x14ac:dyDescent="0.35">
      <c r="A22" s="1" t="s">
        <v>3837</v>
      </c>
      <c r="B22" s="1">
        <v>185121003</v>
      </c>
    </row>
    <row r="23" spans="1:99" x14ac:dyDescent="0.35">
      <c r="A23" s="1" t="s">
        <v>3838</v>
      </c>
      <c r="B23" s="1">
        <v>185121004</v>
      </c>
    </row>
    <row r="24" spans="1:99" x14ac:dyDescent="0.35">
      <c r="A24" s="1" t="s">
        <v>3839</v>
      </c>
      <c r="B24" s="1">
        <v>185121005</v>
      </c>
    </row>
    <row r="25" spans="1:99" x14ac:dyDescent="0.35">
      <c r="A25" s="1" t="s">
        <v>3840</v>
      </c>
      <c r="B25" s="1">
        <v>185121006</v>
      </c>
    </row>
    <row r="26" spans="1:99" x14ac:dyDescent="0.35">
      <c r="A26" s="1" t="s">
        <v>3841</v>
      </c>
      <c r="B26" s="1">
        <v>185121009</v>
      </c>
    </row>
    <row r="27" spans="1:99" x14ac:dyDescent="0.35">
      <c r="A27" s="1" t="s">
        <v>3842</v>
      </c>
      <c r="B27" s="1">
        <v>185121011</v>
      </c>
    </row>
    <row r="28" spans="1:99" x14ac:dyDescent="0.35">
      <c r="A28" s="1" t="s">
        <v>3843</v>
      </c>
      <c r="B28" s="1">
        <v>185121013</v>
      </c>
    </row>
    <row r="29" spans="1:99" x14ac:dyDescent="0.35">
      <c r="A29" s="1" t="s">
        <v>3844</v>
      </c>
      <c r="B29" s="1">
        <v>185121014</v>
      </c>
    </row>
    <row r="30" spans="1:99" x14ac:dyDescent="0.35">
      <c r="A30" s="1" t="s">
        <v>3845</v>
      </c>
      <c r="B30" s="1">
        <v>185121015</v>
      </c>
    </row>
    <row r="31" spans="1:99" x14ac:dyDescent="0.35">
      <c r="A31" s="1" t="s">
        <v>3846</v>
      </c>
      <c r="B31" s="1">
        <v>185121016</v>
      </c>
    </row>
    <row r="32" spans="1:99" x14ac:dyDescent="0.35">
      <c r="A32" s="1" t="s">
        <v>3847</v>
      </c>
      <c r="B32" s="1">
        <v>185121017</v>
      </c>
    </row>
    <row r="33" spans="1:2" x14ac:dyDescent="0.35">
      <c r="A33" s="1" t="s">
        <v>3848</v>
      </c>
      <c r="B33" s="1">
        <v>185121018</v>
      </c>
    </row>
    <row r="34" spans="1:2" x14ac:dyDescent="0.35">
      <c r="A34" s="1" t="s">
        <v>3849</v>
      </c>
      <c r="B34" s="1">
        <v>185121020</v>
      </c>
    </row>
    <row r="35" spans="1:2" x14ac:dyDescent="0.35">
      <c r="A35" s="1" t="s">
        <v>3850</v>
      </c>
      <c r="B35" s="1">
        <v>185121021</v>
      </c>
    </row>
    <row r="36" spans="1:2" x14ac:dyDescent="0.35">
      <c r="A36" s="1" t="s">
        <v>3851</v>
      </c>
      <c r="B36" s="1">
        <v>185121024</v>
      </c>
    </row>
    <row r="37" spans="1:2" x14ac:dyDescent="0.35">
      <c r="A37" s="1" t="s">
        <v>3852</v>
      </c>
      <c r="B37" s="1">
        <v>185121026</v>
      </c>
    </row>
    <row r="38" spans="1:2" x14ac:dyDescent="0.35">
      <c r="A38" s="1" t="s">
        <v>3853</v>
      </c>
      <c r="B38" s="1">
        <v>185121027</v>
      </c>
    </row>
    <row r="39" spans="1:2" x14ac:dyDescent="0.35">
      <c r="A39" s="1" t="s">
        <v>3854</v>
      </c>
      <c r="B39" s="1">
        <v>185121030</v>
      </c>
    </row>
    <row r="40" spans="1:2" x14ac:dyDescent="0.35">
      <c r="A40" s="1" t="s">
        <v>3855</v>
      </c>
      <c r="B40" s="1">
        <v>185121031</v>
      </c>
    </row>
    <row r="41" spans="1:2" x14ac:dyDescent="0.35">
      <c r="A41" s="1" t="s">
        <v>3856</v>
      </c>
      <c r="B41" s="1">
        <v>185121032</v>
      </c>
    </row>
    <row r="42" spans="1:2" x14ac:dyDescent="0.35">
      <c r="A42" s="1" t="s">
        <v>3857</v>
      </c>
      <c r="B42" s="1">
        <v>185121033</v>
      </c>
    </row>
    <row r="43" spans="1:2" x14ac:dyDescent="0.35">
      <c r="A43" s="1" t="s">
        <v>3858</v>
      </c>
      <c r="B43" s="1">
        <v>185121034</v>
      </c>
    </row>
    <row r="44" spans="1:2" x14ac:dyDescent="0.35">
      <c r="A44" s="1" t="s">
        <v>3859</v>
      </c>
      <c r="B44" s="1">
        <v>185121035</v>
      </c>
    </row>
    <row r="45" spans="1:2" x14ac:dyDescent="0.35">
      <c r="A45" s="1" t="s">
        <v>3860</v>
      </c>
      <c r="B45" s="1">
        <v>185121037</v>
      </c>
    </row>
    <row r="46" spans="1:2" x14ac:dyDescent="0.35">
      <c r="A46" s="1" t="s">
        <v>3861</v>
      </c>
      <c r="B46" s="1">
        <v>185121039</v>
      </c>
    </row>
    <row r="47" spans="1:2" x14ac:dyDescent="0.35">
      <c r="A47" s="1" t="s">
        <v>3862</v>
      </c>
      <c r="B47" s="1">
        <v>185121040</v>
      </c>
    </row>
    <row r="48" spans="1:2" x14ac:dyDescent="0.35">
      <c r="A48" s="1" t="s">
        <v>3863</v>
      </c>
      <c r="B48" s="1">
        <v>185121041</v>
      </c>
    </row>
    <row r="49" spans="1:2" x14ac:dyDescent="0.35">
      <c r="A49" s="1" t="s">
        <v>3864</v>
      </c>
      <c r="B49" s="1">
        <v>185121043</v>
      </c>
    </row>
    <row r="50" spans="1:2" x14ac:dyDescent="0.35">
      <c r="A50" s="1" t="s">
        <v>3865</v>
      </c>
      <c r="B50" s="1">
        <v>185121045</v>
      </c>
    </row>
    <row r="51" spans="1:2" x14ac:dyDescent="0.35">
      <c r="A51" s="1" t="s">
        <v>3866</v>
      </c>
      <c r="B51" s="1">
        <v>185121046</v>
      </c>
    </row>
    <row r="52" spans="1:2" x14ac:dyDescent="0.35">
      <c r="A52" s="1" t="s">
        <v>3867</v>
      </c>
      <c r="B52" s="1">
        <v>185121049</v>
      </c>
    </row>
    <row r="53" spans="1:2" x14ac:dyDescent="0.35">
      <c r="A53" s="1" t="s">
        <v>3868</v>
      </c>
      <c r="B53" s="1">
        <v>185121050</v>
      </c>
    </row>
    <row r="54" spans="1:2" x14ac:dyDescent="0.35">
      <c r="A54" s="1" t="s">
        <v>3869</v>
      </c>
      <c r="B54" s="1">
        <v>185121051</v>
      </c>
    </row>
    <row r="55" spans="1:2" x14ac:dyDescent="0.35">
      <c r="A55" s="1" t="s">
        <v>3870</v>
      </c>
      <c r="B55" s="1">
        <v>185121052</v>
      </c>
    </row>
    <row r="56" spans="1:2" x14ac:dyDescent="0.35">
      <c r="A56" s="1" t="s">
        <v>3871</v>
      </c>
      <c r="B56" s="1">
        <v>185121053</v>
      </c>
    </row>
    <row r="57" spans="1:2" x14ac:dyDescent="0.35">
      <c r="A57" s="1" t="s">
        <v>3872</v>
      </c>
      <c r="B57" s="1">
        <v>185121054</v>
      </c>
    </row>
    <row r="58" spans="1:2" x14ac:dyDescent="0.35">
      <c r="A58" s="1" t="s">
        <v>3873</v>
      </c>
      <c r="B58" s="1">
        <v>185121056</v>
      </c>
    </row>
    <row r="59" spans="1:2" x14ac:dyDescent="0.35">
      <c r="A59" s="1" t="s">
        <v>3874</v>
      </c>
      <c r="B59" s="1">
        <v>185121057</v>
      </c>
    </row>
    <row r="60" spans="1:2" x14ac:dyDescent="0.35">
      <c r="A60" s="1" t="s">
        <v>3875</v>
      </c>
      <c r="B60" s="1">
        <v>185121060</v>
      </c>
    </row>
    <row r="61" spans="1:2" x14ac:dyDescent="0.35">
      <c r="A61" s="1" t="s">
        <v>3876</v>
      </c>
      <c r="B61" s="1">
        <v>185121064</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7BEE6-B977-453C-B383-4F3597EC0796}">
  <dimension ref="A1:CU62"/>
  <sheetViews>
    <sheetView topLeftCell="T1" zoomScale="55" zoomScaleNormal="55" workbookViewId="0">
      <pane ySplit="1" topLeftCell="A2" activePane="bottomLeft" state="frozen"/>
      <selection pane="bottomLeft" activeCell="T19" sqref="T19"/>
    </sheetView>
  </sheetViews>
  <sheetFormatPr defaultColWidth="8.90625" defaultRowHeight="14.5" x14ac:dyDescent="0.35"/>
  <cols>
    <col min="1" max="1" width="31" style="1" bestFit="1" customWidth="1"/>
    <col min="2" max="2" width="10" style="1" customWidth="1"/>
    <col min="3" max="9" width="64.08984375" style="1" bestFit="1" customWidth="1"/>
    <col min="10" max="14" width="65.08984375" style="1" bestFit="1" customWidth="1"/>
    <col min="15" max="15" width="67.54296875" style="1" bestFit="1" customWidth="1"/>
    <col min="16" max="16" width="110" style="1" bestFit="1" customWidth="1"/>
    <col min="17" max="17" width="63.90625" style="1" bestFit="1" customWidth="1"/>
    <col min="18" max="18" width="73" style="1" bestFit="1" customWidth="1"/>
    <col min="19" max="19" width="25" style="1" bestFit="1" customWidth="1"/>
    <col min="20" max="20" width="41.26953125" style="1" bestFit="1" customWidth="1"/>
    <col min="21" max="21" width="67.08984375" style="1" bestFit="1" customWidth="1"/>
    <col min="22" max="22" width="90.453125" style="1" bestFit="1" customWidth="1"/>
    <col min="23" max="23" width="74.90625" style="1" bestFit="1" customWidth="1"/>
    <col min="24" max="24" width="89.36328125" style="1" bestFit="1" customWidth="1"/>
    <col min="25" max="25" width="72.453125" style="1" bestFit="1" customWidth="1"/>
    <col min="26" max="26" width="75.1796875" style="1" bestFit="1" customWidth="1"/>
    <col min="27" max="27" width="79" style="1" bestFit="1" customWidth="1"/>
    <col min="28" max="28" width="43.08984375" style="1" bestFit="1" customWidth="1"/>
    <col min="29" max="29" width="73.1796875" style="1" bestFit="1" customWidth="1"/>
    <col min="30" max="30" width="43.36328125" style="1" bestFit="1" customWidth="1"/>
    <col min="31" max="31" width="50.54296875" style="1" bestFit="1" customWidth="1"/>
    <col min="32" max="32" width="120.26953125" style="1" bestFit="1" customWidth="1"/>
    <col min="33" max="33" width="39.08984375" style="1" bestFit="1" customWidth="1"/>
    <col min="34" max="35" width="45.7265625" style="1" bestFit="1" customWidth="1"/>
    <col min="36" max="37" width="46.1796875" style="1" bestFit="1" customWidth="1"/>
    <col min="38" max="38" width="45.7265625" style="1" bestFit="1" customWidth="1"/>
    <col min="39" max="52" width="46.1796875" style="1" bestFit="1" customWidth="1"/>
    <col min="53" max="55" width="45.7265625" style="1" bestFit="1" customWidth="1"/>
    <col min="56" max="64" width="46.1796875" style="1" bestFit="1" customWidth="1"/>
    <col min="65" max="67" width="45.7265625" style="1" bestFit="1" customWidth="1"/>
    <col min="68" max="68" width="58.90625" style="1" bestFit="1" customWidth="1"/>
    <col min="69" max="69" width="43.26953125" style="1" bestFit="1" customWidth="1"/>
    <col min="70" max="70" width="45.36328125" style="1" bestFit="1" customWidth="1"/>
    <col min="71" max="71" width="45.26953125" style="1" bestFit="1" customWidth="1"/>
    <col min="72" max="72" width="55.453125" style="1" bestFit="1" customWidth="1"/>
    <col min="73" max="73" width="217.453125" style="1" bestFit="1" customWidth="1"/>
    <col min="74" max="74" width="65.08984375" style="1" bestFit="1" customWidth="1"/>
    <col min="75" max="83" width="117.26953125" style="1" bestFit="1" customWidth="1"/>
    <col min="84" max="86" width="118.26953125" style="1" bestFit="1" customWidth="1"/>
    <col min="87" max="87" width="120.7265625" style="1" bestFit="1" customWidth="1"/>
    <col min="88" max="88" width="76.6328125" style="1" bestFit="1" customWidth="1"/>
    <col min="89" max="89" width="100.26953125" style="1" bestFit="1" customWidth="1"/>
    <col min="90" max="90" width="84.36328125" style="1" bestFit="1" customWidth="1"/>
    <col min="91" max="91" width="98.6328125" style="1" bestFit="1" customWidth="1"/>
    <col min="92" max="92" width="81.90625" style="1" bestFit="1" customWidth="1"/>
    <col min="93" max="93" width="84.7265625" style="1" bestFit="1" customWidth="1"/>
    <col min="94" max="94" width="88.54296875" style="1" bestFit="1" customWidth="1"/>
    <col min="95" max="95" width="40.54296875" style="1" bestFit="1" customWidth="1"/>
    <col min="96" max="96" width="53.36328125" style="1" bestFit="1" customWidth="1"/>
    <col min="97" max="97" width="31.36328125" style="1" bestFit="1" customWidth="1"/>
    <col min="98" max="98" width="24.7265625" style="1" bestFit="1" customWidth="1"/>
    <col min="99" max="99" width="51.90625" style="1" bestFit="1" customWidth="1"/>
    <col min="100" max="16384" width="8.90625" style="1"/>
  </cols>
  <sheetData>
    <row r="1" spans="1:99" s="6" customFormat="1" x14ac:dyDescent="0.35">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6" t="s">
        <v>15</v>
      </c>
      <c r="Q1" s="6" t="s">
        <v>16</v>
      </c>
      <c r="R1" s="6" t="s">
        <v>17</v>
      </c>
      <c r="S1" s="6" t="s">
        <v>18</v>
      </c>
      <c r="T1" s="6" t="s">
        <v>19</v>
      </c>
      <c r="U1" s="6" t="s">
        <v>20</v>
      </c>
      <c r="V1" s="6" t="s">
        <v>21</v>
      </c>
      <c r="W1" s="6" t="s">
        <v>22</v>
      </c>
      <c r="X1" s="6" t="s">
        <v>23</v>
      </c>
      <c r="Y1" s="6" t="s">
        <v>24</v>
      </c>
      <c r="Z1" s="6" t="s">
        <v>25</v>
      </c>
      <c r="AA1" s="6" t="s">
        <v>26</v>
      </c>
      <c r="AB1" s="6" t="s">
        <v>27</v>
      </c>
      <c r="AC1" s="6" t="s">
        <v>28</v>
      </c>
      <c r="AD1" s="6" t="s">
        <v>29</v>
      </c>
      <c r="AE1" s="6" t="s">
        <v>30</v>
      </c>
      <c r="AF1" s="6" t="s">
        <v>31</v>
      </c>
      <c r="AG1" s="6" t="s">
        <v>32</v>
      </c>
      <c r="AH1" s="6" t="s">
        <v>33</v>
      </c>
      <c r="AI1" s="6" t="s">
        <v>33</v>
      </c>
      <c r="AJ1" s="6" t="s">
        <v>34</v>
      </c>
      <c r="AK1" s="6" t="s">
        <v>34</v>
      </c>
      <c r="AL1" s="6" t="s">
        <v>33</v>
      </c>
      <c r="AM1" s="6" t="s">
        <v>34</v>
      </c>
      <c r="AN1" s="6" t="s">
        <v>34</v>
      </c>
      <c r="AO1" s="6" t="s">
        <v>34</v>
      </c>
      <c r="AP1" s="6" t="s">
        <v>34</v>
      </c>
      <c r="AQ1" s="6" t="s">
        <v>34</v>
      </c>
      <c r="AR1" s="6" t="s">
        <v>34</v>
      </c>
      <c r="AS1" s="6" t="s">
        <v>34</v>
      </c>
      <c r="AT1" s="6" t="s">
        <v>34</v>
      </c>
      <c r="AU1" s="6" t="s">
        <v>34</v>
      </c>
      <c r="AV1" s="6" t="s">
        <v>34</v>
      </c>
      <c r="AW1" s="6" t="s">
        <v>34</v>
      </c>
      <c r="AX1" s="6" t="s">
        <v>34</v>
      </c>
      <c r="AY1" s="6" t="s">
        <v>34</v>
      </c>
      <c r="AZ1" s="6" t="s">
        <v>34</v>
      </c>
      <c r="BA1" s="6" t="s">
        <v>33</v>
      </c>
      <c r="BB1" s="6" t="s">
        <v>33</v>
      </c>
      <c r="BC1" s="6" t="s">
        <v>33</v>
      </c>
      <c r="BD1" s="6" t="s">
        <v>34</v>
      </c>
      <c r="BE1" s="6" t="s">
        <v>34</v>
      </c>
      <c r="BF1" s="6" t="s">
        <v>34</v>
      </c>
      <c r="BG1" s="6" t="s">
        <v>34</v>
      </c>
      <c r="BH1" s="6" t="s">
        <v>34</v>
      </c>
      <c r="BI1" s="6" t="s">
        <v>34</v>
      </c>
      <c r="BJ1" s="6" t="s">
        <v>34</v>
      </c>
      <c r="BK1" s="6" t="s">
        <v>34</v>
      </c>
      <c r="BL1" s="6" t="s">
        <v>34</v>
      </c>
      <c r="BM1" s="6" t="s">
        <v>33</v>
      </c>
      <c r="BN1" s="6" t="s">
        <v>33</v>
      </c>
      <c r="BO1" s="6" t="s">
        <v>33</v>
      </c>
      <c r="BP1" s="6" t="s">
        <v>35</v>
      </c>
      <c r="BQ1" s="6" t="s">
        <v>36</v>
      </c>
      <c r="BR1" s="6" t="s">
        <v>37</v>
      </c>
      <c r="BS1" s="6" t="s">
        <v>38</v>
      </c>
      <c r="BT1" s="6" t="s">
        <v>39</v>
      </c>
      <c r="BU1" s="6" t="s">
        <v>40</v>
      </c>
      <c r="BV1" s="6" t="s">
        <v>41</v>
      </c>
      <c r="BW1" s="6" t="s">
        <v>42</v>
      </c>
      <c r="BX1" s="6" t="s">
        <v>43</v>
      </c>
      <c r="BY1" s="6" t="s">
        <v>44</v>
      </c>
      <c r="BZ1" s="6" t="s">
        <v>45</v>
      </c>
      <c r="CA1" s="6" t="s">
        <v>46</v>
      </c>
      <c r="CB1" s="6" t="s">
        <v>47</v>
      </c>
      <c r="CC1" s="6" t="s">
        <v>48</v>
      </c>
      <c r="CD1" s="6" t="s">
        <v>49</v>
      </c>
      <c r="CE1" s="6" t="s">
        <v>50</v>
      </c>
      <c r="CF1" s="6" t="s">
        <v>51</v>
      </c>
      <c r="CG1" s="6" t="s">
        <v>52</v>
      </c>
      <c r="CH1" s="6" t="s">
        <v>53</v>
      </c>
      <c r="CI1" s="6" t="s">
        <v>54</v>
      </c>
      <c r="CJ1" s="6" t="s">
        <v>55</v>
      </c>
      <c r="CK1" s="6" t="s">
        <v>56</v>
      </c>
      <c r="CL1" s="6" t="s">
        <v>57</v>
      </c>
      <c r="CM1" s="6" t="s">
        <v>58</v>
      </c>
      <c r="CN1" s="6" t="s">
        <v>59</v>
      </c>
      <c r="CO1" s="6" t="s">
        <v>60</v>
      </c>
      <c r="CP1" s="6" t="s">
        <v>61</v>
      </c>
      <c r="CQ1" s="6" t="s">
        <v>62</v>
      </c>
      <c r="CR1" s="6" t="s">
        <v>63</v>
      </c>
      <c r="CS1" s="6" t="s">
        <v>64</v>
      </c>
      <c r="CT1" s="6" t="s">
        <v>65</v>
      </c>
      <c r="CU1" s="6" t="s">
        <v>66</v>
      </c>
    </row>
    <row r="2" spans="1:99" x14ac:dyDescent="0.35">
      <c r="A2" s="1" t="s">
        <v>3374</v>
      </c>
      <c r="B2" s="1">
        <v>175144002</v>
      </c>
      <c r="C2" s="1">
        <v>0</v>
      </c>
      <c r="D2" s="1">
        <v>1</v>
      </c>
      <c r="E2" s="1">
        <v>0</v>
      </c>
      <c r="F2" s="1">
        <v>0</v>
      </c>
      <c r="G2" s="1">
        <v>0</v>
      </c>
      <c r="H2" s="1">
        <v>0</v>
      </c>
      <c r="I2" s="1">
        <v>0</v>
      </c>
      <c r="J2" s="1">
        <v>0</v>
      </c>
      <c r="K2" s="1">
        <v>0</v>
      </c>
      <c r="L2" s="1">
        <v>0</v>
      </c>
      <c r="M2" s="1">
        <v>0</v>
      </c>
      <c r="N2" s="1">
        <v>0</v>
      </c>
      <c r="O2" s="1">
        <v>0</v>
      </c>
      <c r="P2" s="1">
        <v>100</v>
      </c>
      <c r="Q2" s="1">
        <v>10</v>
      </c>
      <c r="R2" s="1">
        <v>7</v>
      </c>
      <c r="S2" s="1">
        <v>1</v>
      </c>
      <c r="T2" s="1">
        <v>1</v>
      </c>
      <c r="U2" s="1">
        <v>4</v>
      </c>
      <c r="V2" s="1">
        <v>4</v>
      </c>
      <c r="W2" s="1">
        <v>4</v>
      </c>
      <c r="X2" s="1">
        <v>4</v>
      </c>
      <c r="Y2" s="1">
        <v>4</v>
      </c>
      <c r="Z2" s="1">
        <v>4</v>
      </c>
      <c r="AA2" s="1">
        <v>4</v>
      </c>
      <c r="AC2" s="1">
        <v>1</v>
      </c>
      <c r="AD2" s="1">
        <v>3</v>
      </c>
      <c r="AF2" s="3">
        <v>4200000</v>
      </c>
      <c r="AG2" s="1">
        <v>13</v>
      </c>
      <c r="AT2" s="1" t="s">
        <v>86</v>
      </c>
      <c r="BQ2" s="1" t="s">
        <v>3375</v>
      </c>
      <c r="BR2" s="1" t="s">
        <v>3376</v>
      </c>
      <c r="BS2" s="1" t="s">
        <v>3377</v>
      </c>
      <c r="BT2" s="1" t="s">
        <v>79</v>
      </c>
      <c r="BU2" s="1">
        <v>3</v>
      </c>
      <c r="BV2" s="1">
        <v>2</v>
      </c>
      <c r="BW2" s="1">
        <v>0</v>
      </c>
      <c r="BX2" s="1">
        <v>0</v>
      </c>
      <c r="BY2" s="1">
        <v>1</v>
      </c>
      <c r="BZ2" s="1">
        <v>0</v>
      </c>
      <c r="CA2" s="1">
        <v>0</v>
      </c>
      <c r="CB2" s="1">
        <v>1</v>
      </c>
      <c r="CC2" s="1">
        <v>0</v>
      </c>
      <c r="CD2" s="1">
        <v>1</v>
      </c>
      <c r="CE2" s="1">
        <v>0</v>
      </c>
      <c r="CF2" s="1">
        <v>1</v>
      </c>
      <c r="CG2" s="1">
        <v>0</v>
      </c>
      <c r="CH2" s="1">
        <v>1</v>
      </c>
      <c r="CI2" s="1">
        <v>0</v>
      </c>
      <c r="CJ2" s="1">
        <v>4</v>
      </c>
      <c r="CK2" s="1">
        <v>3</v>
      </c>
      <c r="CL2" s="1">
        <v>4</v>
      </c>
      <c r="CM2" s="1">
        <v>4</v>
      </c>
      <c r="CN2" s="1">
        <v>4</v>
      </c>
      <c r="CO2" s="1">
        <v>4</v>
      </c>
      <c r="CP2" s="1">
        <v>4</v>
      </c>
      <c r="CU2" s="1">
        <v>1</v>
      </c>
    </row>
    <row r="3" spans="1:99" x14ac:dyDescent="0.35">
      <c r="A3" s="1" t="s">
        <v>3378</v>
      </c>
      <c r="B3" s="1">
        <v>175144003</v>
      </c>
      <c r="C3" s="1">
        <v>0</v>
      </c>
      <c r="D3" s="1">
        <v>1</v>
      </c>
      <c r="E3" s="1">
        <v>0</v>
      </c>
      <c r="F3" s="1">
        <v>0</v>
      </c>
      <c r="G3" s="1">
        <v>0</v>
      </c>
      <c r="H3" s="1">
        <v>0</v>
      </c>
      <c r="I3" s="1">
        <v>0</v>
      </c>
      <c r="J3" s="1">
        <v>1</v>
      </c>
      <c r="K3" s="1">
        <v>1</v>
      </c>
      <c r="L3" s="1">
        <v>0</v>
      </c>
      <c r="M3" s="1">
        <v>1</v>
      </c>
      <c r="N3" s="1">
        <v>0</v>
      </c>
      <c r="O3" s="1">
        <v>0</v>
      </c>
      <c r="P3" s="1">
        <v>8</v>
      </c>
      <c r="Q3" s="1">
        <v>3</v>
      </c>
      <c r="R3" s="1">
        <v>3</v>
      </c>
    </row>
    <row r="4" spans="1:99" x14ac:dyDescent="0.35">
      <c r="A4" s="1" t="s">
        <v>3379</v>
      </c>
      <c r="B4" s="1">
        <v>175144004</v>
      </c>
      <c r="C4" s="1">
        <v>0</v>
      </c>
      <c r="D4" s="1">
        <v>0</v>
      </c>
      <c r="E4" s="1">
        <v>0</v>
      </c>
      <c r="F4" s="1">
        <v>0</v>
      </c>
      <c r="G4" s="1">
        <v>0</v>
      </c>
      <c r="H4" s="1">
        <v>0</v>
      </c>
      <c r="I4" s="1">
        <v>0</v>
      </c>
      <c r="J4" s="1">
        <v>0</v>
      </c>
      <c r="K4" s="1">
        <v>1</v>
      </c>
      <c r="L4" s="1">
        <v>0</v>
      </c>
      <c r="M4" s="1">
        <v>0</v>
      </c>
      <c r="N4" s="1">
        <v>0</v>
      </c>
      <c r="O4" s="1">
        <v>0</v>
      </c>
      <c r="P4" s="1">
        <v>5</v>
      </c>
      <c r="Q4" s="1">
        <v>1</v>
      </c>
      <c r="R4" s="1">
        <v>1</v>
      </c>
      <c r="S4" s="1">
        <v>3</v>
      </c>
      <c r="T4" s="1">
        <v>3</v>
      </c>
      <c r="U4" s="1">
        <v>4</v>
      </c>
      <c r="V4" s="1">
        <v>3</v>
      </c>
      <c r="W4" s="1">
        <v>3</v>
      </c>
      <c r="X4" s="1">
        <v>3</v>
      </c>
      <c r="Y4" s="1">
        <v>4</v>
      </c>
      <c r="Z4" s="1">
        <v>4</v>
      </c>
      <c r="AA4" s="1">
        <v>4</v>
      </c>
      <c r="AB4" s="1">
        <v>3</v>
      </c>
      <c r="AC4" s="1">
        <v>1</v>
      </c>
      <c r="AD4" s="1">
        <v>1</v>
      </c>
      <c r="AE4" s="1">
        <v>1</v>
      </c>
      <c r="AF4" s="3">
        <v>4000000</v>
      </c>
      <c r="AG4" s="1">
        <v>11</v>
      </c>
      <c r="AR4" s="1" t="s">
        <v>130</v>
      </c>
      <c r="BP4" s="1">
        <v>3</v>
      </c>
      <c r="BQ4" s="1" t="s">
        <v>3331</v>
      </c>
      <c r="BR4" s="1" t="s">
        <v>3380</v>
      </c>
      <c r="BS4" s="1" t="s">
        <v>3333</v>
      </c>
      <c r="BT4" s="1" t="s">
        <v>79</v>
      </c>
      <c r="BU4" s="1">
        <v>3</v>
      </c>
      <c r="BV4" s="1">
        <v>2</v>
      </c>
      <c r="BW4" s="1">
        <v>1</v>
      </c>
      <c r="BX4" s="1">
        <v>0</v>
      </c>
      <c r="BY4" s="1">
        <v>0</v>
      </c>
      <c r="BZ4" s="1">
        <v>0</v>
      </c>
      <c r="CA4" s="1">
        <v>0</v>
      </c>
      <c r="CB4" s="1">
        <v>0</v>
      </c>
      <c r="CC4" s="1">
        <v>0</v>
      </c>
      <c r="CD4" s="1">
        <v>0</v>
      </c>
      <c r="CE4" s="1">
        <v>0</v>
      </c>
      <c r="CF4" s="1">
        <v>0</v>
      </c>
      <c r="CG4" s="1">
        <v>0</v>
      </c>
      <c r="CH4" s="1">
        <v>0</v>
      </c>
      <c r="CI4" s="1">
        <v>0</v>
      </c>
      <c r="CJ4" s="1">
        <v>4</v>
      </c>
      <c r="CK4" s="1">
        <v>4</v>
      </c>
      <c r="CL4" s="1">
        <v>3</v>
      </c>
      <c r="CM4" s="1">
        <v>4</v>
      </c>
      <c r="CN4" s="1">
        <v>4</v>
      </c>
      <c r="CO4" s="1">
        <v>4</v>
      </c>
      <c r="CP4" s="1">
        <v>4</v>
      </c>
      <c r="CU4" s="1">
        <v>1</v>
      </c>
    </row>
    <row r="5" spans="1:99" x14ac:dyDescent="0.35">
      <c r="A5" s="1" t="s">
        <v>3381</v>
      </c>
      <c r="B5" s="1">
        <v>175144005</v>
      </c>
      <c r="C5" s="1">
        <v>1</v>
      </c>
      <c r="D5" s="1">
        <v>0</v>
      </c>
      <c r="E5" s="1">
        <v>0</v>
      </c>
      <c r="F5" s="1">
        <v>0</v>
      </c>
      <c r="G5" s="1">
        <v>0</v>
      </c>
      <c r="H5" s="1">
        <v>0</v>
      </c>
      <c r="I5" s="1">
        <v>0</v>
      </c>
      <c r="J5" s="1">
        <v>0</v>
      </c>
      <c r="K5" s="1">
        <v>1</v>
      </c>
      <c r="L5" s="1">
        <v>0</v>
      </c>
      <c r="M5" s="1">
        <v>0</v>
      </c>
      <c r="N5" s="1">
        <v>0</v>
      </c>
      <c r="O5" s="1">
        <v>0</v>
      </c>
      <c r="P5" s="1">
        <v>10</v>
      </c>
      <c r="Q5" s="1">
        <v>5</v>
      </c>
      <c r="R5" s="1">
        <v>4</v>
      </c>
      <c r="S5" s="1">
        <v>1</v>
      </c>
      <c r="T5" s="1">
        <v>3</v>
      </c>
      <c r="U5" s="1">
        <v>4</v>
      </c>
      <c r="V5" s="1">
        <v>3</v>
      </c>
      <c r="W5" s="1">
        <v>3</v>
      </c>
      <c r="X5" s="1">
        <v>3</v>
      </c>
      <c r="Y5" s="1">
        <v>4</v>
      </c>
      <c r="Z5" s="1">
        <v>3</v>
      </c>
      <c r="AA5" s="1">
        <v>3</v>
      </c>
      <c r="AC5" s="1">
        <v>1</v>
      </c>
      <c r="AD5" s="1">
        <v>3</v>
      </c>
      <c r="AF5" s="3">
        <v>4000000</v>
      </c>
      <c r="AG5" s="1">
        <v>13</v>
      </c>
      <c r="AT5" s="1" t="s">
        <v>86</v>
      </c>
      <c r="BP5" s="1">
        <v>3</v>
      </c>
      <c r="BQ5" s="1" t="s">
        <v>3382</v>
      </c>
      <c r="BR5" s="1" t="s">
        <v>3383</v>
      </c>
      <c r="BS5" s="1" t="s">
        <v>3384</v>
      </c>
      <c r="BT5" s="1" t="s">
        <v>73</v>
      </c>
      <c r="BU5" s="1">
        <v>3</v>
      </c>
      <c r="BV5" s="1">
        <v>1</v>
      </c>
      <c r="BW5" s="1">
        <v>0</v>
      </c>
      <c r="BX5" s="1">
        <v>0</v>
      </c>
      <c r="BY5" s="1">
        <v>1</v>
      </c>
      <c r="BZ5" s="1">
        <v>1</v>
      </c>
      <c r="CA5" s="1">
        <v>0</v>
      </c>
      <c r="CB5" s="1">
        <v>0</v>
      </c>
      <c r="CC5" s="1">
        <v>1</v>
      </c>
      <c r="CD5" s="1">
        <v>1</v>
      </c>
      <c r="CE5" s="1">
        <v>0</v>
      </c>
      <c r="CF5" s="1">
        <v>0</v>
      </c>
      <c r="CG5" s="1">
        <v>0</v>
      </c>
      <c r="CH5" s="1">
        <v>0</v>
      </c>
      <c r="CI5" s="1">
        <v>0</v>
      </c>
      <c r="CJ5" s="1">
        <v>4</v>
      </c>
      <c r="CK5" s="1">
        <v>3</v>
      </c>
      <c r="CL5" s="1">
        <v>4</v>
      </c>
      <c r="CM5" s="1">
        <v>3</v>
      </c>
      <c r="CN5" s="1">
        <v>4</v>
      </c>
      <c r="CO5" s="1">
        <v>4</v>
      </c>
      <c r="CP5" s="1">
        <v>4</v>
      </c>
      <c r="CU5" s="1">
        <v>1</v>
      </c>
    </row>
    <row r="6" spans="1:99" x14ac:dyDescent="0.35">
      <c r="A6" s="1" t="s">
        <v>3385</v>
      </c>
      <c r="B6" s="1">
        <v>175144006</v>
      </c>
      <c r="C6" s="1">
        <v>0</v>
      </c>
      <c r="D6" s="1">
        <v>1</v>
      </c>
      <c r="E6" s="1">
        <v>0</v>
      </c>
      <c r="F6" s="1">
        <v>0</v>
      </c>
      <c r="G6" s="1">
        <v>1</v>
      </c>
      <c r="H6" s="1">
        <v>0</v>
      </c>
      <c r="I6" s="1">
        <v>0</v>
      </c>
      <c r="J6" s="1">
        <v>0</v>
      </c>
      <c r="K6" s="1">
        <v>1</v>
      </c>
      <c r="L6" s="1">
        <v>0</v>
      </c>
      <c r="M6" s="1">
        <v>1</v>
      </c>
      <c r="N6" s="1">
        <v>0</v>
      </c>
      <c r="O6" s="1">
        <v>0</v>
      </c>
      <c r="P6" s="1">
        <v>100</v>
      </c>
      <c r="Q6" s="1">
        <v>30</v>
      </c>
      <c r="R6" s="1">
        <v>20</v>
      </c>
      <c r="S6" s="1">
        <v>5</v>
      </c>
      <c r="T6" s="1">
        <v>1</v>
      </c>
      <c r="U6" s="1">
        <v>4</v>
      </c>
      <c r="V6" s="1">
        <v>3</v>
      </c>
      <c r="W6" s="1">
        <v>3</v>
      </c>
      <c r="X6" s="1">
        <v>4</v>
      </c>
      <c r="Y6" s="1">
        <v>4</v>
      </c>
      <c r="Z6" s="1">
        <v>4</v>
      </c>
      <c r="AA6" s="1">
        <v>4</v>
      </c>
      <c r="CU6" s="1">
        <v>4</v>
      </c>
    </row>
    <row r="7" spans="1:99" x14ac:dyDescent="0.35">
      <c r="A7" s="1" t="s">
        <v>3386</v>
      </c>
      <c r="B7" s="1">
        <v>175144008</v>
      </c>
      <c r="C7" s="1">
        <v>0</v>
      </c>
      <c r="D7" s="1">
        <v>1</v>
      </c>
      <c r="E7" s="1">
        <v>1</v>
      </c>
      <c r="F7" s="1">
        <v>0</v>
      </c>
      <c r="G7" s="1">
        <v>0</v>
      </c>
      <c r="H7" s="1">
        <v>1</v>
      </c>
      <c r="I7" s="1">
        <v>0</v>
      </c>
      <c r="J7" s="1">
        <v>1</v>
      </c>
      <c r="K7" s="1">
        <v>1</v>
      </c>
      <c r="L7" s="1">
        <v>0</v>
      </c>
      <c r="M7" s="1">
        <v>1</v>
      </c>
      <c r="N7" s="1">
        <v>0</v>
      </c>
      <c r="O7" s="1">
        <v>0</v>
      </c>
      <c r="P7" s="1">
        <v>14</v>
      </c>
      <c r="Q7" s="1">
        <v>2</v>
      </c>
      <c r="R7" s="1">
        <v>1</v>
      </c>
      <c r="S7" s="1">
        <v>1</v>
      </c>
      <c r="T7" s="1">
        <v>1</v>
      </c>
      <c r="U7" s="1">
        <v>4</v>
      </c>
      <c r="V7" s="1">
        <v>3</v>
      </c>
      <c r="W7" s="1">
        <v>3</v>
      </c>
      <c r="X7" s="1">
        <v>3</v>
      </c>
      <c r="Y7" s="1">
        <v>4</v>
      </c>
      <c r="Z7" s="1">
        <v>4</v>
      </c>
      <c r="AA7" s="1">
        <v>4</v>
      </c>
      <c r="AC7" s="1">
        <v>2</v>
      </c>
      <c r="AE7" s="1">
        <v>5</v>
      </c>
      <c r="AF7" s="3">
        <v>3200000</v>
      </c>
      <c r="AG7" s="1">
        <v>13</v>
      </c>
      <c r="AT7" s="1" t="s">
        <v>1272</v>
      </c>
      <c r="BP7" s="1">
        <v>2</v>
      </c>
      <c r="BQ7" s="1" t="s">
        <v>3387</v>
      </c>
      <c r="BR7" s="1" t="s">
        <v>3388</v>
      </c>
      <c r="BS7" s="1" t="s">
        <v>3389</v>
      </c>
      <c r="BT7" s="1" t="s">
        <v>73</v>
      </c>
      <c r="BU7" s="1">
        <v>1</v>
      </c>
      <c r="BV7" s="1">
        <v>2</v>
      </c>
      <c r="BW7" s="1">
        <v>1</v>
      </c>
      <c r="BX7" s="1">
        <v>0</v>
      </c>
      <c r="BY7" s="1">
        <v>0</v>
      </c>
      <c r="BZ7" s="1">
        <v>0</v>
      </c>
      <c r="CA7" s="1">
        <v>0</v>
      </c>
      <c r="CB7" s="1">
        <v>0</v>
      </c>
      <c r="CC7" s="1">
        <v>0</v>
      </c>
      <c r="CD7" s="1">
        <v>0</v>
      </c>
      <c r="CE7" s="1">
        <v>0</v>
      </c>
      <c r="CF7" s="1">
        <v>0</v>
      </c>
      <c r="CG7" s="1">
        <v>0</v>
      </c>
      <c r="CH7" s="1">
        <v>0</v>
      </c>
      <c r="CI7" s="1">
        <v>0</v>
      </c>
      <c r="CJ7" s="1">
        <v>4</v>
      </c>
      <c r="CK7" s="1">
        <v>3</v>
      </c>
      <c r="CL7" s="1">
        <v>4</v>
      </c>
      <c r="CM7" s="1">
        <v>4</v>
      </c>
      <c r="CN7" s="1">
        <v>4</v>
      </c>
      <c r="CO7" s="1">
        <v>4</v>
      </c>
      <c r="CP7" s="1">
        <v>4</v>
      </c>
      <c r="CU7" s="1">
        <v>2</v>
      </c>
    </row>
    <row r="8" spans="1:99" x14ac:dyDescent="0.35">
      <c r="A8" s="1" t="s">
        <v>3390</v>
      </c>
      <c r="B8" s="1">
        <v>175144010</v>
      </c>
      <c r="C8" s="1">
        <v>0</v>
      </c>
      <c r="D8" s="1">
        <v>1</v>
      </c>
      <c r="E8" s="1">
        <v>0</v>
      </c>
      <c r="F8" s="1">
        <v>0</v>
      </c>
      <c r="G8" s="1">
        <v>0</v>
      </c>
      <c r="H8" s="1">
        <v>0</v>
      </c>
      <c r="I8" s="1">
        <v>0</v>
      </c>
      <c r="J8" s="1">
        <v>1</v>
      </c>
      <c r="K8" s="1">
        <v>1</v>
      </c>
      <c r="L8" s="1">
        <v>0</v>
      </c>
      <c r="M8" s="1">
        <v>0</v>
      </c>
      <c r="N8" s="1">
        <v>0</v>
      </c>
      <c r="O8" s="1">
        <v>0</v>
      </c>
      <c r="P8" s="1">
        <v>5</v>
      </c>
      <c r="Q8" s="1">
        <v>3</v>
      </c>
      <c r="R8" s="1">
        <v>2</v>
      </c>
      <c r="S8" s="1">
        <v>5</v>
      </c>
      <c r="T8" s="1">
        <v>1</v>
      </c>
      <c r="U8" s="1">
        <v>4</v>
      </c>
      <c r="V8" s="1">
        <v>3</v>
      </c>
      <c r="W8" s="1">
        <v>3</v>
      </c>
      <c r="X8" s="1">
        <v>2</v>
      </c>
      <c r="Y8" s="1">
        <v>2</v>
      </c>
      <c r="Z8" s="1">
        <v>4</v>
      </c>
      <c r="AA8" s="1">
        <v>3</v>
      </c>
      <c r="CU8" s="1">
        <v>2</v>
      </c>
    </row>
    <row r="9" spans="1:99" x14ac:dyDescent="0.35">
      <c r="A9" s="1" t="s">
        <v>3391</v>
      </c>
      <c r="B9" s="1">
        <v>175144011</v>
      </c>
      <c r="C9" s="1">
        <v>0</v>
      </c>
      <c r="D9" s="1">
        <v>1</v>
      </c>
      <c r="E9" s="1">
        <v>0</v>
      </c>
      <c r="F9" s="1">
        <v>0</v>
      </c>
      <c r="G9" s="1">
        <v>0</v>
      </c>
      <c r="H9" s="1">
        <v>1</v>
      </c>
      <c r="I9" s="1">
        <v>0</v>
      </c>
      <c r="J9" s="1">
        <v>0</v>
      </c>
      <c r="K9" s="1">
        <v>1</v>
      </c>
      <c r="L9" s="1">
        <v>0</v>
      </c>
      <c r="M9" s="1">
        <v>0</v>
      </c>
      <c r="N9" s="1">
        <v>0</v>
      </c>
      <c r="O9" s="1">
        <v>0</v>
      </c>
      <c r="P9" s="1">
        <v>7</v>
      </c>
      <c r="Q9" s="1">
        <v>5</v>
      </c>
      <c r="R9" s="1">
        <v>4</v>
      </c>
      <c r="S9" s="1">
        <v>5</v>
      </c>
      <c r="T9" s="1">
        <v>1</v>
      </c>
      <c r="U9" s="1">
        <v>3</v>
      </c>
      <c r="V9" s="1">
        <v>3</v>
      </c>
      <c r="W9" s="1">
        <v>3</v>
      </c>
      <c r="X9" s="1">
        <v>3</v>
      </c>
      <c r="Y9" s="1">
        <v>2</v>
      </c>
      <c r="Z9" s="1">
        <v>4</v>
      </c>
      <c r="AA9" s="1">
        <v>3</v>
      </c>
      <c r="AT9" s="1" t="s">
        <v>86</v>
      </c>
      <c r="CU9" s="1">
        <v>4</v>
      </c>
    </row>
    <row r="10" spans="1:99" x14ac:dyDescent="0.35">
      <c r="A10" s="1" t="s">
        <v>3392</v>
      </c>
      <c r="B10" s="1">
        <v>175144012</v>
      </c>
      <c r="C10" s="1">
        <v>0</v>
      </c>
      <c r="D10" s="1">
        <v>1</v>
      </c>
      <c r="E10" s="1">
        <v>0</v>
      </c>
      <c r="F10" s="1">
        <v>0</v>
      </c>
      <c r="G10" s="1">
        <v>0</v>
      </c>
      <c r="H10" s="1">
        <v>0</v>
      </c>
      <c r="I10" s="1">
        <v>1</v>
      </c>
      <c r="J10" s="1">
        <v>0</v>
      </c>
      <c r="K10" s="1">
        <v>1</v>
      </c>
      <c r="L10" s="1">
        <v>1</v>
      </c>
      <c r="M10" s="1">
        <v>1</v>
      </c>
      <c r="N10" s="1">
        <v>0</v>
      </c>
      <c r="O10" s="1">
        <v>0</v>
      </c>
      <c r="P10" s="1">
        <v>40</v>
      </c>
      <c r="Q10" s="1">
        <v>19</v>
      </c>
      <c r="R10" s="1">
        <v>10</v>
      </c>
      <c r="S10" s="1">
        <v>3</v>
      </c>
      <c r="T10" s="1">
        <v>1</v>
      </c>
      <c r="U10" s="1">
        <v>3</v>
      </c>
      <c r="V10" s="1">
        <v>3</v>
      </c>
      <c r="W10" s="1">
        <v>2</v>
      </c>
      <c r="X10" s="1">
        <v>3</v>
      </c>
      <c r="Y10" s="1">
        <v>3</v>
      </c>
      <c r="Z10" s="1">
        <v>3</v>
      </c>
      <c r="AA10" s="1">
        <v>3</v>
      </c>
      <c r="AB10" s="1">
        <v>1</v>
      </c>
      <c r="AC10" s="1">
        <v>1</v>
      </c>
      <c r="AD10" s="1">
        <v>6</v>
      </c>
      <c r="AF10" s="3">
        <v>4000000</v>
      </c>
      <c r="AG10" s="1">
        <v>13</v>
      </c>
      <c r="AT10" s="1" t="s">
        <v>427</v>
      </c>
      <c r="BP10" s="1">
        <v>4</v>
      </c>
      <c r="BQ10" s="1" t="s">
        <v>594</v>
      </c>
      <c r="BR10" s="1" t="s">
        <v>594</v>
      </c>
      <c r="BS10" s="1" t="s">
        <v>594</v>
      </c>
      <c r="BT10" s="1" t="s">
        <v>107</v>
      </c>
      <c r="BU10" s="1">
        <v>4</v>
      </c>
      <c r="BV10" s="1">
        <v>2</v>
      </c>
      <c r="BW10" s="1">
        <v>0</v>
      </c>
      <c r="BX10" s="1">
        <v>0</v>
      </c>
      <c r="BY10" s="1">
        <v>0</v>
      </c>
      <c r="BZ10" s="1">
        <v>0</v>
      </c>
      <c r="CA10" s="1">
        <v>0</v>
      </c>
      <c r="CB10" s="1">
        <v>0</v>
      </c>
      <c r="CC10" s="1">
        <v>0</v>
      </c>
      <c r="CD10" s="1">
        <v>1</v>
      </c>
      <c r="CE10" s="1">
        <v>1</v>
      </c>
      <c r="CF10" s="1">
        <v>0</v>
      </c>
      <c r="CG10" s="1">
        <v>0</v>
      </c>
      <c r="CH10" s="1">
        <v>0</v>
      </c>
      <c r="CI10" s="1">
        <v>0</v>
      </c>
      <c r="CJ10" s="1">
        <v>3</v>
      </c>
      <c r="CK10" s="1">
        <v>3</v>
      </c>
      <c r="CL10" s="1">
        <v>2</v>
      </c>
      <c r="CM10" s="1">
        <v>4</v>
      </c>
      <c r="CN10" s="1">
        <v>3</v>
      </c>
      <c r="CO10" s="1">
        <v>4</v>
      </c>
      <c r="CP10" s="1">
        <v>3</v>
      </c>
      <c r="CU10" s="1">
        <v>4</v>
      </c>
    </row>
    <row r="11" spans="1:99" x14ac:dyDescent="0.35">
      <c r="A11" s="1" t="s">
        <v>3393</v>
      </c>
      <c r="B11" s="1">
        <v>175144013</v>
      </c>
      <c r="C11" s="1">
        <v>0</v>
      </c>
      <c r="D11" s="1">
        <v>1</v>
      </c>
      <c r="E11" s="1">
        <v>0</v>
      </c>
      <c r="F11" s="1">
        <v>0</v>
      </c>
      <c r="G11" s="1">
        <v>0</v>
      </c>
      <c r="H11" s="1">
        <v>0</v>
      </c>
      <c r="I11" s="1">
        <v>0</v>
      </c>
      <c r="J11" s="1">
        <v>1</v>
      </c>
      <c r="K11" s="1">
        <v>1</v>
      </c>
      <c r="L11" s="1">
        <v>0</v>
      </c>
      <c r="M11" s="1">
        <v>0</v>
      </c>
      <c r="N11" s="1">
        <v>1</v>
      </c>
      <c r="O11" s="1">
        <v>0</v>
      </c>
      <c r="P11" s="1">
        <v>10</v>
      </c>
      <c r="Q11" s="1">
        <v>8</v>
      </c>
      <c r="R11" s="1">
        <v>6</v>
      </c>
      <c r="S11" s="1">
        <v>3</v>
      </c>
      <c r="T11" s="1">
        <v>1</v>
      </c>
      <c r="U11" s="1">
        <v>4</v>
      </c>
      <c r="V11" s="1">
        <v>4</v>
      </c>
      <c r="W11" s="1">
        <v>3</v>
      </c>
      <c r="X11" s="1">
        <v>4</v>
      </c>
      <c r="Y11" s="1">
        <v>4</v>
      </c>
      <c r="Z11" s="1">
        <v>4</v>
      </c>
      <c r="AA11" s="1">
        <v>4</v>
      </c>
      <c r="AB11" s="1">
        <v>3</v>
      </c>
      <c r="AC11" s="1">
        <v>1</v>
      </c>
      <c r="AD11" s="1">
        <v>4</v>
      </c>
      <c r="AF11" s="3">
        <v>5000000</v>
      </c>
      <c r="AG11" s="1">
        <v>11</v>
      </c>
      <c r="AR11" s="1" t="s">
        <v>130</v>
      </c>
      <c r="BP11" s="1">
        <v>6</v>
      </c>
      <c r="BQ11" s="1" t="s">
        <v>3394</v>
      </c>
      <c r="BR11" s="1" t="s">
        <v>3395</v>
      </c>
      <c r="BS11" s="1" t="s">
        <v>3396</v>
      </c>
      <c r="BT11" s="1" t="s">
        <v>79</v>
      </c>
      <c r="BU11" s="1">
        <v>3</v>
      </c>
      <c r="BV11" s="1">
        <v>2</v>
      </c>
      <c r="BW11" s="1">
        <v>0</v>
      </c>
      <c r="BX11" s="1">
        <v>0</v>
      </c>
      <c r="BY11" s="1">
        <v>1</v>
      </c>
      <c r="BZ11" s="1">
        <v>0</v>
      </c>
      <c r="CA11" s="1">
        <v>0</v>
      </c>
      <c r="CB11" s="1">
        <v>0</v>
      </c>
      <c r="CC11" s="1">
        <v>0</v>
      </c>
      <c r="CD11" s="1">
        <v>0</v>
      </c>
      <c r="CE11" s="1">
        <v>0</v>
      </c>
      <c r="CF11" s="1">
        <v>0</v>
      </c>
      <c r="CG11" s="1">
        <v>0</v>
      </c>
      <c r="CH11" s="1">
        <v>0</v>
      </c>
      <c r="CI11" s="1">
        <v>0</v>
      </c>
      <c r="CJ11" s="1">
        <v>4</v>
      </c>
      <c r="CK11" s="1">
        <v>3</v>
      </c>
      <c r="CL11" s="1">
        <v>3</v>
      </c>
      <c r="CM11" s="1">
        <v>4</v>
      </c>
      <c r="CN11" s="1">
        <v>4</v>
      </c>
      <c r="CO11" s="1">
        <v>4</v>
      </c>
      <c r="CP11" s="1">
        <v>4</v>
      </c>
      <c r="CU11" s="1">
        <v>1</v>
      </c>
    </row>
    <row r="12" spans="1:99" x14ac:dyDescent="0.35">
      <c r="A12" s="1" t="s">
        <v>3397</v>
      </c>
      <c r="B12" s="1">
        <v>175144014</v>
      </c>
      <c r="C12" s="1">
        <v>0</v>
      </c>
      <c r="D12" s="1">
        <v>0</v>
      </c>
      <c r="E12" s="1">
        <v>0</v>
      </c>
      <c r="F12" s="1">
        <v>0</v>
      </c>
      <c r="G12" s="1">
        <v>0</v>
      </c>
      <c r="H12" s="1">
        <v>0</v>
      </c>
      <c r="I12" s="1">
        <v>0</v>
      </c>
      <c r="J12" s="1">
        <v>0</v>
      </c>
      <c r="K12" s="1">
        <v>0</v>
      </c>
      <c r="L12" s="1">
        <v>0</v>
      </c>
      <c r="M12" s="1">
        <v>0</v>
      </c>
      <c r="N12" s="1">
        <v>1</v>
      </c>
      <c r="O12" s="1">
        <v>0</v>
      </c>
      <c r="P12" s="1">
        <v>20</v>
      </c>
      <c r="Q12" s="1">
        <v>4</v>
      </c>
      <c r="R12" s="1">
        <v>1</v>
      </c>
      <c r="S12" s="1">
        <v>1</v>
      </c>
      <c r="T12" s="1">
        <v>1</v>
      </c>
      <c r="U12" s="1">
        <v>4</v>
      </c>
      <c r="V12" s="1">
        <v>3</v>
      </c>
      <c r="W12" s="1">
        <v>3</v>
      </c>
      <c r="X12" s="1">
        <v>4</v>
      </c>
      <c r="Y12" s="1">
        <v>3</v>
      </c>
      <c r="Z12" s="1">
        <v>4</v>
      </c>
      <c r="AA12" s="1">
        <v>4</v>
      </c>
      <c r="AC12" s="1">
        <v>1</v>
      </c>
      <c r="AD12" s="1">
        <v>0</v>
      </c>
      <c r="AE12" s="1">
        <v>0</v>
      </c>
      <c r="AF12" s="3">
        <v>3200000</v>
      </c>
      <c r="AG12" s="1">
        <v>13</v>
      </c>
      <c r="AT12" s="1" t="s">
        <v>427</v>
      </c>
      <c r="BP12" s="1">
        <v>3</v>
      </c>
      <c r="BQ12" s="1" t="s">
        <v>3398</v>
      </c>
      <c r="BR12" s="1" t="s">
        <v>3399</v>
      </c>
      <c r="BT12" s="1" t="s">
        <v>73</v>
      </c>
      <c r="BU12" s="1">
        <v>3</v>
      </c>
      <c r="BV12" s="1">
        <v>2</v>
      </c>
      <c r="BW12" s="1">
        <v>1</v>
      </c>
      <c r="BX12" s="1">
        <v>0</v>
      </c>
      <c r="BY12" s="1">
        <v>0</v>
      </c>
      <c r="BZ12" s="1">
        <v>0</v>
      </c>
      <c r="CA12" s="1">
        <v>0</v>
      </c>
      <c r="CB12" s="1">
        <v>0</v>
      </c>
      <c r="CC12" s="1">
        <v>0</v>
      </c>
      <c r="CD12" s="1">
        <v>0</v>
      </c>
      <c r="CE12" s="1">
        <v>0</v>
      </c>
      <c r="CF12" s="1">
        <v>0</v>
      </c>
      <c r="CG12" s="1">
        <v>0</v>
      </c>
      <c r="CH12" s="1">
        <v>0</v>
      </c>
      <c r="CI12" s="1">
        <v>0</v>
      </c>
      <c r="CJ12" s="1">
        <v>4</v>
      </c>
      <c r="CK12" s="1">
        <v>4</v>
      </c>
      <c r="CL12" s="1">
        <v>4</v>
      </c>
      <c r="CM12" s="1">
        <v>4</v>
      </c>
      <c r="CN12" s="1">
        <v>4</v>
      </c>
      <c r="CO12" s="1">
        <v>4</v>
      </c>
      <c r="CP12" s="1">
        <v>4</v>
      </c>
      <c r="CU12" s="1">
        <v>1</v>
      </c>
    </row>
    <row r="13" spans="1:99" x14ac:dyDescent="0.35">
      <c r="A13" s="1" t="s">
        <v>3400</v>
      </c>
      <c r="B13" s="1">
        <v>175144015</v>
      </c>
      <c r="S13" s="1">
        <v>1</v>
      </c>
      <c r="T13" s="1">
        <v>3</v>
      </c>
      <c r="U13" s="1">
        <v>4</v>
      </c>
      <c r="V13" s="1">
        <v>4</v>
      </c>
      <c r="W13" s="1">
        <v>3</v>
      </c>
      <c r="X13" s="1">
        <v>4</v>
      </c>
      <c r="Y13" s="1">
        <v>4</v>
      </c>
      <c r="Z13" s="1">
        <v>4</v>
      </c>
      <c r="AA13" s="1">
        <v>4</v>
      </c>
      <c r="AC13" s="1">
        <v>1</v>
      </c>
      <c r="AD13" s="1">
        <v>1</v>
      </c>
      <c r="AF13" s="3">
        <v>5000000</v>
      </c>
      <c r="AG13" s="1">
        <v>11</v>
      </c>
      <c r="AR13" s="1" t="s">
        <v>130</v>
      </c>
      <c r="BP13" s="1">
        <v>3</v>
      </c>
      <c r="BQ13" s="1" t="s">
        <v>3401</v>
      </c>
      <c r="BR13" s="1" t="s">
        <v>3402</v>
      </c>
      <c r="BS13" s="1" t="s">
        <v>3333</v>
      </c>
      <c r="BT13" s="1" t="s">
        <v>79</v>
      </c>
      <c r="BU13" s="1">
        <v>2</v>
      </c>
      <c r="BV13" s="1">
        <v>2</v>
      </c>
      <c r="BW13" s="1">
        <v>1</v>
      </c>
      <c r="BX13" s="1">
        <v>0</v>
      </c>
      <c r="BY13" s="1">
        <v>1</v>
      </c>
      <c r="BZ13" s="1">
        <v>0</v>
      </c>
      <c r="CA13" s="1">
        <v>0</v>
      </c>
      <c r="CB13" s="1">
        <v>0</v>
      </c>
      <c r="CC13" s="1">
        <v>0</v>
      </c>
      <c r="CD13" s="1">
        <v>0</v>
      </c>
      <c r="CE13" s="1">
        <v>0</v>
      </c>
      <c r="CF13" s="1">
        <v>0</v>
      </c>
      <c r="CG13" s="1">
        <v>0</v>
      </c>
      <c r="CH13" s="1">
        <v>0</v>
      </c>
      <c r="CI13" s="1">
        <v>0</v>
      </c>
      <c r="CJ13" s="1">
        <v>4</v>
      </c>
      <c r="CK13" s="1">
        <v>4</v>
      </c>
      <c r="CL13" s="1">
        <v>4</v>
      </c>
      <c r="CM13" s="1">
        <v>4</v>
      </c>
      <c r="CN13" s="1">
        <v>4</v>
      </c>
      <c r="CO13" s="1">
        <v>4</v>
      </c>
      <c r="CP13" s="1">
        <v>4</v>
      </c>
      <c r="CU13" s="1">
        <v>1</v>
      </c>
    </row>
    <row r="14" spans="1:99" x14ac:dyDescent="0.35">
      <c r="A14" s="1" t="s">
        <v>3403</v>
      </c>
      <c r="B14" s="1">
        <v>175144016</v>
      </c>
      <c r="C14" s="1">
        <v>1</v>
      </c>
      <c r="D14" s="1">
        <v>1</v>
      </c>
      <c r="E14" s="1">
        <v>0</v>
      </c>
      <c r="F14" s="1">
        <v>0</v>
      </c>
      <c r="G14" s="1">
        <v>0</v>
      </c>
      <c r="H14" s="1">
        <v>1</v>
      </c>
      <c r="I14" s="1">
        <v>0</v>
      </c>
      <c r="J14" s="1">
        <v>1</v>
      </c>
      <c r="K14" s="1">
        <v>1</v>
      </c>
      <c r="L14" s="1">
        <v>0</v>
      </c>
      <c r="M14" s="1">
        <v>0</v>
      </c>
      <c r="N14" s="1">
        <v>0</v>
      </c>
      <c r="O14" s="1">
        <v>0</v>
      </c>
      <c r="P14" s="1">
        <v>50</v>
      </c>
      <c r="Q14" s="1">
        <v>7</v>
      </c>
      <c r="R14" s="1">
        <v>7</v>
      </c>
      <c r="S14" s="1">
        <v>1</v>
      </c>
      <c r="T14" s="1">
        <v>1</v>
      </c>
      <c r="U14" s="1">
        <v>2</v>
      </c>
      <c r="V14" s="1">
        <v>4</v>
      </c>
      <c r="W14" s="1">
        <v>3</v>
      </c>
      <c r="X14" s="1">
        <v>3</v>
      </c>
      <c r="Y14" s="1">
        <v>2</v>
      </c>
      <c r="Z14" s="1">
        <v>2</v>
      </c>
      <c r="AA14" s="1">
        <v>2</v>
      </c>
      <c r="AC14" s="1">
        <v>1</v>
      </c>
      <c r="AD14" s="1">
        <v>4</v>
      </c>
      <c r="AF14" s="3">
        <v>5500000</v>
      </c>
      <c r="AG14" s="1">
        <v>11</v>
      </c>
      <c r="AR14" s="1" t="s">
        <v>130</v>
      </c>
      <c r="BP14" s="1">
        <v>3</v>
      </c>
      <c r="BQ14" s="1" t="s">
        <v>3342</v>
      </c>
      <c r="BR14" s="1" t="s">
        <v>3404</v>
      </c>
      <c r="BS14" s="1" t="s">
        <v>3333</v>
      </c>
      <c r="BT14" s="1" t="s">
        <v>79</v>
      </c>
      <c r="BU14" s="1">
        <v>4</v>
      </c>
      <c r="BV14" s="1">
        <v>2</v>
      </c>
      <c r="BW14" s="1">
        <v>0</v>
      </c>
      <c r="BX14" s="1">
        <v>0</v>
      </c>
      <c r="BY14" s="1">
        <v>1</v>
      </c>
      <c r="BZ14" s="1">
        <v>0</v>
      </c>
      <c r="CA14" s="1">
        <v>0</v>
      </c>
      <c r="CB14" s="1">
        <v>0</v>
      </c>
      <c r="CC14" s="1">
        <v>0</v>
      </c>
      <c r="CD14" s="1">
        <v>0</v>
      </c>
      <c r="CE14" s="1">
        <v>1</v>
      </c>
      <c r="CF14" s="1">
        <v>0</v>
      </c>
      <c r="CG14" s="1">
        <v>0</v>
      </c>
      <c r="CH14" s="1">
        <v>0</v>
      </c>
      <c r="CI14" s="1">
        <v>0</v>
      </c>
      <c r="CJ14" s="1">
        <v>3</v>
      </c>
      <c r="CK14" s="1">
        <v>4</v>
      </c>
      <c r="CL14" s="1">
        <v>3</v>
      </c>
      <c r="CM14" s="1">
        <v>3</v>
      </c>
      <c r="CN14" s="1">
        <v>2</v>
      </c>
      <c r="CO14" s="1">
        <v>3</v>
      </c>
      <c r="CP14" s="1">
        <v>3</v>
      </c>
      <c r="CU14" s="1">
        <v>1</v>
      </c>
    </row>
    <row r="15" spans="1:99" x14ac:dyDescent="0.35">
      <c r="A15" s="1" t="s">
        <v>3405</v>
      </c>
      <c r="B15" s="1">
        <v>175144017</v>
      </c>
      <c r="C15" s="1">
        <v>0</v>
      </c>
      <c r="D15" s="1">
        <v>0</v>
      </c>
      <c r="E15" s="1">
        <v>0</v>
      </c>
      <c r="F15" s="1">
        <v>0</v>
      </c>
      <c r="G15" s="1">
        <v>0</v>
      </c>
      <c r="H15" s="1">
        <v>0</v>
      </c>
      <c r="I15" s="1">
        <v>0</v>
      </c>
      <c r="J15" s="1">
        <v>0</v>
      </c>
      <c r="K15" s="1">
        <v>1</v>
      </c>
      <c r="L15" s="1">
        <v>0</v>
      </c>
      <c r="M15" s="1">
        <v>0</v>
      </c>
      <c r="N15" s="1">
        <v>0</v>
      </c>
      <c r="O15" s="1">
        <v>0</v>
      </c>
      <c r="P15" s="1">
        <v>1</v>
      </c>
      <c r="Q15" s="1">
        <v>6</v>
      </c>
      <c r="R15" s="1">
        <v>6</v>
      </c>
      <c r="S15" s="1">
        <v>4</v>
      </c>
      <c r="T15" s="1">
        <v>1</v>
      </c>
      <c r="U15" s="1">
        <v>4</v>
      </c>
      <c r="V15" s="1">
        <v>3</v>
      </c>
      <c r="W15" s="1">
        <v>3</v>
      </c>
      <c r="X15" s="1">
        <v>4</v>
      </c>
      <c r="Y15" s="1">
        <v>4</v>
      </c>
      <c r="Z15" s="1">
        <v>4</v>
      </c>
      <c r="AA15" s="1">
        <v>4</v>
      </c>
      <c r="CQ15" s="1">
        <v>1</v>
      </c>
      <c r="CR15" s="1" t="s">
        <v>3406</v>
      </c>
      <c r="CS15" s="1" t="s">
        <v>173</v>
      </c>
      <c r="CT15" s="5">
        <v>44452</v>
      </c>
      <c r="CU15" s="1">
        <v>1</v>
      </c>
    </row>
    <row r="16" spans="1:99" x14ac:dyDescent="0.35">
      <c r="A16" s="1" t="s">
        <v>3407</v>
      </c>
      <c r="B16" s="1">
        <v>175144018</v>
      </c>
      <c r="C16" s="1">
        <v>0</v>
      </c>
      <c r="D16" s="1">
        <v>0</v>
      </c>
      <c r="E16" s="1">
        <v>1</v>
      </c>
      <c r="F16" s="1">
        <v>0</v>
      </c>
      <c r="G16" s="1">
        <v>0</v>
      </c>
      <c r="H16" s="1">
        <v>0</v>
      </c>
      <c r="I16" s="1">
        <v>0</v>
      </c>
      <c r="J16" s="1">
        <v>1</v>
      </c>
      <c r="K16" s="1">
        <v>1</v>
      </c>
      <c r="L16" s="1">
        <v>0</v>
      </c>
      <c r="M16" s="1">
        <v>0</v>
      </c>
      <c r="N16" s="1">
        <v>0</v>
      </c>
      <c r="O16" s="1">
        <v>0</v>
      </c>
      <c r="P16" s="1">
        <v>0</v>
      </c>
      <c r="Q16" s="1">
        <v>5</v>
      </c>
      <c r="R16" s="1">
        <v>3</v>
      </c>
      <c r="S16" s="1">
        <v>1</v>
      </c>
      <c r="T16" s="1">
        <v>1</v>
      </c>
      <c r="U16" s="1">
        <v>3</v>
      </c>
      <c r="V16" s="1">
        <v>4</v>
      </c>
      <c r="W16" s="1">
        <v>4</v>
      </c>
      <c r="X16" s="1">
        <v>4</v>
      </c>
      <c r="Y16" s="1">
        <v>4</v>
      </c>
      <c r="Z16" s="1">
        <v>4</v>
      </c>
      <c r="AA16" s="1">
        <v>4</v>
      </c>
      <c r="AC16" s="1">
        <v>1</v>
      </c>
      <c r="AD16" s="1">
        <v>0</v>
      </c>
      <c r="AF16" s="3">
        <v>3000000</v>
      </c>
      <c r="AG16" s="1">
        <v>13</v>
      </c>
      <c r="AT16" s="1" t="s">
        <v>209</v>
      </c>
      <c r="BP16" s="1">
        <v>3</v>
      </c>
      <c r="BQ16" s="1" t="s">
        <v>3408</v>
      </c>
      <c r="BR16" s="1" t="s">
        <v>3409</v>
      </c>
      <c r="BT16" s="1" t="s">
        <v>79</v>
      </c>
      <c r="BU16" s="1">
        <v>3</v>
      </c>
      <c r="BV16" s="1">
        <v>2</v>
      </c>
      <c r="BW16" s="1">
        <v>0</v>
      </c>
      <c r="BX16" s="1">
        <v>0</v>
      </c>
      <c r="BY16" s="1">
        <v>1</v>
      </c>
      <c r="BZ16" s="1">
        <v>0</v>
      </c>
      <c r="CA16" s="1">
        <v>1</v>
      </c>
      <c r="CB16" s="1">
        <v>0</v>
      </c>
      <c r="CC16" s="1">
        <v>0</v>
      </c>
      <c r="CD16" s="1">
        <v>1</v>
      </c>
      <c r="CE16" s="1">
        <v>1</v>
      </c>
      <c r="CF16" s="1">
        <v>0</v>
      </c>
      <c r="CG16" s="1">
        <v>0</v>
      </c>
      <c r="CH16" s="1">
        <v>0</v>
      </c>
      <c r="CI16" s="1">
        <v>0</v>
      </c>
      <c r="CJ16" s="1">
        <v>4</v>
      </c>
      <c r="CK16" s="1">
        <v>3</v>
      </c>
      <c r="CL16" s="1">
        <v>4</v>
      </c>
      <c r="CM16" s="1">
        <v>4</v>
      </c>
      <c r="CN16" s="1">
        <v>4</v>
      </c>
      <c r="CO16" s="1">
        <v>4</v>
      </c>
      <c r="CP16" s="1">
        <v>4</v>
      </c>
      <c r="CU16" s="1">
        <v>4</v>
      </c>
    </row>
    <row r="17" spans="1:99" x14ac:dyDescent="0.35">
      <c r="A17" s="1" t="s">
        <v>3410</v>
      </c>
      <c r="B17" s="1">
        <v>175144019</v>
      </c>
      <c r="C17" s="1">
        <v>0</v>
      </c>
      <c r="D17" s="1">
        <v>1</v>
      </c>
      <c r="E17" s="1">
        <v>0</v>
      </c>
      <c r="F17" s="1">
        <v>0</v>
      </c>
      <c r="G17" s="1">
        <v>0</v>
      </c>
      <c r="H17" s="1">
        <v>0</v>
      </c>
      <c r="I17" s="1">
        <v>0</v>
      </c>
      <c r="J17" s="1">
        <v>0</v>
      </c>
      <c r="K17" s="1">
        <v>1</v>
      </c>
      <c r="L17" s="1">
        <v>0</v>
      </c>
      <c r="M17" s="1">
        <v>0</v>
      </c>
      <c r="N17" s="1">
        <v>0</v>
      </c>
      <c r="O17" s="1">
        <v>0</v>
      </c>
      <c r="P17" s="1" t="s">
        <v>3411</v>
      </c>
      <c r="Q17" s="1">
        <v>5</v>
      </c>
      <c r="R17" s="1">
        <v>0</v>
      </c>
      <c r="S17" s="1">
        <v>5</v>
      </c>
      <c r="T17" s="1">
        <v>1</v>
      </c>
      <c r="U17" s="1">
        <v>4</v>
      </c>
      <c r="V17" s="1">
        <v>4</v>
      </c>
      <c r="W17" s="1">
        <v>3</v>
      </c>
      <c r="X17" s="1">
        <v>3</v>
      </c>
      <c r="Y17" s="1">
        <v>3</v>
      </c>
      <c r="Z17" s="1">
        <v>4</v>
      </c>
      <c r="AA17" s="1">
        <v>4</v>
      </c>
      <c r="CU17" s="1">
        <v>1</v>
      </c>
    </row>
    <row r="18" spans="1:99" x14ac:dyDescent="0.35">
      <c r="A18" s="1" t="s">
        <v>3412</v>
      </c>
      <c r="B18" s="1">
        <v>175144020</v>
      </c>
      <c r="C18" s="1">
        <v>0</v>
      </c>
      <c r="D18" s="1">
        <v>1</v>
      </c>
      <c r="E18" s="1">
        <v>0</v>
      </c>
      <c r="F18" s="1">
        <v>0</v>
      </c>
      <c r="G18" s="1">
        <v>0</v>
      </c>
      <c r="H18" s="1">
        <v>0</v>
      </c>
      <c r="I18" s="1">
        <v>0</v>
      </c>
      <c r="J18" s="1">
        <v>0</v>
      </c>
      <c r="K18" s="1">
        <v>1</v>
      </c>
      <c r="L18" s="1">
        <v>0</v>
      </c>
      <c r="M18" s="1">
        <v>0</v>
      </c>
      <c r="N18" s="1">
        <v>0</v>
      </c>
      <c r="O18" s="1">
        <v>0</v>
      </c>
      <c r="P18" s="1">
        <v>17</v>
      </c>
      <c r="Q18" s="1">
        <v>7</v>
      </c>
      <c r="R18" s="1">
        <v>6</v>
      </c>
      <c r="S18" s="1">
        <v>1</v>
      </c>
      <c r="T18" s="1">
        <v>1</v>
      </c>
      <c r="U18" s="1">
        <v>4</v>
      </c>
      <c r="V18" s="1">
        <v>3</v>
      </c>
      <c r="W18" s="1">
        <v>2</v>
      </c>
      <c r="X18" s="1">
        <v>3</v>
      </c>
      <c r="Y18" s="1">
        <v>3</v>
      </c>
      <c r="Z18" s="1">
        <v>4</v>
      </c>
      <c r="AA18" s="1">
        <v>3</v>
      </c>
      <c r="AC18" s="1">
        <v>1</v>
      </c>
      <c r="AD18" s="1">
        <v>6</v>
      </c>
      <c r="AF18" s="3">
        <v>240000</v>
      </c>
      <c r="AG18" s="1">
        <v>13</v>
      </c>
      <c r="AT18" s="1" t="s">
        <v>93</v>
      </c>
      <c r="BP18" s="1" t="s">
        <v>3413</v>
      </c>
      <c r="BQ18" s="1" t="s">
        <v>3414</v>
      </c>
      <c r="BR18" s="1" t="s">
        <v>3415</v>
      </c>
      <c r="BT18" s="1" t="s">
        <v>107</v>
      </c>
      <c r="BU18" s="1">
        <v>2</v>
      </c>
      <c r="BV18" s="1">
        <v>2</v>
      </c>
      <c r="BW18" s="1">
        <v>0</v>
      </c>
      <c r="BX18" s="1">
        <v>1</v>
      </c>
      <c r="BY18" s="1">
        <v>0</v>
      </c>
      <c r="BZ18" s="1">
        <v>0</v>
      </c>
      <c r="CA18" s="1">
        <v>0</v>
      </c>
      <c r="CB18" s="1">
        <v>0</v>
      </c>
      <c r="CC18" s="1">
        <v>0</v>
      </c>
      <c r="CD18" s="1">
        <v>0</v>
      </c>
      <c r="CE18" s="1">
        <v>1</v>
      </c>
      <c r="CF18" s="1">
        <v>0</v>
      </c>
      <c r="CG18" s="1">
        <v>0</v>
      </c>
      <c r="CH18" s="1">
        <v>0</v>
      </c>
      <c r="CI18" s="1">
        <v>0</v>
      </c>
      <c r="CJ18" s="1">
        <v>4</v>
      </c>
      <c r="CK18" s="1">
        <v>4</v>
      </c>
      <c r="CL18" s="1">
        <v>3</v>
      </c>
      <c r="CM18" s="1">
        <v>3</v>
      </c>
      <c r="CN18" s="1">
        <v>4</v>
      </c>
      <c r="CO18" s="1">
        <v>4</v>
      </c>
      <c r="CP18" s="1">
        <v>4</v>
      </c>
      <c r="CU18" s="1">
        <v>2</v>
      </c>
    </row>
    <row r="19" spans="1:99" x14ac:dyDescent="0.35">
      <c r="A19" s="1" t="s">
        <v>3416</v>
      </c>
      <c r="B19" s="1">
        <v>175144021</v>
      </c>
      <c r="C19" s="1">
        <v>1</v>
      </c>
      <c r="D19" s="1">
        <v>1</v>
      </c>
      <c r="E19" s="1">
        <v>0</v>
      </c>
      <c r="F19" s="1">
        <v>0</v>
      </c>
      <c r="G19" s="1">
        <v>0</v>
      </c>
      <c r="H19" s="1">
        <v>0</v>
      </c>
      <c r="I19" s="1">
        <v>1</v>
      </c>
      <c r="J19" s="1">
        <v>0</v>
      </c>
      <c r="K19" s="1">
        <v>0</v>
      </c>
      <c r="L19" s="1">
        <v>0</v>
      </c>
      <c r="M19" s="1">
        <v>0</v>
      </c>
      <c r="N19" s="1">
        <v>0</v>
      </c>
      <c r="O19" s="1">
        <v>0</v>
      </c>
      <c r="P19" s="1">
        <v>20</v>
      </c>
      <c r="Q19" s="1">
        <v>7</v>
      </c>
      <c r="R19" s="1">
        <v>1</v>
      </c>
      <c r="S19" s="1">
        <v>1</v>
      </c>
      <c r="T19" s="1">
        <v>1</v>
      </c>
      <c r="U19" s="1">
        <v>4</v>
      </c>
      <c r="V19" s="1">
        <v>3</v>
      </c>
      <c r="W19" s="1">
        <v>3</v>
      </c>
      <c r="X19" s="1">
        <v>4</v>
      </c>
      <c r="Y19" s="1">
        <v>3</v>
      </c>
      <c r="Z19" s="1">
        <v>4</v>
      </c>
      <c r="AA19" s="1">
        <v>3</v>
      </c>
      <c r="AC19" s="1">
        <v>1</v>
      </c>
      <c r="AD19" s="1">
        <v>0</v>
      </c>
      <c r="AF19" s="3">
        <v>3000000</v>
      </c>
      <c r="AG19" s="1">
        <v>13</v>
      </c>
      <c r="AT19" s="1" t="s">
        <v>86</v>
      </c>
      <c r="BP19" s="1">
        <v>3</v>
      </c>
      <c r="BQ19" s="1" t="s">
        <v>3417</v>
      </c>
      <c r="BR19" s="1" t="s">
        <v>3418</v>
      </c>
      <c r="BS19" s="1" t="s">
        <v>3419</v>
      </c>
      <c r="BT19" s="1" t="s">
        <v>79</v>
      </c>
      <c r="BU19" s="1">
        <v>2</v>
      </c>
      <c r="BV19" s="1">
        <v>2</v>
      </c>
      <c r="BW19" s="1">
        <v>1</v>
      </c>
      <c r="BX19" s="1">
        <v>0</v>
      </c>
      <c r="BY19" s="1">
        <v>0</v>
      </c>
      <c r="BZ19" s="1">
        <v>0</v>
      </c>
      <c r="CA19" s="1">
        <v>0</v>
      </c>
      <c r="CB19" s="1">
        <v>0</v>
      </c>
      <c r="CC19" s="1">
        <v>0</v>
      </c>
      <c r="CD19" s="1">
        <v>0</v>
      </c>
      <c r="CE19" s="1">
        <v>0</v>
      </c>
      <c r="CF19" s="1">
        <v>0</v>
      </c>
      <c r="CG19" s="1">
        <v>0</v>
      </c>
      <c r="CH19" s="1">
        <v>0</v>
      </c>
      <c r="CI19" s="1">
        <v>0</v>
      </c>
      <c r="CJ19" s="1">
        <v>4</v>
      </c>
      <c r="CK19" s="1">
        <v>4</v>
      </c>
      <c r="CL19" s="1">
        <v>3</v>
      </c>
      <c r="CM19" s="1">
        <v>4</v>
      </c>
      <c r="CN19" s="1">
        <v>4</v>
      </c>
      <c r="CO19" s="1">
        <v>4</v>
      </c>
      <c r="CP19" s="1">
        <v>4</v>
      </c>
      <c r="CU19" s="1">
        <v>1</v>
      </c>
    </row>
    <row r="20" spans="1:99" x14ac:dyDescent="0.35">
      <c r="A20" s="1" t="s">
        <v>3420</v>
      </c>
      <c r="B20" s="1">
        <v>175144022</v>
      </c>
      <c r="C20" s="1">
        <v>0</v>
      </c>
      <c r="D20" s="1">
        <v>0</v>
      </c>
      <c r="E20" s="1">
        <v>0</v>
      </c>
      <c r="F20" s="1">
        <v>0</v>
      </c>
      <c r="G20" s="1">
        <v>0</v>
      </c>
      <c r="H20" s="1">
        <v>0</v>
      </c>
      <c r="I20" s="1">
        <v>0</v>
      </c>
      <c r="J20" s="1">
        <v>0</v>
      </c>
      <c r="K20" s="1">
        <v>1</v>
      </c>
      <c r="L20" s="1">
        <v>0</v>
      </c>
      <c r="M20" s="1">
        <v>0</v>
      </c>
      <c r="N20" s="1">
        <v>0</v>
      </c>
      <c r="O20" s="1">
        <v>0</v>
      </c>
      <c r="P20" s="1">
        <v>1</v>
      </c>
      <c r="Q20" s="1" t="s">
        <v>78</v>
      </c>
      <c r="R20" s="1" t="s">
        <v>78</v>
      </c>
      <c r="S20" s="1">
        <v>1</v>
      </c>
      <c r="T20" s="1">
        <v>1</v>
      </c>
      <c r="U20" s="1">
        <v>4</v>
      </c>
      <c r="V20" s="1">
        <v>3</v>
      </c>
      <c r="W20" s="1">
        <v>3</v>
      </c>
      <c r="X20" s="1">
        <v>4</v>
      </c>
      <c r="Y20" s="1">
        <v>3</v>
      </c>
      <c r="Z20" s="1">
        <v>3</v>
      </c>
      <c r="AA20" s="1">
        <v>3</v>
      </c>
      <c r="AC20" s="1">
        <v>2</v>
      </c>
      <c r="AE20" s="1">
        <v>3</v>
      </c>
      <c r="AF20" s="3">
        <v>4340170</v>
      </c>
      <c r="AG20" s="1">
        <v>13</v>
      </c>
      <c r="AT20" s="1" t="s">
        <v>86</v>
      </c>
      <c r="BP20" s="1">
        <v>1</v>
      </c>
      <c r="BQ20" s="1" t="s">
        <v>3421</v>
      </c>
      <c r="BR20" s="1" t="s">
        <v>3422</v>
      </c>
      <c r="BT20" s="1" t="s">
        <v>107</v>
      </c>
      <c r="BU20" s="1">
        <v>3</v>
      </c>
      <c r="BV20" s="1">
        <v>2</v>
      </c>
      <c r="BW20" s="1">
        <v>0</v>
      </c>
      <c r="BX20" s="1">
        <v>0</v>
      </c>
      <c r="BY20" s="1">
        <v>0</v>
      </c>
      <c r="BZ20" s="1">
        <v>0</v>
      </c>
      <c r="CA20" s="1">
        <v>0</v>
      </c>
      <c r="CB20" s="1">
        <v>0</v>
      </c>
      <c r="CC20" s="1">
        <v>0</v>
      </c>
      <c r="CD20" s="1">
        <v>0</v>
      </c>
      <c r="CE20" s="1">
        <v>0</v>
      </c>
      <c r="CF20" s="1">
        <v>0</v>
      </c>
      <c r="CG20" s="1">
        <v>0</v>
      </c>
      <c r="CH20" s="1">
        <v>0</v>
      </c>
      <c r="CI20" s="1" t="s">
        <v>3423</v>
      </c>
      <c r="CJ20" s="1">
        <v>4</v>
      </c>
      <c r="CK20" s="1">
        <v>3</v>
      </c>
      <c r="CL20" s="1">
        <v>3</v>
      </c>
      <c r="CM20" s="1">
        <v>4</v>
      </c>
      <c r="CN20" s="1">
        <v>4</v>
      </c>
      <c r="CO20" s="1">
        <v>4</v>
      </c>
      <c r="CP20" s="1">
        <v>3</v>
      </c>
      <c r="CU20" s="1">
        <v>1</v>
      </c>
    </row>
    <row r="21" spans="1:99" x14ac:dyDescent="0.35">
      <c r="A21" s="1" t="s">
        <v>3424</v>
      </c>
      <c r="B21" s="1">
        <v>175144023</v>
      </c>
      <c r="C21" s="1">
        <v>0</v>
      </c>
      <c r="D21" s="1">
        <v>0</v>
      </c>
      <c r="E21" s="1">
        <v>1</v>
      </c>
      <c r="F21" s="1">
        <v>0</v>
      </c>
      <c r="G21" s="1">
        <v>0</v>
      </c>
      <c r="H21" s="1">
        <v>0</v>
      </c>
      <c r="I21" s="1">
        <v>0</v>
      </c>
      <c r="J21" s="1">
        <v>1</v>
      </c>
      <c r="K21" s="1">
        <v>1</v>
      </c>
      <c r="L21" s="1">
        <v>1</v>
      </c>
      <c r="M21" s="1">
        <v>0</v>
      </c>
      <c r="N21" s="1">
        <v>1</v>
      </c>
      <c r="O21" s="1">
        <v>0</v>
      </c>
      <c r="P21" s="1">
        <v>3</v>
      </c>
      <c r="Q21" s="1">
        <v>3</v>
      </c>
      <c r="R21" s="1">
        <v>3</v>
      </c>
      <c r="S21" s="1">
        <v>1</v>
      </c>
      <c r="T21" s="1">
        <v>6</v>
      </c>
      <c r="U21" s="1">
        <v>4</v>
      </c>
      <c r="V21" s="1">
        <v>4</v>
      </c>
      <c r="W21" s="1">
        <v>4</v>
      </c>
      <c r="X21" s="1">
        <v>4</v>
      </c>
      <c r="Y21" s="1">
        <v>4</v>
      </c>
      <c r="Z21" s="1">
        <v>4</v>
      </c>
      <c r="AA21" s="1">
        <v>4</v>
      </c>
      <c r="AC21" s="1">
        <v>1</v>
      </c>
      <c r="AD21" s="1">
        <v>6</v>
      </c>
      <c r="AF21" s="1">
        <v>0</v>
      </c>
      <c r="AG21" s="1">
        <v>12</v>
      </c>
      <c r="AS21" s="1" t="s">
        <v>1949</v>
      </c>
      <c r="BP21" s="1" t="s">
        <v>3425</v>
      </c>
      <c r="BQ21" s="1" t="s">
        <v>3426</v>
      </c>
      <c r="BR21" s="1" t="s">
        <v>3427</v>
      </c>
      <c r="BT21" s="1" t="s">
        <v>107</v>
      </c>
      <c r="BU21" s="1">
        <v>4</v>
      </c>
      <c r="BV21" s="1">
        <v>2</v>
      </c>
      <c r="BW21" s="1">
        <v>0</v>
      </c>
      <c r="BX21" s="1">
        <v>0</v>
      </c>
      <c r="BY21" s="1">
        <v>1</v>
      </c>
      <c r="BZ21" s="1">
        <v>0</v>
      </c>
      <c r="CA21" s="1">
        <v>0</v>
      </c>
      <c r="CB21" s="1">
        <v>1</v>
      </c>
      <c r="CC21" s="1">
        <v>1</v>
      </c>
      <c r="CD21" s="1">
        <v>1</v>
      </c>
      <c r="CE21" s="1">
        <v>0</v>
      </c>
      <c r="CF21" s="1">
        <v>0</v>
      </c>
      <c r="CG21" s="1">
        <v>1</v>
      </c>
      <c r="CH21" s="1">
        <v>0</v>
      </c>
      <c r="CI21" s="1" t="s">
        <v>3428</v>
      </c>
      <c r="CJ21" s="1">
        <v>4</v>
      </c>
      <c r="CK21" s="1">
        <v>4</v>
      </c>
      <c r="CL21" s="1">
        <v>3</v>
      </c>
      <c r="CM21" s="1">
        <v>4</v>
      </c>
      <c r="CN21" s="1">
        <v>4</v>
      </c>
      <c r="CO21" s="1">
        <v>4</v>
      </c>
      <c r="CP21" s="1">
        <v>4</v>
      </c>
      <c r="CU21" s="1">
        <v>1</v>
      </c>
    </row>
    <row r="22" spans="1:99" x14ac:dyDescent="0.35">
      <c r="A22" s="1" t="s">
        <v>3429</v>
      </c>
      <c r="B22" s="1">
        <v>175144024</v>
      </c>
      <c r="C22" s="1">
        <v>0</v>
      </c>
      <c r="D22" s="1">
        <v>1</v>
      </c>
      <c r="E22" s="1">
        <v>0</v>
      </c>
      <c r="F22" s="1">
        <v>0</v>
      </c>
      <c r="G22" s="1">
        <v>0</v>
      </c>
      <c r="H22" s="1">
        <v>0</v>
      </c>
      <c r="I22" s="1">
        <v>0</v>
      </c>
      <c r="J22" s="1">
        <v>1</v>
      </c>
      <c r="K22" s="1">
        <v>1</v>
      </c>
      <c r="L22" s="1">
        <v>1</v>
      </c>
      <c r="M22" s="1">
        <v>1</v>
      </c>
      <c r="N22" s="1">
        <v>0</v>
      </c>
      <c r="O22" s="1">
        <v>0</v>
      </c>
      <c r="P22" s="1">
        <v>0</v>
      </c>
      <c r="Q22" s="1">
        <v>5</v>
      </c>
      <c r="R22" s="1">
        <v>5</v>
      </c>
      <c r="S22" s="1">
        <v>4</v>
      </c>
      <c r="T22" s="1">
        <v>1</v>
      </c>
      <c r="U22" s="1">
        <v>4</v>
      </c>
      <c r="V22" s="1">
        <v>4</v>
      </c>
      <c r="W22" s="1">
        <v>3</v>
      </c>
      <c r="X22" s="1">
        <v>3</v>
      </c>
      <c r="Y22" s="1">
        <v>4</v>
      </c>
      <c r="Z22" s="1">
        <v>3</v>
      </c>
      <c r="AA22" s="1">
        <v>4</v>
      </c>
      <c r="CQ22" s="1">
        <v>1</v>
      </c>
      <c r="CR22" s="1" t="s">
        <v>3430</v>
      </c>
      <c r="CS22" s="1" t="s">
        <v>3431</v>
      </c>
      <c r="CT22" s="5">
        <v>44404</v>
      </c>
      <c r="CU22" s="1">
        <v>1</v>
      </c>
    </row>
    <row r="23" spans="1:99" x14ac:dyDescent="0.35">
      <c r="A23" s="1" t="s">
        <v>3432</v>
      </c>
      <c r="B23" s="1">
        <v>175144025</v>
      </c>
      <c r="C23" s="1">
        <v>0</v>
      </c>
      <c r="D23" s="1">
        <v>1</v>
      </c>
      <c r="E23" s="1">
        <v>0</v>
      </c>
      <c r="F23" s="1">
        <v>0</v>
      </c>
      <c r="G23" s="1">
        <v>0</v>
      </c>
      <c r="H23" s="1">
        <v>1</v>
      </c>
      <c r="I23" s="1">
        <v>0</v>
      </c>
      <c r="J23" s="1">
        <v>0</v>
      </c>
      <c r="K23" s="1">
        <v>0</v>
      </c>
      <c r="L23" s="1">
        <v>0</v>
      </c>
      <c r="M23" s="1">
        <v>0</v>
      </c>
      <c r="N23" s="1">
        <v>0</v>
      </c>
      <c r="O23" s="1">
        <v>0</v>
      </c>
      <c r="P23" s="1">
        <v>3</v>
      </c>
      <c r="Q23" s="1" t="s">
        <v>3433</v>
      </c>
      <c r="R23" s="1">
        <v>4</v>
      </c>
      <c r="S23" s="1">
        <v>1</v>
      </c>
      <c r="T23" s="1">
        <v>1</v>
      </c>
      <c r="U23" s="1">
        <v>4</v>
      </c>
      <c r="V23" s="1">
        <v>3</v>
      </c>
      <c r="W23" s="1">
        <v>2</v>
      </c>
      <c r="X23" s="1">
        <v>3</v>
      </c>
      <c r="Y23" s="1">
        <v>3</v>
      </c>
      <c r="Z23" s="1">
        <v>3</v>
      </c>
      <c r="AA23" s="1">
        <v>4</v>
      </c>
      <c r="AC23" s="1">
        <v>1</v>
      </c>
      <c r="AD23" s="1">
        <v>0</v>
      </c>
      <c r="AE23" s="1">
        <v>0</v>
      </c>
      <c r="AF23" s="3">
        <v>3000000</v>
      </c>
      <c r="AG23" s="1">
        <v>13</v>
      </c>
      <c r="AT23" s="1" t="s">
        <v>209</v>
      </c>
      <c r="BP23" s="1">
        <v>3</v>
      </c>
      <c r="BQ23" s="1" t="s">
        <v>571</v>
      </c>
      <c r="BR23" s="1" t="s">
        <v>3434</v>
      </c>
      <c r="BS23" s="1" t="s">
        <v>3435</v>
      </c>
      <c r="BT23" s="1" t="s">
        <v>79</v>
      </c>
      <c r="BU23" s="1">
        <v>1</v>
      </c>
      <c r="BV23" s="1">
        <v>2</v>
      </c>
      <c r="BW23" s="1">
        <v>1</v>
      </c>
      <c r="BX23" s="1">
        <v>0</v>
      </c>
      <c r="BY23" s="1">
        <v>0</v>
      </c>
      <c r="BZ23" s="1">
        <v>0</v>
      </c>
      <c r="CA23" s="1">
        <v>0</v>
      </c>
      <c r="CB23" s="1">
        <v>0</v>
      </c>
      <c r="CC23" s="1">
        <v>0</v>
      </c>
      <c r="CD23" s="1">
        <v>0</v>
      </c>
      <c r="CE23" s="1">
        <v>0</v>
      </c>
      <c r="CF23" s="1">
        <v>0</v>
      </c>
      <c r="CG23" s="1">
        <v>0</v>
      </c>
      <c r="CH23" s="1">
        <v>0</v>
      </c>
      <c r="CI23" s="1">
        <v>0</v>
      </c>
      <c r="CJ23" s="1">
        <v>4</v>
      </c>
      <c r="CK23" s="1">
        <v>3</v>
      </c>
      <c r="CL23" s="1">
        <v>2</v>
      </c>
      <c r="CM23" s="1">
        <v>3</v>
      </c>
      <c r="CN23" s="1">
        <v>4</v>
      </c>
      <c r="CO23" s="1">
        <v>4</v>
      </c>
      <c r="CP23" s="1">
        <v>4</v>
      </c>
      <c r="CU23" s="1">
        <v>1</v>
      </c>
    </row>
    <row r="24" spans="1:99" x14ac:dyDescent="0.35">
      <c r="A24" s="1" t="s">
        <v>3436</v>
      </c>
      <c r="B24" s="1">
        <v>175144026</v>
      </c>
      <c r="C24" s="1">
        <v>0</v>
      </c>
      <c r="D24" s="1">
        <v>1</v>
      </c>
      <c r="E24" s="1">
        <v>0</v>
      </c>
      <c r="F24" s="1">
        <v>0</v>
      </c>
      <c r="G24" s="1">
        <v>0</v>
      </c>
      <c r="H24" s="1">
        <v>0</v>
      </c>
      <c r="I24" s="1">
        <v>0</v>
      </c>
      <c r="J24" s="1">
        <v>0</v>
      </c>
      <c r="K24" s="1">
        <v>0</v>
      </c>
      <c r="L24" s="1">
        <v>0</v>
      </c>
      <c r="M24" s="1">
        <v>0</v>
      </c>
      <c r="N24" s="1">
        <v>0</v>
      </c>
      <c r="O24" s="1">
        <v>0</v>
      </c>
      <c r="P24" s="1">
        <v>10</v>
      </c>
      <c r="Q24" s="1">
        <v>3</v>
      </c>
      <c r="R24" s="1">
        <v>3</v>
      </c>
      <c r="S24" s="1">
        <v>1</v>
      </c>
      <c r="T24" s="1">
        <v>1</v>
      </c>
      <c r="U24" s="1">
        <v>4</v>
      </c>
      <c r="V24" s="1">
        <v>4</v>
      </c>
      <c r="W24" s="1">
        <v>2</v>
      </c>
      <c r="X24" s="1">
        <v>3</v>
      </c>
      <c r="Y24" s="1">
        <v>4</v>
      </c>
      <c r="Z24" s="1">
        <v>4</v>
      </c>
      <c r="AA24" s="1">
        <v>4</v>
      </c>
      <c r="AC24" s="1">
        <v>1</v>
      </c>
      <c r="AD24" s="1">
        <v>2</v>
      </c>
      <c r="AF24" s="3">
        <v>5000000</v>
      </c>
      <c r="AG24" s="1">
        <v>11</v>
      </c>
      <c r="AR24" s="1" t="s">
        <v>130</v>
      </c>
      <c r="BP24" s="1">
        <v>6</v>
      </c>
      <c r="BQ24" s="1" t="s">
        <v>3331</v>
      </c>
      <c r="BR24" s="1" t="s">
        <v>3437</v>
      </c>
      <c r="BT24" s="1" t="s">
        <v>79</v>
      </c>
      <c r="BU24" s="1">
        <v>2</v>
      </c>
      <c r="BV24" s="1">
        <v>2</v>
      </c>
      <c r="BW24" s="1">
        <v>0</v>
      </c>
      <c r="BX24" s="1">
        <v>1</v>
      </c>
      <c r="BY24" s="1">
        <v>1</v>
      </c>
      <c r="BZ24" s="1">
        <v>1</v>
      </c>
      <c r="CA24" s="1">
        <v>0</v>
      </c>
      <c r="CB24" s="1">
        <v>0</v>
      </c>
      <c r="CC24" s="1">
        <v>1</v>
      </c>
      <c r="CD24" s="1">
        <v>1</v>
      </c>
      <c r="CE24" s="1">
        <v>1</v>
      </c>
      <c r="CF24" s="1">
        <v>0</v>
      </c>
      <c r="CG24" s="1">
        <v>0</v>
      </c>
      <c r="CH24" s="1">
        <v>0</v>
      </c>
      <c r="CI24" s="1">
        <v>0</v>
      </c>
      <c r="CJ24" s="1">
        <v>4</v>
      </c>
      <c r="CK24" s="1">
        <v>4</v>
      </c>
      <c r="CL24" s="1">
        <v>4</v>
      </c>
      <c r="CM24" s="1">
        <v>4</v>
      </c>
      <c r="CN24" s="1">
        <v>4</v>
      </c>
      <c r="CO24" s="1">
        <v>4</v>
      </c>
      <c r="CP24" s="1">
        <v>4</v>
      </c>
      <c r="CU24" s="1">
        <v>1</v>
      </c>
    </row>
    <row r="25" spans="1:99" x14ac:dyDescent="0.35">
      <c r="A25" s="1" t="s">
        <v>3438</v>
      </c>
      <c r="B25" s="1">
        <v>175144027</v>
      </c>
      <c r="C25" s="1">
        <v>0</v>
      </c>
      <c r="D25" s="1">
        <v>0</v>
      </c>
      <c r="E25" s="1">
        <v>0</v>
      </c>
      <c r="F25" s="1">
        <v>0</v>
      </c>
      <c r="G25" s="1">
        <v>0</v>
      </c>
      <c r="H25" s="1">
        <v>0</v>
      </c>
      <c r="I25" s="1">
        <v>0</v>
      </c>
      <c r="J25" s="1">
        <v>0</v>
      </c>
      <c r="K25" s="1">
        <v>0</v>
      </c>
      <c r="L25" s="1">
        <v>0</v>
      </c>
      <c r="M25" s="1">
        <v>0</v>
      </c>
      <c r="N25" s="1">
        <v>0</v>
      </c>
      <c r="O25" s="1">
        <v>0</v>
      </c>
      <c r="P25" s="1">
        <v>15</v>
      </c>
      <c r="Q25" s="1">
        <v>3</v>
      </c>
      <c r="R25" s="1">
        <v>4</v>
      </c>
      <c r="S25" s="1">
        <v>1</v>
      </c>
      <c r="T25" s="1">
        <v>1</v>
      </c>
      <c r="U25" s="1">
        <v>4</v>
      </c>
      <c r="V25" s="1">
        <v>3</v>
      </c>
      <c r="W25" s="1">
        <v>3</v>
      </c>
      <c r="X25" s="1">
        <v>2</v>
      </c>
      <c r="Y25" s="1">
        <v>3</v>
      </c>
      <c r="Z25" s="1">
        <v>3</v>
      </c>
      <c r="AA25" s="1">
        <v>3</v>
      </c>
      <c r="AC25" s="1">
        <v>1</v>
      </c>
      <c r="AD25" s="1">
        <v>2</v>
      </c>
      <c r="AF25" s="3">
        <v>4500000</v>
      </c>
      <c r="AG25" s="1">
        <v>13</v>
      </c>
      <c r="AT25" s="1" t="s">
        <v>86</v>
      </c>
      <c r="BP25" s="1">
        <v>6</v>
      </c>
      <c r="BQ25" s="1" t="s">
        <v>3439</v>
      </c>
      <c r="BT25" s="1" t="s">
        <v>79</v>
      </c>
      <c r="BU25" s="1">
        <v>1</v>
      </c>
      <c r="BV25" s="1">
        <v>2</v>
      </c>
      <c r="BW25" s="1">
        <v>1</v>
      </c>
      <c r="BX25" s="1">
        <v>0</v>
      </c>
      <c r="BY25" s="1">
        <v>0</v>
      </c>
      <c r="BZ25" s="1">
        <v>0</v>
      </c>
      <c r="CA25" s="1">
        <v>0</v>
      </c>
      <c r="CB25" s="1">
        <v>0</v>
      </c>
      <c r="CC25" s="1">
        <v>0</v>
      </c>
      <c r="CD25" s="1">
        <v>0</v>
      </c>
      <c r="CE25" s="1">
        <v>0</v>
      </c>
      <c r="CF25" s="1">
        <v>0</v>
      </c>
      <c r="CG25" s="1">
        <v>0</v>
      </c>
      <c r="CH25" s="1">
        <v>0</v>
      </c>
      <c r="CI25" s="1">
        <v>0</v>
      </c>
      <c r="CJ25" s="1">
        <v>3</v>
      </c>
      <c r="CK25" s="1">
        <v>3</v>
      </c>
      <c r="CL25" s="1">
        <v>3</v>
      </c>
      <c r="CM25" s="1">
        <v>3</v>
      </c>
      <c r="CN25" s="1">
        <v>3</v>
      </c>
      <c r="CO25" s="1">
        <v>3</v>
      </c>
      <c r="CP25" s="1">
        <v>3</v>
      </c>
      <c r="CU25" s="1">
        <v>1</v>
      </c>
    </row>
    <row r="26" spans="1:99" x14ac:dyDescent="0.35">
      <c r="A26" s="1" t="s">
        <v>3440</v>
      </c>
      <c r="B26" s="1">
        <v>175144028</v>
      </c>
      <c r="C26" s="1">
        <v>0</v>
      </c>
      <c r="D26" s="1">
        <v>1</v>
      </c>
      <c r="E26" s="1">
        <v>0</v>
      </c>
      <c r="F26" s="1">
        <v>0</v>
      </c>
      <c r="G26" s="1">
        <v>0</v>
      </c>
      <c r="H26" s="1">
        <v>0</v>
      </c>
      <c r="I26" s="1">
        <v>0</v>
      </c>
      <c r="J26" s="1">
        <v>0</v>
      </c>
      <c r="K26" s="1">
        <v>0</v>
      </c>
      <c r="L26" s="1">
        <v>0</v>
      </c>
      <c r="M26" s="1">
        <v>0</v>
      </c>
      <c r="N26" s="1">
        <v>0</v>
      </c>
      <c r="O26" s="1">
        <v>0</v>
      </c>
      <c r="P26" s="1">
        <v>4</v>
      </c>
      <c r="Q26" s="1">
        <v>3</v>
      </c>
      <c r="R26" s="1">
        <v>3</v>
      </c>
      <c r="S26" s="1">
        <v>1</v>
      </c>
      <c r="T26" s="1">
        <v>1</v>
      </c>
      <c r="U26" s="1">
        <v>3</v>
      </c>
      <c r="V26" s="1">
        <v>4</v>
      </c>
      <c r="W26" s="1">
        <v>3</v>
      </c>
      <c r="X26" s="1">
        <v>4</v>
      </c>
      <c r="Y26" s="1">
        <v>4</v>
      </c>
      <c r="Z26" s="1">
        <v>4</v>
      </c>
      <c r="AA26" s="1">
        <v>4</v>
      </c>
      <c r="AC26" s="1">
        <v>1</v>
      </c>
      <c r="AD26" s="1">
        <v>2</v>
      </c>
      <c r="AF26" s="3">
        <v>3400000</v>
      </c>
      <c r="AG26" s="1">
        <v>13</v>
      </c>
      <c r="AT26" s="1" t="s">
        <v>209</v>
      </c>
      <c r="BP26" s="1">
        <v>4</v>
      </c>
      <c r="BQ26" s="1" t="s">
        <v>3441</v>
      </c>
      <c r="BR26" s="1" t="s">
        <v>3442</v>
      </c>
      <c r="BS26" s="1" t="s">
        <v>3443</v>
      </c>
      <c r="BT26" s="1" t="s">
        <v>79</v>
      </c>
      <c r="BU26" s="1">
        <v>1</v>
      </c>
      <c r="BV26" s="1">
        <v>2</v>
      </c>
      <c r="BW26" s="1">
        <v>1</v>
      </c>
      <c r="BX26" s="1">
        <v>0</v>
      </c>
      <c r="BY26" s="1">
        <v>0</v>
      </c>
      <c r="BZ26" s="1">
        <v>0</v>
      </c>
      <c r="CA26" s="1">
        <v>0</v>
      </c>
      <c r="CB26" s="1">
        <v>0</v>
      </c>
      <c r="CC26" s="1">
        <v>0</v>
      </c>
      <c r="CD26" s="1">
        <v>0</v>
      </c>
      <c r="CE26" s="1">
        <v>0</v>
      </c>
      <c r="CF26" s="1">
        <v>0</v>
      </c>
      <c r="CG26" s="1">
        <v>0</v>
      </c>
      <c r="CH26" s="1">
        <v>0</v>
      </c>
      <c r="CI26" s="1">
        <v>0</v>
      </c>
      <c r="CJ26" s="1">
        <v>4</v>
      </c>
      <c r="CK26" s="1">
        <v>3</v>
      </c>
      <c r="CL26" s="1">
        <v>3</v>
      </c>
      <c r="CM26" s="1">
        <v>4</v>
      </c>
      <c r="CN26" s="1">
        <v>4</v>
      </c>
      <c r="CO26" s="1">
        <v>4</v>
      </c>
      <c r="CP26" s="1">
        <v>4</v>
      </c>
      <c r="CU26" s="1">
        <v>1</v>
      </c>
    </row>
    <row r="27" spans="1:99" x14ac:dyDescent="0.35">
      <c r="A27" s="1" t="s">
        <v>3444</v>
      </c>
      <c r="B27" s="1">
        <v>175144029</v>
      </c>
      <c r="C27" s="1">
        <v>1</v>
      </c>
      <c r="D27" s="1">
        <v>1</v>
      </c>
      <c r="E27" s="1">
        <v>1</v>
      </c>
      <c r="F27" s="1">
        <v>1</v>
      </c>
      <c r="G27" s="1">
        <v>1</v>
      </c>
      <c r="H27" s="1">
        <v>1</v>
      </c>
      <c r="I27" s="1">
        <v>1</v>
      </c>
      <c r="J27" s="1">
        <v>0</v>
      </c>
      <c r="K27" s="1">
        <v>0</v>
      </c>
      <c r="L27" s="1">
        <v>0</v>
      </c>
      <c r="M27" s="1">
        <v>0</v>
      </c>
      <c r="N27" s="1">
        <v>0</v>
      </c>
      <c r="O27" s="1">
        <v>0</v>
      </c>
      <c r="P27" s="1">
        <v>20</v>
      </c>
      <c r="Q27" s="1">
        <v>10</v>
      </c>
      <c r="R27" s="1">
        <v>5</v>
      </c>
      <c r="S27" s="1">
        <v>1</v>
      </c>
      <c r="T27" s="1">
        <v>1</v>
      </c>
      <c r="U27" s="1">
        <v>3</v>
      </c>
      <c r="V27" s="1">
        <v>3</v>
      </c>
      <c r="W27" s="1">
        <v>3</v>
      </c>
      <c r="X27" s="1">
        <v>3</v>
      </c>
      <c r="Y27" s="1">
        <v>3</v>
      </c>
      <c r="Z27" s="1">
        <v>3</v>
      </c>
      <c r="AA27" s="1">
        <v>3</v>
      </c>
      <c r="AC27" s="1">
        <v>1</v>
      </c>
      <c r="AD27" s="1">
        <v>1</v>
      </c>
      <c r="AF27" s="3">
        <v>6000000</v>
      </c>
      <c r="AG27" s="1">
        <v>22</v>
      </c>
      <c r="BC27" s="1" t="s">
        <v>3445</v>
      </c>
      <c r="BP27" s="1">
        <v>4</v>
      </c>
      <c r="BQ27" s="1" t="s">
        <v>3446</v>
      </c>
      <c r="BR27" s="1" t="s">
        <v>3447</v>
      </c>
      <c r="BS27" s="1" t="s">
        <v>3448</v>
      </c>
      <c r="BT27" s="1" t="s">
        <v>107</v>
      </c>
      <c r="BU27" s="1">
        <v>2</v>
      </c>
      <c r="BV27" s="1">
        <v>2</v>
      </c>
      <c r="BW27" s="1">
        <v>0</v>
      </c>
      <c r="BX27" s="1">
        <v>1</v>
      </c>
      <c r="BY27" s="1">
        <v>0</v>
      </c>
      <c r="BZ27" s="1">
        <v>0</v>
      </c>
      <c r="CA27" s="1">
        <v>0</v>
      </c>
      <c r="CB27" s="1">
        <v>0</v>
      </c>
      <c r="CC27" s="1">
        <v>0</v>
      </c>
      <c r="CD27" s="1">
        <v>0</v>
      </c>
      <c r="CE27" s="1">
        <v>0</v>
      </c>
      <c r="CF27" s="1">
        <v>0</v>
      </c>
      <c r="CG27" s="1">
        <v>0</v>
      </c>
      <c r="CH27" s="1">
        <v>0</v>
      </c>
      <c r="CI27" s="1">
        <v>0</v>
      </c>
      <c r="CJ27" s="1">
        <v>3</v>
      </c>
      <c r="CK27" s="1">
        <v>3</v>
      </c>
      <c r="CL27" s="1">
        <v>3</v>
      </c>
      <c r="CM27" s="1">
        <v>3</v>
      </c>
      <c r="CN27" s="1">
        <v>3</v>
      </c>
      <c r="CO27" s="1">
        <v>3</v>
      </c>
      <c r="CP27" s="1">
        <v>3</v>
      </c>
      <c r="CU27" s="1">
        <v>1</v>
      </c>
    </row>
    <row r="28" spans="1:99" x14ac:dyDescent="0.35">
      <c r="A28" s="1" t="s">
        <v>3449</v>
      </c>
      <c r="B28" s="1">
        <v>175144030</v>
      </c>
      <c r="C28" s="1">
        <v>0</v>
      </c>
      <c r="D28" s="1">
        <v>1</v>
      </c>
      <c r="E28" s="1">
        <v>0</v>
      </c>
      <c r="F28" s="1">
        <v>0</v>
      </c>
      <c r="G28" s="1">
        <v>0</v>
      </c>
      <c r="H28" s="1">
        <v>0</v>
      </c>
      <c r="I28" s="1">
        <v>0</v>
      </c>
      <c r="J28" s="1">
        <v>0</v>
      </c>
      <c r="K28" s="1">
        <v>1</v>
      </c>
      <c r="L28" s="1">
        <v>0</v>
      </c>
      <c r="M28" s="1">
        <v>0</v>
      </c>
      <c r="N28" s="1">
        <v>0</v>
      </c>
      <c r="O28" s="1">
        <v>0</v>
      </c>
      <c r="P28" s="1">
        <v>50</v>
      </c>
      <c r="Q28" s="1">
        <v>10</v>
      </c>
      <c r="R28" s="1">
        <v>5</v>
      </c>
      <c r="S28" s="1">
        <v>5</v>
      </c>
      <c r="T28" s="1">
        <v>1</v>
      </c>
      <c r="U28" s="1">
        <v>4</v>
      </c>
      <c r="V28" s="1">
        <v>3</v>
      </c>
      <c r="W28" s="1">
        <v>3</v>
      </c>
      <c r="X28" s="1">
        <v>3</v>
      </c>
      <c r="Y28" s="1">
        <v>3</v>
      </c>
      <c r="Z28" s="1">
        <v>4</v>
      </c>
      <c r="AA28" s="1">
        <v>4</v>
      </c>
      <c r="CU28" s="1">
        <v>4</v>
      </c>
    </row>
    <row r="29" spans="1:99" x14ac:dyDescent="0.35">
      <c r="A29" s="1" t="s">
        <v>3450</v>
      </c>
      <c r="B29" s="1">
        <v>175144031</v>
      </c>
      <c r="C29" s="1">
        <v>0</v>
      </c>
      <c r="D29" s="1">
        <v>0</v>
      </c>
      <c r="E29" s="1">
        <v>0</v>
      </c>
      <c r="F29" s="1">
        <v>0</v>
      </c>
      <c r="G29" s="1">
        <v>0</v>
      </c>
      <c r="H29" s="1">
        <v>0</v>
      </c>
      <c r="I29" s="1">
        <v>0</v>
      </c>
      <c r="J29" s="1">
        <v>0</v>
      </c>
      <c r="K29" s="1">
        <v>1</v>
      </c>
      <c r="L29" s="1">
        <v>0</v>
      </c>
      <c r="M29" s="1">
        <v>0</v>
      </c>
      <c r="N29" s="1">
        <v>0</v>
      </c>
      <c r="O29" s="1">
        <v>0</v>
      </c>
      <c r="P29" s="1">
        <v>2</v>
      </c>
      <c r="Q29" s="1">
        <v>2</v>
      </c>
      <c r="R29" s="1">
        <v>1</v>
      </c>
      <c r="S29" s="1">
        <v>1</v>
      </c>
      <c r="T29" s="1">
        <v>3</v>
      </c>
      <c r="U29" s="1">
        <v>4</v>
      </c>
      <c r="V29" s="1">
        <v>4</v>
      </c>
      <c r="W29" s="1">
        <v>4</v>
      </c>
      <c r="X29" s="1">
        <v>4</v>
      </c>
      <c r="Y29" s="1">
        <v>4</v>
      </c>
      <c r="Z29" s="1">
        <v>4</v>
      </c>
      <c r="AA29" s="1">
        <v>4</v>
      </c>
      <c r="AC29" s="1">
        <v>1</v>
      </c>
      <c r="AD29" s="1">
        <v>1</v>
      </c>
      <c r="AF29" s="3">
        <v>5000000</v>
      </c>
      <c r="AG29" s="1">
        <v>13</v>
      </c>
      <c r="AT29" s="1" t="s">
        <v>86</v>
      </c>
      <c r="BP29" s="1">
        <v>6</v>
      </c>
      <c r="BQ29" s="1" t="s">
        <v>3451</v>
      </c>
      <c r="BR29" s="1" t="s">
        <v>3452</v>
      </c>
      <c r="BT29" s="1" t="s">
        <v>79</v>
      </c>
      <c r="BU29" s="1">
        <v>4</v>
      </c>
      <c r="BV29" s="1">
        <v>2</v>
      </c>
      <c r="BW29" s="1">
        <v>0</v>
      </c>
      <c r="BX29" s="1">
        <v>0</v>
      </c>
      <c r="BY29" s="1">
        <v>0</v>
      </c>
      <c r="BZ29" s="1">
        <v>0</v>
      </c>
      <c r="CA29" s="1">
        <v>1</v>
      </c>
      <c r="CB29" s="1">
        <v>0</v>
      </c>
      <c r="CC29" s="1">
        <v>0</v>
      </c>
      <c r="CD29" s="1">
        <v>0</v>
      </c>
      <c r="CE29" s="1">
        <v>0</v>
      </c>
      <c r="CF29" s="1">
        <v>1</v>
      </c>
      <c r="CG29" s="1">
        <v>1</v>
      </c>
      <c r="CH29" s="1">
        <v>1</v>
      </c>
      <c r="CI29" s="1">
        <v>0</v>
      </c>
      <c r="CJ29" s="1">
        <v>4</v>
      </c>
      <c r="CK29" s="1">
        <v>4</v>
      </c>
      <c r="CL29" s="1">
        <v>4</v>
      </c>
      <c r="CM29" s="1">
        <v>4</v>
      </c>
      <c r="CN29" s="1">
        <v>4</v>
      </c>
      <c r="CO29" s="1">
        <v>4</v>
      </c>
      <c r="CP29" s="1">
        <v>4</v>
      </c>
      <c r="CU29" s="1">
        <v>1</v>
      </c>
    </row>
    <row r="30" spans="1:99" x14ac:dyDescent="0.35">
      <c r="A30" s="1" t="s">
        <v>3453</v>
      </c>
      <c r="B30" s="1">
        <v>175144032</v>
      </c>
      <c r="C30" s="1">
        <v>0</v>
      </c>
      <c r="D30" s="1">
        <v>1</v>
      </c>
      <c r="E30" s="1">
        <v>0</v>
      </c>
      <c r="F30" s="1">
        <v>0</v>
      </c>
      <c r="G30" s="1">
        <v>0</v>
      </c>
      <c r="H30" s="1">
        <v>0</v>
      </c>
      <c r="I30" s="1">
        <v>0</v>
      </c>
      <c r="J30" s="1">
        <v>1</v>
      </c>
      <c r="K30" s="1">
        <v>1</v>
      </c>
      <c r="L30" s="1">
        <v>0</v>
      </c>
      <c r="M30" s="1">
        <v>0</v>
      </c>
      <c r="N30" s="1">
        <v>0</v>
      </c>
      <c r="O30" s="1">
        <v>0</v>
      </c>
      <c r="P30" s="1">
        <f>+- 30</f>
        <v>-30</v>
      </c>
      <c r="Q30" s="1">
        <f>+- 4</f>
        <v>-4</v>
      </c>
      <c r="R30" s="1">
        <v>2</v>
      </c>
      <c r="S30" s="1">
        <v>1</v>
      </c>
      <c r="T30" s="1">
        <v>1</v>
      </c>
      <c r="U30" s="1">
        <v>4</v>
      </c>
      <c r="V30" s="1">
        <v>3</v>
      </c>
      <c r="W30" s="1">
        <v>3</v>
      </c>
      <c r="X30" s="1">
        <v>4</v>
      </c>
      <c r="Y30" s="1">
        <v>4</v>
      </c>
      <c r="Z30" s="1">
        <v>4</v>
      </c>
      <c r="AA30" s="1">
        <v>4</v>
      </c>
      <c r="AC30" s="1">
        <v>1</v>
      </c>
      <c r="AD30" s="1">
        <v>5</v>
      </c>
      <c r="AF30" s="3">
        <v>4000000</v>
      </c>
      <c r="AG30" s="1">
        <v>13</v>
      </c>
      <c r="AT30" s="1" t="s">
        <v>86</v>
      </c>
      <c r="BP30" s="1">
        <v>3</v>
      </c>
      <c r="BQ30" s="1" t="s">
        <v>3454</v>
      </c>
      <c r="BR30" s="1" t="s">
        <v>3455</v>
      </c>
      <c r="BS30" s="1" t="s">
        <v>3456</v>
      </c>
      <c r="BT30" s="1" t="s">
        <v>79</v>
      </c>
      <c r="BU30" s="1">
        <v>2</v>
      </c>
      <c r="BV30" s="1">
        <v>2</v>
      </c>
      <c r="BW30" s="1">
        <v>0</v>
      </c>
      <c r="BX30" s="1">
        <v>0</v>
      </c>
      <c r="BY30" s="1">
        <v>0</v>
      </c>
      <c r="BZ30" s="1">
        <v>0</v>
      </c>
      <c r="CA30" s="1">
        <v>0</v>
      </c>
      <c r="CB30" s="1">
        <v>0</v>
      </c>
      <c r="CC30" s="1">
        <v>0</v>
      </c>
      <c r="CD30" s="1">
        <v>1</v>
      </c>
      <c r="CE30" s="1">
        <v>0</v>
      </c>
      <c r="CF30" s="1">
        <v>1</v>
      </c>
      <c r="CG30" s="1">
        <v>0</v>
      </c>
      <c r="CH30" s="1">
        <v>0</v>
      </c>
      <c r="CI30" s="1">
        <v>0</v>
      </c>
      <c r="CJ30" s="1">
        <v>4</v>
      </c>
      <c r="CK30" s="1">
        <v>3</v>
      </c>
      <c r="CL30" s="1">
        <v>3</v>
      </c>
      <c r="CM30" s="1">
        <v>4</v>
      </c>
      <c r="CN30" s="1">
        <v>4</v>
      </c>
      <c r="CO30" s="1">
        <v>4</v>
      </c>
      <c r="CP30" s="1">
        <v>4</v>
      </c>
      <c r="CU30" s="1">
        <v>2</v>
      </c>
    </row>
    <row r="31" spans="1:99" x14ac:dyDescent="0.35">
      <c r="A31" s="1" t="s">
        <v>3457</v>
      </c>
      <c r="B31" s="1">
        <v>175144033</v>
      </c>
      <c r="C31" s="1">
        <v>0</v>
      </c>
      <c r="D31" s="1">
        <v>1</v>
      </c>
      <c r="E31" s="1">
        <v>0</v>
      </c>
      <c r="F31" s="1">
        <v>0</v>
      </c>
      <c r="G31" s="1">
        <v>0</v>
      </c>
      <c r="H31" s="1">
        <v>0</v>
      </c>
      <c r="I31" s="1">
        <v>0</v>
      </c>
      <c r="J31" s="1">
        <v>0</v>
      </c>
      <c r="K31" s="1">
        <v>0</v>
      </c>
      <c r="L31" s="1">
        <v>0</v>
      </c>
      <c r="M31" s="1">
        <v>0</v>
      </c>
      <c r="N31" s="1">
        <v>0</v>
      </c>
      <c r="O31" s="1">
        <v>0</v>
      </c>
      <c r="P31" s="1">
        <v>42</v>
      </c>
      <c r="Q31" s="1">
        <v>12</v>
      </c>
      <c r="R31" s="1">
        <v>11</v>
      </c>
      <c r="S31" s="1">
        <v>5</v>
      </c>
      <c r="T31" s="1">
        <v>1</v>
      </c>
      <c r="U31" s="1">
        <v>3</v>
      </c>
      <c r="V31" s="1">
        <v>3</v>
      </c>
      <c r="W31" s="1">
        <v>2</v>
      </c>
      <c r="X31" s="1">
        <v>3</v>
      </c>
      <c r="Y31" s="1">
        <v>3</v>
      </c>
      <c r="Z31" s="1">
        <v>3</v>
      </c>
      <c r="AA31" s="1">
        <v>2</v>
      </c>
      <c r="CU31" s="1">
        <v>4</v>
      </c>
    </row>
    <row r="32" spans="1:99" x14ac:dyDescent="0.35">
      <c r="A32" s="1" t="s">
        <v>3458</v>
      </c>
      <c r="B32" s="1">
        <v>175144034</v>
      </c>
      <c r="C32" s="1">
        <v>0</v>
      </c>
      <c r="D32" s="1">
        <v>1</v>
      </c>
      <c r="E32" s="1">
        <v>0</v>
      </c>
      <c r="F32" s="1">
        <v>0</v>
      </c>
      <c r="G32" s="1">
        <v>0</v>
      </c>
      <c r="H32" s="1">
        <v>0</v>
      </c>
      <c r="I32" s="1">
        <v>0</v>
      </c>
      <c r="J32" s="1">
        <v>0</v>
      </c>
      <c r="K32" s="1">
        <v>0</v>
      </c>
      <c r="L32" s="1">
        <v>0</v>
      </c>
      <c r="M32" s="1">
        <v>0</v>
      </c>
      <c r="N32" s="1">
        <v>0</v>
      </c>
      <c r="O32" s="1">
        <v>0</v>
      </c>
      <c r="P32" s="1">
        <v>108</v>
      </c>
      <c r="Q32" s="1">
        <v>10</v>
      </c>
      <c r="R32" s="1">
        <v>5</v>
      </c>
    </row>
    <row r="33" spans="1:99" x14ac:dyDescent="0.35">
      <c r="A33" s="1" t="s">
        <v>3459</v>
      </c>
      <c r="B33" s="1">
        <v>175144035</v>
      </c>
      <c r="C33" s="1">
        <v>0</v>
      </c>
      <c r="D33" s="1">
        <v>1</v>
      </c>
      <c r="E33" s="1">
        <v>0</v>
      </c>
      <c r="F33" s="1">
        <v>0</v>
      </c>
      <c r="G33" s="1">
        <v>0</v>
      </c>
      <c r="H33" s="1">
        <v>1</v>
      </c>
      <c r="I33" s="1">
        <v>0</v>
      </c>
      <c r="J33" s="1">
        <v>0</v>
      </c>
      <c r="K33" s="1">
        <v>0</v>
      </c>
      <c r="L33" s="1">
        <v>1</v>
      </c>
      <c r="M33" s="1">
        <v>0</v>
      </c>
      <c r="N33" s="1">
        <v>0</v>
      </c>
      <c r="O33" s="1">
        <v>0</v>
      </c>
      <c r="P33" s="1">
        <v>21</v>
      </c>
      <c r="Q33" s="1">
        <v>6</v>
      </c>
      <c r="R33" s="1">
        <v>0</v>
      </c>
      <c r="S33" s="1">
        <v>3</v>
      </c>
      <c r="T33" s="1">
        <v>1</v>
      </c>
      <c r="U33" s="1">
        <v>4</v>
      </c>
      <c r="V33" s="1">
        <v>2</v>
      </c>
      <c r="W33" s="1">
        <v>4</v>
      </c>
      <c r="X33" s="1">
        <v>3</v>
      </c>
      <c r="Y33" s="1">
        <v>3</v>
      </c>
      <c r="Z33" s="1">
        <v>3</v>
      </c>
      <c r="AA33" s="1">
        <v>3</v>
      </c>
      <c r="AB33" s="1">
        <v>4</v>
      </c>
      <c r="AC33" s="1">
        <v>1</v>
      </c>
      <c r="AD33" s="1">
        <v>4</v>
      </c>
      <c r="AF33" s="3">
        <v>1000000</v>
      </c>
      <c r="AG33" s="1">
        <v>13</v>
      </c>
      <c r="AT33" s="1" t="s">
        <v>209</v>
      </c>
      <c r="BP33" s="1">
        <v>4</v>
      </c>
      <c r="BT33" s="1" t="s">
        <v>107</v>
      </c>
      <c r="BU33" s="1">
        <v>4</v>
      </c>
      <c r="BV33" s="1">
        <v>2</v>
      </c>
      <c r="BW33" s="1">
        <v>0</v>
      </c>
      <c r="BX33" s="1">
        <v>1</v>
      </c>
      <c r="BY33" s="1">
        <v>0</v>
      </c>
      <c r="BZ33" s="1">
        <v>1</v>
      </c>
      <c r="CA33" s="1">
        <v>0</v>
      </c>
      <c r="CB33" s="1">
        <v>0</v>
      </c>
      <c r="CC33" s="1">
        <v>0</v>
      </c>
      <c r="CD33" s="1">
        <v>1</v>
      </c>
      <c r="CE33" s="1">
        <v>1</v>
      </c>
      <c r="CF33" s="1">
        <v>0</v>
      </c>
      <c r="CG33" s="1">
        <v>0</v>
      </c>
      <c r="CH33" s="1">
        <v>0</v>
      </c>
      <c r="CI33" s="1">
        <v>0</v>
      </c>
      <c r="CJ33" s="1">
        <v>4</v>
      </c>
      <c r="CK33" s="1">
        <v>4</v>
      </c>
      <c r="CL33" s="1">
        <v>4</v>
      </c>
      <c r="CM33" s="1">
        <v>4</v>
      </c>
      <c r="CN33" s="1">
        <v>4</v>
      </c>
      <c r="CO33" s="1">
        <v>4</v>
      </c>
      <c r="CP33" s="1">
        <v>4</v>
      </c>
      <c r="CU33" s="1">
        <v>1</v>
      </c>
    </row>
    <row r="34" spans="1:99" x14ac:dyDescent="0.35">
      <c r="A34" s="1" t="s">
        <v>3460</v>
      </c>
      <c r="B34" s="1">
        <v>175144036</v>
      </c>
      <c r="C34" s="1">
        <v>1</v>
      </c>
      <c r="D34" s="1">
        <v>0</v>
      </c>
      <c r="E34" s="1">
        <v>0</v>
      </c>
      <c r="F34" s="1">
        <v>0</v>
      </c>
      <c r="G34" s="1">
        <v>0</v>
      </c>
      <c r="H34" s="1">
        <v>0</v>
      </c>
      <c r="I34" s="1">
        <v>0</v>
      </c>
      <c r="J34" s="1">
        <v>1</v>
      </c>
      <c r="K34" s="1">
        <v>0</v>
      </c>
      <c r="L34" s="1">
        <v>0</v>
      </c>
      <c r="M34" s="1">
        <v>0</v>
      </c>
      <c r="N34" s="1">
        <v>0</v>
      </c>
      <c r="O34" s="1">
        <v>0</v>
      </c>
      <c r="P34" s="1">
        <v>25</v>
      </c>
      <c r="Q34" s="1">
        <v>5</v>
      </c>
      <c r="R34" s="1">
        <v>3</v>
      </c>
      <c r="S34" s="1">
        <v>1</v>
      </c>
      <c r="T34" s="1">
        <v>1</v>
      </c>
      <c r="U34" s="1">
        <v>4</v>
      </c>
      <c r="V34" s="1">
        <v>3</v>
      </c>
      <c r="W34" s="1">
        <v>3</v>
      </c>
      <c r="X34" s="1">
        <v>3</v>
      </c>
      <c r="Y34" s="1">
        <v>3</v>
      </c>
      <c r="Z34" s="1">
        <v>3</v>
      </c>
      <c r="AA34" s="1">
        <v>3</v>
      </c>
      <c r="AC34" s="1">
        <v>1</v>
      </c>
      <c r="AD34" s="1">
        <v>5</v>
      </c>
      <c r="AF34" s="3">
        <v>3600000</v>
      </c>
      <c r="AG34" s="1">
        <v>13</v>
      </c>
      <c r="AT34" s="1" t="s">
        <v>209</v>
      </c>
      <c r="BQ34" s="1" t="s">
        <v>3461</v>
      </c>
      <c r="BR34" s="1" t="s">
        <v>3462</v>
      </c>
      <c r="BS34" s="1" t="s">
        <v>3463</v>
      </c>
      <c r="BT34" s="1" t="s">
        <v>79</v>
      </c>
      <c r="BU34" s="1">
        <v>2</v>
      </c>
      <c r="BV34" s="1">
        <v>2</v>
      </c>
      <c r="BW34" s="1">
        <v>1</v>
      </c>
      <c r="BX34" s="1">
        <v>0</v>
      </c>
      <c r="BY34" s="1">
        <v>0</v>
      </c>
      <c r="BZ34" s="1">
        <v>0</v>
      </c>
      <c r="CA34" s="1">
        <v>0</v>
      </c>
      <c r="CB34" s="1">
        <v>0</v>
      </c>
      <c r="CC34" s="1">
        <v>0</v>
      </c>
      <c r="CD34" s="1">
        <v>0</v>
      </c>
      <c r="CE34" s="1">
        <v>0</v>
      </c>
      <c r="CF34" s="1">
        <v>0</v>
      </c>
      <c r="CG34" s="1">
        <v>0</v>
      </c>
      <c r="CH34" s="1">
        <v>0</v>
      </c>
      <c r="CI34" s="1">
        <v>0</v>
      </c>
      <c r="CJ34" s="1">
        <v>4</v>
      </c>
      <c r="CK34" s="1">
        <v>4</v>
      </c>
      <c r="CL34" s="1">
        <v>3</v>
      </c>
      <c r="CM34" s="1">
        <v>4</v>
      </c>
      <c r="CN34" s="1">
        <v>4</v>
      </c>
      <c r="CO34" s="1">
        <v>4</v>
      </c>
      <c r="CP34" s="1">
        <v>4</v>
      </c>
      <c r="CU34" s="1">
        <v>1</v>
      </c>
    </row>
    <row r="35" spans="1:99" x14ac:dyDescent="0.35">
      <c r="A35" s="1" t="s">
        <v>3464</v>
      </c>
      <c r="B35" s="1">
        <v>175144037</v>
      </c>
      <c r="C35" s="1">
        <v>0</v>
      </c>
      <c r="D35" s="1">
        <v>1</v>
      </c>
      <c r="E35" s="1">
        <v>0</v>
      </c>
      <c r="F35" s="1">
        <v>0</v>
      </c>
      <c r="G35" s="1">
        <v>0</v>
      </c>
      <c r="H35" s="1">
        <v>0</v>
      </c>
      <c r="I35" s="1">
        <v>0</v>
      </c>
      <c r="J35" s="1">
        <v>0</v>
      </c>
      <c r="K35" s="1">
        <v>0</v>
      </c>
      <c r="L35" s="1">
        <v>0</v>
      </c>
      <c r="M35" s="1">
        <v>0</v>
      </c>
      <c r="N35" s="1">
        <v>0</v>
      </c>
      <c r="O35" s="1">
        <v>0</v>
      </c>
      <c r="P35" s="1">
        <v>15</v>
      </c>
      <c r="Q35" s="1">
        <v>3</v>
      </c>
      <c r="R35" s="1">
        <v>3</v>
      </c>
      <c r="S35" s="1">
        <v>1</v>
      </c>
      <c r="T35" s="1">
        <v>1</v>
      </c>
      <c r="U35" s="1">
        <v>4</v>
      </c>
      <c r="V35" s="1">
        <v>3</v>
      </c>
      <c r="W35" s="1">
        <v>2</v>
      </c>
      <c r="X35" s="1">
        <v>3</v>
      </c>
      <c r="Y35" s="1">
        <v>3</v>
      </c>
      <c r="Z35" s="1">
        <v>4</v>
      </c>
      <c r="AA35" s="1">
        <v>4</v>
      </c>
      <c r="AC35" s="1">
        <v>1</v>
      </c>
      <c r="AD35" s="1">
        <v>6</v>
      </c>
      <c r="AF35" s="3">
        <v>3248000</v>
      </c>
      <c r="AG35" s="1">
        <v>13</v>
      </c>
      <c r="AT35" s="1" t="s">
        <v>427</v>
      </c>
      <c r="BP35" s="1">
        <v>3</v>
      </c>
      <c r="BQ35" s="1" t="s">
        <v>3465</v>
      </c>
      <c r="BR35" s="1" t="s">
        <v>3466</v>
      </c>
      <c r="BT35" s="1" t="s">
        <v>107</v>
      </c>
      <c r="BU35" s="1">
        <v>1</v>
      </c>
      <c r="BV35" s="1">
        <v>2</v>
      </c>
      <c r="BW35" s="1">
        <v>0</v>
      </c>
      <c r="BX35" s="1">
        <v>1</v>
      </c>
      <c r="BY35" s="1">
        <v>0</v>
      </c>
      <c r="BZ35" s="1">
        <v>0</v>
      </c>
      <c r="CA35" s="1">
        <v>0</v>
      </c>
      <c r="CB35" s="1">
        <v>0</v>
      </c>
      <c r="CC35" s="1">
        <v>0</v>
      </c>
      <c r="CD35" s="1">
        <v>0</v>
      </c>
      <c r="CE35" s="1">
        <v>0</v>
      </c>
      <c r="CF35" s="1">
        <v>0</v>
      </c>
      <c r="CG35" s="1">
        <v>0</v>
      </c>
      <c r="CH35" s="1">
        <v>1</v>
      </c>
      <c r="CI35" s="1">
        <v>0</v>
      </c>
      <c r="CJ35" s="1">
        <v>4</v>
      </c>
      <c r="CK35" s="1">
        <v>4</v>
      </c>
      <c r="CL35" s="1">
        <v>3</v>
      </c>
      <c r="CM35" s="1">
        <v>4</v>
      </c>
      <c r="CN35" s="1">
        <v>4</v>
      </c>
      <c r="CO35" s="1">
        <v>4</v>
      </c>
      <c r="CP35" s="1">
        <v>4</v>
      </c>
      <c r="CU35" s="1">
        <v>1</v>
      </c>
    </row>
    <row r="36" spans="1:99" x14ac:dyDescent="0.35">
      <c r="A36" s="1" t="s">
        <v>3467</v>
      </c>
      <c r="B36" s="1">
        <v>175144038</v>
      </c>
      <c r="C36" s="1">
        <v>0</v>
      </c>
      <c r="D36" s="1">
        <v>1</v>
      </c>
      <c r="E36" s="1">
        <v>0</v>
      </c>
      <c r="F36" s="1">
        <v>0</v>
      </c>
      <c r="G36" s="1">
        <v>0</v>
      </c>
      <c r="H36" s="1">
        <v>0</v>
      </c>
      <c r="I36" s="1">
        <v>0</v>
      </c>
      <c r="J36" s="1">
        <v>0</v>
      </c>
      <c r="K36" s="1">
        <v>1</v>
      </c>
      <c r="L36" s="1">
        <v>0</v>
      </c>
      <c r="M36" s="1">
        <v>0</v>
      </c>
      <c r="N36" s="1">
        <v>0</v>
      </c>
      <c r="O36" s="1">
        <v>0</v>
      </c>
      <c r="P36" s="1" t="s">
        <v>3468</v>
      </c>
      <c r="Q36" s="1" t="s">
        <v>2238</v>
      </c>
      <c r="R36" s="1" t="s">
        <v>2239</v>
      </c>
      <c r="S36" s="1">
        <v>1</v>
      </c>
      <c r="T36" s="1">
        <v>4</v>
      </c>
      <c r="U36" s="1">
        <v>4</v>
      </c>
      <c r="V36" s="1">
        <v>4</v>
      </c>
      <c r="W36" s="1">
        <v>3</v>
      </c>
      <c r="X36" s="1">
        <v>4</v>
      </c>
      <c r="Y36" s="1">
        <v>4</v>
      </c>
      <c r="Z36" s="1">
        <v>4</v>
      </c>
      <c r="AA36" s="1">
        <v>4</v>
      </c>
      <c r="AC36" s="1">
        <v>1</v>
      </c>
      <c r="AD36" s="1">
        <v>2</v>
      </c>
      <c r="AF36" s="3">
        <v>5000000</v>
      </c>
      <c r="AG36" s="1">
        <v>11</v>
      </c>
      <c r="AR36" s="1" t="s">
        <v>130</v>
      </c>
      <c r="BP36" s="1">
        <v>3</v>
      </c>
      <c r="BQ36" s="1" t="s">
        <v>3469</v>
      </c>
      <c r="BR36" s="1" t="s">
        <v>3470</v>
      </c>
      <c r="BT36" s="1" t="s">
        <v>79</v>
      </c>
      <c r="BU36" s="1">
        <v>3</v>
      </c>
      <c r="BV36" s="1">
        <v>2</v>
      </c>
      <c r="BW36" s="1">
        <v>1</v>
      </c>
      <c r="BX36" s="1">
        <v>0</v>
      </c>
      <c r="BY36" s="1">
        <v>0</v>
      </c>
      <c r="BZ36" s="1">
        <v>0</v>
      </c>
      <c r="CA36" s="1">
        <v>0</v>
      </c>
      <c r="CB36" s="1">
        <v>0</v>
      </c>
      <c r="CC36" s="1">
        <v>0</v>
      </c>
      <c r="CD36" s="1">
        <v>0</v>
      </c>
      <c r="CE36" s="1">
        <v>0</v>
      </c>
      <c r="CF36" s="1">
        <v>0</v>
      </c>
      <c r="CG36" s="1">
        <v>0</v>
      </c>
      <c r="CH36" s="1">
        <v>0</v>
      </c>
      <c r="CI36" s="1">
        <v>0</v>
      </c>
      <c r="CJ36" s="1">
        <v>4</v>
      </c>
      <c r="CK36" s="1">
        <v>4</v>
      </c>
      <c r="CL36" s="1">
        <v>4</v>
      </c>
      <c r="CM36" s="1">
        <v>4</v>
      </c>
      <c r="CN36" s="1">
        <v>4</v>
      </c>
      <c r="CO36" s="1">
        <v>4</v>
      </c>
      <c r="CP36" s="1">
        <v>4</v>
      </c>
      <c r="CU36" s="1">
        <v>1</v>
      </c>
    </row>
    <row r="37" spans="1:99" x14ac:dyDescent="0.35">
      <c r="A37" s="1" t="s">
        <v>3471</v>
      </c>
      <c r="B37" s="1">
        <v>175144040</v>
      </c>
      <c r="C37" s="1">
        <v>0</v>
      </c>
      <c r="D37" s="1">
        <v>1</v>
      </c>
      <c r="E37" s="1">
        <v>0</v>
      </c>
      <c r="F37" s="1">
        <v>0</v>
      </c>
      <c r="G37" s="1">
        <v>0</v>
      </c>
      <c r="H37" s="1">
        <v>0</v>
      </c>
      <c r="I37" s="1">
        <v>0</v>
      </c>
      <c r="J37" s="1">
        <v>0</v>
      </c>
      <c r="K37" s="1">
        <v>0</v>
      </c>
      <c r="L37" s="1">
        <v>0</v>
      </c>
      <c r="M37" s="1">
        <v>0</v>
      </c>
      <c r="N37" s="1">
        <v>0</v>
      </c>
      <c r="O37" s="1">
        <v>0</v>
      </c>
      <c r="P37" s="1">
        <v>50</v>
      </c>
      <c r="Q37" s="1">
        <v>20</v>
      </c>
      <c r="R37" s="1">
        <v>10</v>
      </c>
      <c r="S37" s="1">
        <v>1</v>
      </c>
      <c r="T37" s="1">
        <v>1</v>
      </c>
      <c r="U37" s="1">
        <v>3</v>
      </c>
      <c r="V37" s="1">
        <v>3</v>
      </c>
      <c r="W37" s="1">
        <v>3</v>
      </c>
      <c r="X37" s="1">
        <v>3</v>
      </c>
      <c r="Y37" s="1">
        <v>3</v>
      </c>
      <c r="Z37" s="1">
        <v>3</v>
      </c>
      <c r="AA37" s="1">
        <v>3</v>
      </c>
      <c r="AC37" s="1">
        <v>2</v>
      </c>
      <c r="AE37" s="1">
        <v>8</v>
      </c>
      <c r="AF37" s="3">
        <v>3200000</v>
      </c>
      <c r="AG37" s="1">
        <v>13</v>
      </c>
      <c r="AT37" s="1" t="s">
        <v>829</v>
      </c>
      <c r="BP37" s="1">
        <v>3</v>
      </c>
      <c r="BQ37" s="1" t="s">
        <v>3472</v>
      </c>
      <c r="BR37" s="1" t="s">
        <v>3473</v>
      </c>
      <c r="BT37" s="1" t="s">
        <v>79</v>
      </c>
      <c r="BU37" s="1">
        <v>5</v>
      </c>
      <c r="BV37" s="1">
        <v>2</v>
      </c>
      <c r="BW37" s="1">
        <v>0</v>
      </c>
      <c r="BX37" s="1">
        <v>0</v>
      </c>
      <c r="BY37" s="1">
        <v>0</v>
      </c>
      <c r="BZ37" s="1">
        <v>0</v>
      </c>
      <c r="CA37" s="1">
        <v>0</v>
      </c>
      <c r="CB37" s="1">
        <v>0</v>
      </c>
      <c r="CC37" s="1">
        <v>0</v>
      </c>
      <c r="CD37" s="1">
        <v>0</v>
      </c>
      <c r="CE37" s="1">
        <v>0</v>
      </c>
      <c r="CF37" s="1">
        <v>0</v>
      </c>
      <c r="CG37" s="1">
        <v>0</v>
      </c>
      <c r="CH37" s="1">
        <v>1</v>
      </c>
      <c r="CI37" s="1">
        <v>0</v>
      </c>
      <c r="CJ37" s="1">
        <v>4</v>
      </c>
      <c r="CK37" s="1">
        <v>2</v>
      </c>
      <c r="CL37" s="1">
        <v>2</v>
      </c>
      <c r="CM37" s="1">
        <v>2</v>
      </c>
      <c r="CN37" s="1">
        <v>4</v>
      </c>
      <c r="CO37" s="1">
        <v>3</v>
      </c>
      <c r="CP37" s="1">
        <v>4</v>
      </c>
      <c r="CU37" s="1">
        <v>1</v>
      </c>
    </row>
    <row r="38" spans="1:99" x14ac:dyDescent="0.35">
      <c r="A38" s="1" t="s">
        <v>3474</v>
      </c>
      <c r="B38" s="1">
        <v>175144043</v>
      </c>
      <c r="C38" s="1">
        <v>0</v>
      </c>
      <c r="D38" s="1">
        <v>1</v>
      </c>
      <c r="E38" s="1">
        <v>0</v>
      </c>
      <c r="F38" s="1">
        <v>0</v>
      </c>
      <c r="G38" s="1">
        <v>0</v>
      </c>
      <c r="H38" s="1">
        <v>0</v>
      </c>
      <c r="I38" s="1">
        <v>0</v>
      </c>
      <c r="J38" s="1">
        <v>0</v>
      </c>
      <c r="K38" s="1">
        <v>1</v>
      </c>
      <c r="L38" s="1">
        <v>0</v>
      </c>
      <c r="M38" s="1">
        <v>1</v>
      </c>
      <c r="N38" s="1">
        <v>0</v>
      </c>
      <c r="O38" s="1">
        <v>0</v>
      </c>
      <c r="P38" s="1">
        <v>76</v>
      </c>
      <c r="Q38" s="1">
        <v>20</v>
      </c>
      <c r="R38" s="1">
        <v>4</v>
      </c>
      <c r="S38" s="1">
        <v>5</v>
      </c>
      <c r="T38" s="1">
        <v>1</v>
      </c>
      <c r="U38" s="1">
        <v>4</v>
      </c>
      <c r="V38" s="1">
        <v>4</v>
      </c>
      <c r="W38" s="1">
        <v>4</v>
      </c>
      <c r="X38" s="1">
        <v>4</v>
      </c>
      <c r="Y38" s="1">
        <v>4</v>
      </c>
      <c r="Z38" s="1">
        <v>4</v>
      </c>
      <c r="AA38" s="1">
        <v>4</v>
      </c>
      <c r="CU38" s="1">
        <v>4</v>
      </c>
    </row>
    <row r="39" spans="1:99" x14ac:dyDescent="0.35">
      <c r="A39" s="1" t="s">
        <v>3475</v>
      </c>
      <c r="B39" s="1">
        <v>175144046</v>
      </c>
      <c r="C39" s="1">
        <v>0</v>
      </c>
      <c r="D39" s="1">
        <v>0</v>
      </c>
      <c r="E39" s="1">
        <v>0</v>
      </c>
      <c r="F39" s="1">
        <v>0</v>
      </c>
      <c r="G39" s="1">
        <v>0</v>
      </c>
      <c r="H39" s="1">
        <v>0</v>
      </c>
      <c r="I39" s="1">
        <v>0</v>
      </c>
      <c r="J39" s="1">
        <v>0</v>
      </c>
      <c r="K39" s="1">
        <v>1</v>
      </c>
      <c r="L39" s="1">
        <v>0</v>
      </c>
      <c r="M39" s="1">
        <v>0</v>
      </c>
      <c r="N39" s="1">
        <v>0</v>
      </c>
      <c r="O39" s="1">
        <v>0</v>
      </c>
      <c r="P39" s="1">
        <v>1</v>
      </c>
      <c r="Q39" s="1">
        <v>1</v>
      </c>
      <c r="R39" s="1">
        <v>1</v>
      </c>
      <c r="S39" s="1">
        <v>1</v>
      </c>
      <c r="T39" s="1">
        <v>1</v>
      </c>
      <c r="U39" s="1">
        <v>3</v>
      </c>
      <c r="V39" s="1">
        <v>3</v>
      </c>
      <c r="W39" s="1">
        <v>2</v>
      </c>
      <c r="X39" s="1">
        <v>3</v>
      </c>
      <c r="Y39" s="1">
        <v>3</v>
      </c>
      <c r="Z39" s="1">
        <v>3</v>
      </c>
      <c r="AA39" s="1">
        <v>3</v>
      </c>
      <c r="AC39" s="1">
        <v>1</v>
      </c>
      <c r="AD39" s="1">
        <v>6</v>
      </c>
      <c r="AF39" s="3">
        <v>3000000</v>
      </c>
      <c r="AG39" s="1">
        <v>13</v>
      </c>
      <c r="AT39" s="1" t="s">
        <v>109</v>
      </c>
      <c r="BP39" s="1">
        <v>3</v>
      </c>
      <c r="BQ39" s="1" t="s">
        <v>3476</v>
      </c>
      <c r="BR39" s="1" t="s">
        <v>3477</v>
      </c>
      <c r="BT39" s="1" t="s">
        <v>107</v>
      </c>
      <c r="BU39" s="1">
        <v>1</v>
      </c>
      <c r="BV39" s="1">
        <v>2</v>
      </c>
      <c r="BW39" s="1">
        <v>1</v>
      </c>
      <c r="BX39" s="1">
        <v>0</v>
      </c>
      <c r="BY39" s="1">
        <v>0</v>
      </c>
      <c r="BZ39" s="1">
        <v>0</v>
      </c>
      <c r="CA39" s="1">
        <v>0</v>
      </c>
      <c r="CB39" s="1">
        <v>0</v>
      </c>
      <c r="CC39" s="1">
        <v>0</v>
      </c>
      <c r="CD39" s="1">
        <v>0</v>
      </c>
      <c r="CE39" s="1">
        <v>0</v>
      </c>
      <c r="CF39" s="1">
        <v>0</v>
      </c>
      <c r="CG39" s="1">
        <v>0</v>
      </c>
      <c r="CH39" s="1">
        <v>0</v>
      </c>
      <c r="CI39" s="1">
        <v>0</v>
      </c>
      <c r="CJ39" s="1">
        <v>4</v>
      </c>
      <c r="CK39" s="1">
        <v>4</v>
      </c>
      <c r="CL39" s="1">
        <v>3</v>
      </c>
      <c r="CM39" s="1">
        <v>4</v>
      </c>
      <c r="CN39" s="1">
        <v>4</v>
      </c>
      <c r="CO39" s="1">
        <v>4</v>
      </c>
      <c r="CP39" s="1">
        <v>4</v>
      </c>
      <c r="CU39" s="1">
        <v>1</v>
      </c>
    </row>
    <row r="40" spans="1:99" x14ac:dyDescent="0.35">
      <c r="A40" s="1" t="s">
        <v>3478</v>
      </c>
      <c r="B40" s="1">
        <v>175144047</v>
      </c>
      <c r="C40" s="1">
        <v>0</v>
      </c>
      <c r="D40" s="1">
        <v>1</v>
      </c>
      <c r="E40" s="1">
        <v>0</v>
      </c>
      <c r="F40" s="1">
        <v>0</v>
      </c>
      <c r="G40" s="1">
        <v>0</v>
      </c>
      <c r="H40" s="1">
        <v>0</v>
      </c>
      <c r="I40" s="1">
        <v>0</v>
      </c>
      <c r="J40" s="1">
        <v>0</v>
      </c>
      <c r="K40" s="1">
        <v>1</v>
      </c>
      <c r="L40" s="1">
        <v>0</v>
      </c>
      <c r="M40" s="1">
        <v>1</v>
      </c>
      <c r="N40" s="1">
        <v>0</v>
      </c>
      <c r="O40" s="1">
        <v>0</v>
      </c>
      <c r="P40" s="1" t="s">
        <v>3479</v>
      </c>
      <c r="Q40" s="1" t="s">
        <v>3480</v>
      </c>
      <c r="R40" s="1" t="s">
        <v>3481</v>
      </c>
      <c r="S40" s="1">
        <v>1</v>
      </c>
      <c r="T40" s="1">
        <v>1</v>
      </c>
      <c r="U40" s="1">
        <v>4</v>
      </c>
      <c r="V40" s="1">
        <v>3</v>
      </c>
      <c r="W40" s="1">
        <v>3</v>
      </c>
      <c r="X40" s="1">
        <v>4</v>
      </c>
      <c r="Y40" s="1">
        <v>4</v>
      </c>
      <c r="Z40" s="1">
        <v>4</v>
      </c>
      <c r="AA40" s="1">
        <v>3</v>
      </c>
      <c r="AC40" s="1">
        <v>1</v>
      </c>
      <c r="AD40" s="1">
        <v>4</v>
      </c>
      <c r="AF40" s="3">
        <v>3800000</v>
      </c>
      <c r="AG40" s="1">
        <v>13</v>
      </c>
      <c r="AT40" s="1" t="s">
        <v>86</v>
      </c>
      <c r="BP40" s="1">
        <v>3</v>
      </c>
      <c r="BQ40" s="1" t="s">
        <v>3116</v>
      </c>
      <c r="BR40" s="1" t="s">
        <v>3482</v>
      </c>
      <c r="BS40" s="1" t="s">
        <v>3483</v>
      </c>
      <c r="BT40" s="1" t="s">
        <v>79</v>
      </c>
      <c r="BU40" s="1">
        <v>1</v>
      </c>
      <c r="BV40" s="1">
        <v>2</v>
      </c>
      <c r="BW40" s="1">
        <v>0</v>
      </c>
      <c r="BX40" s="1">
        <v>1</v>
      </c>
      <c r="BY40" s="1">
        <v>0</v>
      </c>
      <c r="BZ40" s="1">
        <v>0</v>
      </c>
      <c r="CA40" s="1">
        <v>0</v>
      </c>
      <c r="CB40" s="1">
        <v>0</v>
      </c>
      <c r="CC40" s="1">
        <v>0</v>
      </c>
      <c r="CD40" s="1">
        <v>0</v>
      </c>
      <c r="CE40" s="1">
        <v>0</v>
      </c>
      <c r="CF40" s="1">
        <v>0</v>
      </c>
      <c r="CG40" s="1">
        <v>0</v>
      </c>
      <c r="CH40" s="1">
        <v>0</v>
      </c>
      <c r="CI40" s="1">
        <v>0</v>
      </c>
      <c r="CJ40" s="1">
        <v>4</v>
      </c>
      <c r="CK40" s="1">
        <v>4</v>
      </c>
      <c r="CL40" s="1">
        <v>4</v>
      </c>
      <c r="CM40" s="1">
        <v>4</v>
      </c>
      <c r="CN40" s="1">
        <v>4</v>
      </c>
      <c r="CO40" s="1">
        <v>4</v>
      </c>
      <c r="CP40" s="1">
        <v>4</v>
      </c>
      <c r="CU40" s="1">
        <v>2</v>
      </c>
    </row>
    <row r="41" spans="1:99" x14ac:dyDescent="0.35">
      <c r="A41" s="1" t="s">
        <v>3484</v>
      </c>
      <c r="B41" s="1">
        <v>175144048</v>
      </c>
      <c r="C41" s="1">
        <v>0</v>
      </c>
      <c r="D41" s="1">
        <v>1</v>
      </c>
      <c r="E41" s="1">
        <v>0</v>
      </c>
      <c r="F41" s="1">
        <v>0</v>
      </c>
      <c r="G41" s="1">
        <v>0</v>
      </c>
      <c r="H41" s="1">
        <v>1</v>
      </c>
      <c r="I41" s="1">
        <v>0</v>
      </c>
      <c r="J41" s="1">
        <v>0</v>
      </c>
      <c r="K41" s="1">
        <v>0</v>
      </c>
      <c r="L41" s="1">
        <v>0</v>
      </c>
      <c r="M41" s="1">
        <v>0</v>
      </c>
      <c r="N41" s="1">
        <v>0</v>
      </c>
      <c r="O41" s="1">
        <v>0</v>
      </c>
      <c r="P41" s="1">
        <v>20</v>
      </c>
      <c r="Q41" s="1">
        <v>13</v>
      </c>
      <c r="R41" s="1">
        <v>10</v>
      </c>
      <c r="S41" s="1">
        <v>1</v>
      </c>
      <c r="T41" s="1">
        <v>6</v>
      </c>
      <c r="U41" s="1">
        <v>4</v>
      </c>
      <c r="V41" s="1">
        <v>3</v>
      </c>
      <c r="W41" s="1">
        <v>4</v>
      </c>
      <c r="X41" s="1">
        <v>4</v>
      </c>
      <c r="Y41" s="1">
        <v>3</v>
      </c>
      <c r="Z41" s="1">
        <v>3</v>
      </c>
      <c r="AA41" s="1">
        <v>4</v>
      </c>
      <c r="AC41" s="1">
        <v>1</v>
      </c>
      <c r="AD41" s="1">
        <v>0</v>
      </c>
      <c r="AF41" s="3">
        <v>6000000</v>
      </c>
      <c r="AG41" s="1">
        <v>11</v>
      </c>
      <c r="AR41" s="1" t="s">
        <v>239</v>
      </c>
      <c r="BP41" s="1">
        <v>3</v>
      </c>
      <c r="BQ41" s="1" t="s">
        <v>3485</v>
      </c>
      <c r="BR41" s="1" t="s">
        <v>3486</v>
      </c>
      <c r="BS41" s="1" t="s">
        <v>3487</v>
      </c>
      <c r="BT41" s="1" t="s">
        <v>79</v>
      </c>
      <c r="BU41" s="1">
        <v>1</v>
      </c>
      <c r="BV41" s="1">
        <v>2</v>
      </c>
      <c r="BW41" s="1">
        <v>1</v>
      </c>
      <c r="BX41" s="1">
        <v>0</v>
      </c>
      <c r="BY41" s="1">
        <v>0</v>
      </c>
      <c r="BZ41" s="1">
        <v>0</v>
      </c>
      <c r="CA41" s="1">
        <v>0</v>
      </c>
      <c r="CB41" s="1">
        <v>0</v>
      </c>
      <c r="CC41" s="1">
        <v>0</v>
      </c>
      <c r="CD41" s="1">
        <v>0</v>
      </c>
      <c r="CE41" s="1">
        <v>0</v>
      </c>
      <c r="CF41" s="1">
        <v>0</v>
      </c>
      <c r="CG41" s="1">
        <v>0</v>
      </c>
      <c r="CH41" s="1">
        <v>0</v>
      </c>
      <c r="CI41" s="1">
        <v>0</v>
      </c>
      <c r="CJ41" s="1">
        <v>4</v>
      </c>
      <c r="CK41" s="1">
        <v>3</v>
      </c>
      <c r="CL41" s="1">
        <v>2</v>
      </c>
      <c r="CM41" s="1">
        <v>4</v>
      </c>
      <c r="CN41" s="1">
        <v>4</v>
      </c>
      <c r="CO41" s="1">
        <v>4</v>
      </c>
      <c r="CP41" s="1">
        <v>3</v>
      </c>
      <c r="CU41" s="1">
        <v>3</v>
      </c>
    </row>
    <row r="42" spans="1:99" x14ac:dyDescent="0.35">
      <c r="A42" s="1" t="s">
        <v>3488</v>
      </c>
      <c r="B42" s="1">
        <v>175144050</v>
      </c>
      <c r="C42" s="1">
        <v>0</v>
      </c>
      <c r="D42" s="1">
        <v>1</v>
      </c>
      <c r="E42" s="1">
        <v>0</v>
      </c>
      <c r="F42" s="1">
        <v>0</v>
      </c>
      <c r="G42" s="1">
        <v>0</v>
      </c>
      <c r="H42" s="1">
        <v>0</v>
      </c>
      <c r="I42" s="1">
        <v>0</v>
      </c>
      <c r="J42" s="1">
        <v>1</v>
      </c>
      <c r="K42" s="1">
        <v>0</v>
      </c>
      <c r="L42" s="1">
        <v>0</v>
      </c>
      <c r="M42" s="1">
        <v>0</v>
      </c>
      <c r="N42" s="1">
        <v>0</v>
      </c>
      <c r="O42" s="1">
        <v>0</v>
      </c>
      <c r="P42" s="1" t="s">
        <v>180</v>
      </c>
      <c r="Q42" s="1" t="s">
        <v>3489</v>
      </c>
      <c r="R42" s="1">
        <v>8</v>
      </c>
      <c r="S42" s="1">
        <v>1</v>
      </c>
      <c r="T42" s="1">
        <v>1</v>
      </c>
      <c r="U42" s="1">
        <v>4</v>
      </c>
      <c r="V42" s="1">
        <v>3</v>
      </c>
      <c r="W42" s="1">
        <v>3</v>
      </c>
      <c r="X42" s="1">
        <v>3</v>
      </c>
      <c r="Y42" s="1">
        <v>4</v>
      </c>
      <c r="Z42" s="1">
        <v>4</v>
      </c>
      <c r="AA42" s="1">
        <v>3</v>
      </c>
      <c r="AC42" s="1">
        <v>1</v>
      </c>
      <c r="AD42" s="1">
        <v>1</v>
      </c>
      <c r="AF42" s="3">
        <v>5600000</v>
      </c>
      <c r="AG42" s="1">
        <v>12</v>
      </c>
      <c r="AS42" s="1" t="s">
        <v>472</v>
      </c>
      <c r="BP42" s="1">
        <v>3</v>
      </c>
      <c r="BQ42" s="1" t="s">
        <v>3490</v>
      </c>
      <c r="BR42" s="1" t="s">
        <v>3491</v>
      </c>
      <c r="BT42" s="1" t="s">
        <v>79</v>
      </c>
      <c r="BU42" s="1">
        <v>2</v>
      </c>
      <c r="BV42" s="1">
        <v>2</v>
      </c>
      <c r="BW42" s="1">
        <v>1</v>
      </c>
      <c r="BX42" s="1">
        <v>0</v>
      </c>
      <c r="BY42" s="1">
        <v>0</v>
      </c>
      <c r="BZ42" s="1">
        <v>0</v>
      </c>
      <c r="CA42" s="1">
        <v>0</v>
      </c>
      <c r="CB42" s="1">
        <v>0</v>
      </c>
      <c r="CC42" s="1">
        <v>0</v>
      </c>
      <c r="CD42" s="1">
        <v>0</v>
      </c>
      <c r="CE42" s="1">
        <v>0</v>
      </c>
      <c r="CF42" s="1">
        <v>0</v>
      </c>
      <c r="CG42" s="1">
        <v>0</v>
      </c>
      <c r="CH42" s="1">
        <v>0</v>
      </c>
      <c r="CI42" s="1">
        <v>0</v>
      </c>
      <c r="CJ42" s="1">
        <v>4</v>
      </c>
      <c r="CK42" s="1">
        <v>4</v>
      </c>
      <c r="CL42" s="1">
        <v>4</v>
      </c>
      <c r="CM42" s="1">
        <v>4</v>
      </c>
      <c r="CN42" s="1">
        <v>4</v>
      </c>
      <c r="CO42" s="1">
        <v>4</v>
      </c>
      <c r="CP42" s="1">
        <v>4</v>
      </c>
      <c r="CU42" s="1">
        <v>1</v>
      </c>
    </row>
    <row r="43" spans="1:99" x14ac:dyDescent="0.35">
      <c r="A43" s="1" t="s">
        <v>3492</v>
      </c>
      <c r="B43" s="1">
        <v>175144051</v>
      </c>
      <c r="C43" s="1">
        <v>0</v>
      </c>
      <c r="D43" s="1">
        <v>0</v>
      </c>
      <c r="E43" s="1">
        <v>0</v>
      </c>
      <c r="F43" s="1">
        <v>0</v>
      </c>
      <c r="G43" s="1">
        <v>0</v>
      </c>
      <c r="H43" s="1">
        <v>0</v>
      </c>
      <c r="I43" s="1">
        <v>0</v>
      </c>
      <c r="J43" s="1">
        <v>0</v>
      </c>
      <c r="K43" s="1">
        <v>0</v>
      </c>
      <c r="L43" s="1">
        <v>0</v>
      </c>
      <c r="M43" s="1">
        <v>0</v>
      </c>
      <c r="N43" s="1">
        <v>0</v>
      </c>
      <c r="O43" s="1">
        <v>0</v>
      </c>
      <c r="P43" s="1" t="s">
        <v>3493</v>
      </c>
      <c r="Q43" s="1">
        <v>20</v>
      </c>
      <c r="R43" s="1">
        <v>10</v>
      </c>
    </row>
    <row r="44" spans="1:99" x14ac:dyDescent="0.35">
      <c r="A44" s="1" t="s">
        <v>3494</v>
      </c>
      <c r="B44" s="1">
        <v>175144053</v>
      </c>
      <c r="C44" s="1">
        <v>0</v>
      </c>
      <c r="D44" s="1">
        <v>1</v>
      </c>
      <c r="E44" s="1">
        <v>0</v>
      </c>
      <c r="F44" s="1">
        <v>0</v>
      </c>
      <c r="G44" s="1">
        <v>0</v>
      </c>
      <c r="H44" s="1">
        <v>0</v>
      </c>
      <c r="I44" s="1">
        <v>0</v>
      </c>
      <c r="J44" s="1">
        <v>0</v>
      </c>
      <c r="K44" s="1">
        <v>0</v>
      </c>
      <c r="L44" s="1">
        <v>0</v>
      </c>
      <c r="M44" s="1">
        <v>0</v>
      </c>
      <c r="N44" s="1">
        <v>0</v>
      </c>
      <c r="O44" s="1">
        <v>0</v>
      </c>
      <c r="P44" s="1">
        <v>200</v>
      </c>
      <c r="Q44" s="1">
        <v>50</v>
      </c>
      <c r="R44" s="1">
        <v>6</v>
      </c>
      <c r="S44" s="1">
        <v>1</v>
      </c>
      <c r="T44" s="1">
        <v>1</v>
      </c>
      <c r="U44" s="1">
        <v>4</v>
      </c>
      <c r="V44" s="1">
        <v>3</v>
      </c>
      <c r="W44" s="1">
        <v>4</v>
      </c>
      <c r="X44" s="1">
        <v>4</v>
      </c>
      <c r="Y44" s="1">
        <v>4</v>
      </c>
      <c r="Z44" s="1">
        <v>4</v>
      </c>
      <c r="AA44" s="1">
        <v>4</v>
      </c>
      <c r="AC44" s="1">
        <v>1</v>
      </c>
      <c r="AD44" s="1">
        <v>5</v>
      </c>
      <c r="AF44" s="3">
        <v>3890000</v>
      </c>
      <c r="AG44" s="1">
        <v>13</v>
      </c>
      <c r="AT44" s="1" t="s">
        <v>354</v>
      </c>
      <c r="BP44" s="1">
        <v>3</v>
      </c>
      <c r="BQ44" s="1" t="s">
        <v>3495</v>
      </c>
      <c r="BR44" s="1" t="s">
        <v>3496</v>
      </c>
      <c r="BS44" s="1" t="s">
        <v>3497</v>
      </c>
      <c r="BT44" s="1" t="s">
        <v>79</v>
      </c>
      <c r="BU44" s="1">
        <v>2</v>
      </c>
      <c r="BV44" s="1">
        <v>2</v>
      </c>
      <c r="BW44" s="1">
        <v>1</v>
      </c>
      <c r="BX44" s="1">
        <v>0</v>
      </c>
      <c r="BY44" s="1">
        <v>0</v>
      </c>
      <c r="BZ44" s="1">
        <v>0</v>
      </c>
      <c r="CA44" s="1">
        <v>0</v>
      </c>
      <c r="CB44" s="1">
        <v>0</v>
      </c>
      <c r="CC44" s="1">
        <v>0</v>
      </c>
      <c r="CD44" s="1">
        <v>0</v>
      </c>
      <c r="CE44" s="1">
        <v>0</v>
      </c>
      <c r="CF44" s="1">
        <v>0</v>
      </c>
      <c r="CG44" s="1">
        <v>0</v>
      </c>
      <c r="CH44" s="1">
        <v>0</v>
      </c>
      <c r="CI44" s="1">
        <v>0</v>
      </c>
      <c r="CJ44" s="1">
        <v>4</v>
      </c>
      <c r="CK44" s="1">
        <v>4</v>
      </c>
      <c r="CL44" s="1">
        <v>3</v>
      </c>
      <c r="CM44" s="1">
        <v>4</v>
      </c>
      <c r="CN44" s="1">
        <v>4</v>
      </c>
      <c r="CO44" s="1">
        <v>4</v>
      </c>
      <c r="CP44" s="1">
        <v>4</v>
      </c>
      <c r="CU44" s="1">
        <v>4</v>
      </c>
    </row>
    <row r="45" spans="1:99" x14ac:dyDescent="0.35">
      <c r="A45" s="1" t="s">
        <v>3498</v>
      </c>
      <c r="B45" s="1">
        <v>175144054</v>
      </c>
      <c r="C45" s="1">
        <v>0</v>
      </c>
      <c r="D45" s="1">
        <v>1</v>
      </c>
      <c r="E45" s="1">
        <v>0</v>
      </c>
      <c r="F45" s="1">
        <v>0</v>
      </c>
      <c r="G45" s="1">
        <v>0</v>
      </c>
      <c r="H45" s="1">
        <v>0</v>
      </c>
      <c r="I45" s="1">
        <v>0</v>
      </c>
      <c r="J45" s="1">
        <v>0</v>
      </c>
      <c r="K45" s="1">
        <v>0</v>
      </c>
      <c r="L45" s="1">
        <v>0</v>
      </c>
      <c r="M45" s="1">
        <v>0</v>
      </c>
      <c r="N45" s="1">
        <v>0</v>
      </c>
      <c r="O45" s="1">
        <v>0</v>
      </c>
      <c r="P45" s="1">
        <v>30</v>
      </c>
      <c r="Q45" s="1">
        <v>2</v>
      </c>
      <c r="R45" s="1">
        <v>2</v>
      </c>
      <c r="S45" s="1">
        <v>1</v>
      </c>
      <c r="T45" s="1">
        <v>1</v>
      </c>
      <c r="U45" s="1">
        <v>3</v>
      </c>
      <c r="V45" s="1">
        <v>3</v>
      </c>
      <c r="W45" s="1">
        <v>3</v>
      </c>
      <c r="X45" s="1">
        <v>3</v>
      </c>
      <c r="Y45" s="1">
        <v>3</v>
      </c>
      <c r="Z45" s="1">
        <v>3</v>
      </c>
      <c r="AA45" s="1">
        <v>4</v>
      </c>
      <c r="AC45" s="1">
        <v>1</v>
      </c>
      <c r="AD45" s="1">
        <v>3</v>
      </c>
      <c r="AF45" s="3">
        <v>3000000</v>
      </c>
      <c r="AG45" s="1">
        <v>13</v>
      </c>
      <c r="AT45" s="1" t="s">
        <v>93</v>
      </c>
      <c r="BP45" s="1">
        <v>3</v>
      </c>
      <c r="BQ45" s="1" t="s">
        <v>3499</v>
      </c>
      <c r="BR45" s="1" t="s">
        <v>3500</v>
      </c>
      <c r="BT45" s="1" t="s">
        <v>79</v>
      </c>
      <c r="BU45" s="1">
        <v>2</v>
      </c>
      <c r="BV45" s="1">
        <v>2</v>
      </c>
      <c r="BW45" s="1">
        <v>0</v>
      </c>
      <c r="BX45" s="1">
        <v>1</v>
      </c>
      <c r="BY45" s="1">
        <v>0</v>
      </c>
      <c r="BZ45" s="1">
        <v>0</v>
      </c>
      <c r="CA45" s="1">
        <v>0</v>
      </c>
      <c r="CB45" s="1">
        <v>0</v>
      </c>
      <c r="CC45" s="1">
        <v>0</v>
      </c>
      <c r="CD45" s="1">
        <v>0</v>
      </c>
      <c r="CE45" s="1">
        <v>0</v>
      </c>
      <c r="CF45" s="1">
        <v>1</v>
      </c>
      <c r="CG45" s="1">
        <v>0</v>
      </c>
      <c r="CH45" s="1">
        <v>0</v>
      </c>
      <c r="CI45" s="1">
        <v>0</v>
      </c>
      <c r="CJ45" s="1">
        <v>4</v>
      </c>
      <c r="CK45" s="1">
        <v>4</v>
      </c>
      <c r="CL45" s="1">
        <v>3</v>
      </c>
      <c r="CM45" s="1">
        <v>4</v>
      </c>
      <c r="CN45" s="1">
        <v>4</v>
      </c>
      <c r="CO45" s="1">
        <v>4</v>
      </c>
      <c r="CP45" s="1">
        <v>4</v>
      </c>
      <c r="CU45" s="1">
        <v>1</v>
      </c>
    </row>
    <row r="46" spans="1:99" x14ac:dyDescent="0.35">
      <c r="A46" s="1" t="s">
        <v>3501</v>
      </c>
      <c r="B46" s="1">
        <v>175144055</v>
      </c>
      <c r="C46" s="1">
        <v>0</v>
      </c>
      <c r="D46" s="1">
        <v>1</v>
      </c>
      <c r="E46" s="1">
        <v>0</v>
      </c>
      <c r="F46" s="1">
        <v>0</v>
      </c>
      <c r="G46" s="1">
        <v>0</v>
      </c>
      <c r="H46" s="1">
        <v>0</v>
      </c>
      <c r="I46" s="1">
        <v>0</v>
      </c>
      <c r="J46" s="1">
        <v>1</v>
      </c>
      <c r="K46" s="1">
        <v>1</v>
      </c>
      <c r="L46" s="1">
        <v>1</v>
      </c>
      <c r="M46" s="1">
        <v>0</v>
      </c>
      <c r="N46" s="1">
        <v>0</v>
      </c>
      <c r="O46" s="1">
        <v>0</v>
      </c>
      <c r="P46" s="1">
        <v>10</v>
      </c>
      <c r="Q46" s="1">
        <v>5</v>
      </c>
      <c r="R46" s="1">
        <v>3</v>
      </c>
      <c r="S46" s="1">
        <v>1</v>
      </c>
      <c r="T46" s="1">
        <v>1</v>
      </c>
      <c r="U46" s="1">
        <v>4</v>
      </c>
      <c r="V46" s="1">
        <v>3</v>
      </c>
      <c r="W46" s="1">
        <v>2</v>
      </c>
      <c r="X46" s="1">
        <v>4</v>
      </c>
      <c r="Y46" s="1">
        <v>3</v>
      </c>
      <c r="Z46" s="1">
        <v>4</v>
      </c>
      <c r="AA46" s="1">
        <v>3</v>
      </c>
      <c r="AC46" s="1">
        <v>2</v>
      </c>
      <c r="AE46" s="1">
        <v>6</v>
      </c>
      <c r="AF46" s="3">
        <v>5000000</v>
      </c>
      <c r="AG46" s="1">
        <v>11</v>
      </c>
      <c r="AR46" s="1" t="s">
        <v>130</v>
      </c>
      <c r="BP46" s="1">
        <v>3</v>
      </c>
      <c r="BQ46" s="1" t="s">
        <v>3331</v>
      </c>
      <c r="BR46" s="1" t="s">
        <v>3502</v>
      </c>
      <c r="BS46" s="1" t="s">
        <v>3503</v>
      </c>
      <c r="BT46" s="1" t="s">
        <v>79</v>
      </c>
      <c r="BU46" s="1">
        <v>3</v>
      </c>
      <c r="BV46" s="1">
        <v>2</v>
      </c>
      <c r="BW46" s="1">
        <v>0</v>
      </c>
      <c r="BX46" s="1">
        <v>0</v>
      </c>
      <c r="BY46" s="1">
        <v>1</v>
      </c>
      <c r="BZ46" s="1">
        <v>0</v>
      </c>
      <c r="CA46" s="1">
        <v>0</v>
      </c>
      <c r="CB46" s="1">
        <v>0</v>
      </c>
      <c r="CC46" s="1">
        <v>0</v>
      </c>
      <c r="CD46" s="1">
        <v>1</v>
      </c>
      <c r="CE46" s="1">
        <v>0</v>
      </c>
      <c r="CF46" s="1">
        <v>0</v>
      </c>
      <c r="CG46" s="1">
        <v>0</v>
      </c>
      <c r="CH46" s="1">
        <v>1</v>
      </c>
      <c r="CI46" s="1">
        <v>0</v>
      </c>
      <c r="CJ46" s="1">
        <v>4</v>
      </c>
      <c r="CK46" s="1">
        <v>3</v>
      </c>
      <c r="CL46" s="1">
        <v>2</v>
      </c>
      <c r="CM46" s="1">
        <v>4</v>
      </c>
      <c r="CN46" s="1">
        <v>4</v>
      </c>
      <c r="CO46" s="1">
        <v>4</v>
      </c>
      <c r="CP46" s="1">
        <v>4</v>
      </c>
      <c r="CU46" s="1">
        <v>1</v>
      </c>
    </row>
    <row r="47" spans="1:99" x14ac:dyDescent="0.35">
      <c r="A47" s="1" t="s">
        <v>3504</v>
      </c>
      <c r="B47" s="1">
        <v>175144058</v>
      </c>
      <c r="C47" s="1">
        <v>0</v>
      </c>
      <c r="D47" s="1">
        <v>1</v>
      </c>
      <c r="E47" s="1">
        <v>0</v>
      </c>
      <c r="F47" s="1">
        <v>0</v>
      </c>
      <c r="G47" s="1">
        <v>0</v>
      </c>
      <c r="H47" s="1">
        <v>0</v>
      </c>
      <c r="I47" s="1">
        <v>0</v>
      </c>
      <c r="J47" s="1">
        <v>0</v>
      </c>
      <c r="K47" s="1">
        <v>0</v>
      </c>
      <c r="L47" s="1">
        <v>0</v>
      </c>
      <c r="M47" s="1">
        <v>0</v>
      </c>
      <c r="N47" s="1">
        <v>0</v>
      </c>
      <c r="O47" s="1">
        <v>0</v>
      </c>
      <c r="P47" s="1" t="s">
        <v>2847</v>
      </c>
      <c r="Q47" s="1">
        <v>7</v>
      </c>
      <c r="R47" s="1">
        <v>7</v>
      </c>
      <c r="S47" s="1">
        <v>1</v>
      </c>
      <c r="T47" s="1">
        <v>3</v>
      </c>
      <c r="U47" s="1">
        <v>4</v>
      </c>
      <c r="V47" s="1">
        <v>4</v>
      </c>
      <c r="W47" s="1">
        <v>3</v>
      </c>
      <c r="X47" s="1">
        <v>4</v>
      </c>
      <c r="Y47" s="1">
        <v>4</v>
      </c>
      <c r="Z47" s="1">
        <v>4</v>
      </c>
      <c r="AA47" s="1">
        <v>4</v>
      </c>
      <c r="AC47" s="1">
        <v>1</v>
      </c>
      <c r="AD47" s="1">
        <v>1</v>
      </c>
      <c r="AF47" s="3">
        <v>4800000</v>
      </c>
      <c r="AG47" s="1">
        <v>13</v>
      </c>
      <c r="AT47" s="1" t="s">
        <v>86</v>
      </c>
      <c r="BP47" s="1">
        <v>3</v>
      </c>
      <c r="BQ47" s="1" t="s">
        <v>3505</v>
      </c>
      <c r="BR47" s="1" t="s">
        <v>3506</v>
      </c>
      <c r="BT47" s="1" t="s">
        <v>79</v>
      </c>
      <c r="BU47" s="1">
        <v>1</v>
      </c>
      <c r="BV47" s="1">
        <v>2</v>
      </c>
      <c r="BW47" s="1">
        <v>1</v>
      </c>
      <c r="BX47" s="1">
        <v>0</v>
      </c>
      <c r="BY47" s="1">
        <v>0</v>
      </c>
      <c r="BZ47" s="1">
        <v>0</v>
      </c>
      <c r="CA47" s="1">
        <v>0</v>
      </c>
      <c r="CB47" s="1">
        <v>0</v>
      </c>
      <c r="CC47" s="1">
        <v>0</v>
      </c>
      <c r="CD47" s="1">
        <v>0</v>
      </c>
      <c r="CE47" s="1">
        <v>0</v>
      </c>
      <c r="CF47" s="1">
        <v>0</v>
      </c>
      <c r="CG47" s="1">
        <v>0</v>
      </c>
      <c r="CH47" s="1">
        <v>0</v>
      </c>
      <c r="CI47" s="1">
        <v>0</v>
      </c>
      <c r="CJ47" s="1">
        <v>4</v>
      </c>
      <c r="CK47" s="1">
        <v>4</v>
      </c>
      <c r="CL47" s="1">
        <v>3</v>
      </c>
      <c r="CM47" s="1">
        <v>4</v>
      </c>
      <c r="CN47" s="1">
        <v>4</v>
      </c>
      <c r="CO47" s="1">
        <v>4</v>
      </c>
      <c r="CP47" s="1">
        <v>4</v>
      </c>
      <c r="CU47" s="1">
        <v>1</v>
      </c>
    </row>
    <row r="48" spans="1:99" x14ac:dyDescent="0.35">
      <c r="A48" s="1" t="s">
        <v>3507</v>
      </c>
      <c r="B48" s="1">
        <v>175144059</v>
      </c>
      <c r="C48" s="1">
        <v>0</v>
      </c>
      <c r="D48" s="1">
        <v>1</v>
      </c>
      <c r="E48" s="1">
        <v>0</v>
      </c>
      <c r="F48" s="1">
        <v>0</v>
      </c>
      <c r="G48" s="1">
        <v>0</v>
      </c>
      <c r="H48" s="1">
        <v>1</v>
      </c>
      <c r="I48" s="1">
        <v>0</v>
      </c>
      <c r="J48" s="1">
        <v>1</v>
      </c>
      <c r="K48" s="1">
        <v>1</v>
      </c>
      <c r="L48" s="1">
        <v>0</v>
      </c>
      <c r="M48" s="1">
        <v>0</v>
      </c>
      <c r="N48" s="1">
        <v>0</v>
      </c>
      <c r="O48" s="1">
        <v>0</v>
      </c>
      <c r="P48" s="1" t="s">
        <v>3508</v>
      </c>
      <c r="Q48" s="1" t="s">
        <v>3509</v>
      </c>
      <c r="R48" s="1" t="s">
        <v>3510</v>
      </c>
      <c r="S48" s="1">
        <v>1</v>
      </c>
      <c r="T48" s="1">
        <v>1</v>
      </c>
      <c r="U48" s="1">
        <v>4</v>
      </c>
      <c r="V48" s="1">
        <v>4</v>
      </c>
      <c r="W48" s="1">
        <v>4</v>
      </c>
      <c r="X48" s="1">
        <v>3</v>
      </c>
      <c r="Y48" s="1">
        <v>4</v>
      </c>
      <c r="Z48" s="1">
        <v>4</v>
      </c>
      <c r="AA48" s="1">
        <v>4</v>
      </c>
      <c r="AC48" s="1">
        <v>1</v>
      </c>
      <c r="AD48" s="1">
        <v>4</v>
      </c>
      <c r="AF48" s="3">
        <v>5100000</v>
      </c>
      <c r="AG48" s="1">
        <v>13</v>
      </c>
      <c r="AT48" s="1" t="s">
        <v>86</v>
      </c>
      <c r="BP48" s="1">
        <v>3</v>
      </c>
      <c r="BQ48" s="1" t="s">
        <v>3511</v>
      </c>
      <c r="BR48" s="1" t="s">
        <v>3512</v>
      </c>
      <c r="BT48" s="1" t="s">
        <v>79</v>
      </c>
      <c r="BU48" s="1">
        <v>1</v>
      </c>
      <c r="BV48" s="1">
        <v>2</v>
      </c>
      <c r="BW48" s="1">
        <v>1</v>
      </c>
      <c r="BX48" s="1">
        <v>0</v>
      </c>
      <c r="BY48" s="1">
        <v>0</v>
      </c>
      <c r="BZ48" s="1">
        <v>0</v>
      </c>
      <c r="CA48" s="1">
        <v>0</v>
      </c>
      <c r="CB48" s="1">
        <v>0</v>
      </c>
      <c r="CC48" s="1">
        <v>0</v>
      </c>
      <c r="CD48" s="1">
        <v>0</v>
      </c>
      <c r="CE48" s="1">
        <v>0</v>
      </c>
      <c r="CF48" s="1">
        <v>0</v>
      </c>
      <c r="CG48" s="1">
        <v>0</v>
      </c>
      <c r="CH48" s="1">
        <v>0</v>
      </c>
      <c r="CI48" s="1">
        <v>0</v>
      </c>
      <c r="CJ48" s="1">
        <v>4</v>
      </c>
      <c r="CK48" s="1">
        <v>4</v>
      </c>
      <c r="CL48" s="1">
        <v>4</v>
      </c>
      <c r="CM48" s="1">
        <v>4</v>
      </c>
      <c r="CN48" s="1">
        <v>4</v>
      </c>
      <c r="CO48" s="1">
        <v>4</v>
      </c>
      <c r="CP48" s="1">
        <v>4</v>
      </c>
      <c r="CU48" s="1">
        <v>1</v>
      </c>
    </row>
    <row r="49" spans="1:99" x14ac:dyDescent="0.35">
      <c r="A49" s="1" t="s">
        <v>3513</v>
      </c>
      <c r="B49" s="1">
        <v>175144060</v>
      </c>
      <c r="C49" s="1">
        <v>0</v>
      </c>
      <c r="D49" s="1">
        <v>1</v>
      </c>
      <c r="E49" s="1">
        <v>0</v>
      </c>
      <c r="F49" s="1">
        <v>0</v>
      </c>
      <c r="G49" s="1">
        <v>0</v>
      </c>
      <c r="H49" s="1">
        <v>0</v>
      </c>
      <c r="I49" s="1">
        <v>0</v>
      </c>
      <c r="J49" s="1">
        <v>0</v>
      </c>
      <c r="K49" s="1">
        <v>1</v>
      </c>
      <c r="L49" s="1">
        <v>0</v>
      </c>
      <c r="M49" s="1">
        <v>0</v>
      </c>
      <c r="N49" s="1">
        <v>0</v>
      </c>
      <c r="O49" s="1">
        <v>0</v>
      </c>
      <c r="P49" s="1">
        <v>7</v>
      </c>
      <c r="Q49" s="1">
        <v>5</v>
      </c>
      <c r="R49" s="1">
        <v>2</v>
      </c>
      <c r="S49" s="1">
        <v>5</v>
      </c>
      <c r="T49" s="1">
        <v>1</v>
      </c>
      <c r="U49" s="1">
        <v>4</v>
      </c>
      <c r="V49" s="1">
        <v>4</v>
      </c>
      <c r="W49" s="1">
        <v>3</v>
      </c>
      <c r="X49" s="1">
        <v>3</v>
      </c>
      <c r="Y49" s="1">
        <v>4</v>
      </c>
      <c r="Z49" s="1">
        <v>4</v>
      </c>
      <c r="AA49" s="1">
        <v>4</v>
      </c>
      <c r="CU49" s="1">
        <v>4</v>
      </c>
    </row>
    <row r="50" spans="1:99" x14ac:dyDescent="0.35">
      <c r="A50" s="1" t="s">
        <v>3514</v>
      </c>
      <c r="B50" s="1">
        <v>175144061</v>
      </c>
      <c r="C50" s="1">
        <v>0</v>
      </c>
      <c r="D50" s="1">
        <v>1</v>
      </c>
      <c r="E50" s="1">
        <v>0</v>
      </c>
      <c r="F50" s="1">
        <v>0</v>
      </c>
      <c r="G50" s="1">
        <v>0</v>
      </c>
      <c r="H50" s="1">
        <v>0</v>
      </c>
      <c r="I50" s="1">
        <v>0</v>
      </c>
      <c r="J50" s="1">
        <v>0</v>
      </c>
      <c r="K50" s="1">
        <v>0</v>
      </c>
      <c r="L50" s="1">
        <v>0</v>
      </c>
      <c r="M50" s="1">
        <v>0</v>
      </c>
      <c r="N50" s="1">
        <v>0</v>
      </c>
      <c r="O50" s="1">
        <v>0</v>
      </c>
      <c r="P50" s="1">
        <v>6</v>
      </c>
      <c r="Q50" s="1">
        <v>4</v>
      </c>
      <c r="R50" s="1">
        <v>2</v>
      </c>
    </row>
    <row r="51" spans="1:99" x14ac:dyDescent="0.35">
      <c r="A51" s="1" t="s">
        <v>3515</v>
      </c>
      <c r="B51" s="1">
        <v>175144063</v>
      </c>
      <c r="C51" s="1">
        <v>0</v>
      </c>
      <c r="D51" s="1">
        <v>1</v>
      </c>
      <c r="E51" s="1">
        <v>0</v>
      </c>
      <c r="F51" s="1">
        <v>0</v>
      </c>
      <c r="G51" s="1">
        <v>1</v>
      </c>
      <c r="H51" s="1">
        <v>0</v>
      </c>
      <c r="I51" s="1">
        <v>0</v>
      </c>
      <c r="J51" s="1">
        <v>1</v>
      </c>
      <c r="K51" s="1">
        <v>1</v>
      </c>
      <c r="L51" s="1">
        <v>1</v>
      </c>
      <c r="M51" s="1">
        <v>0</v>
      </c>
      <c r="N51" s="1">
        <v>0</v>
      </c>
      <c r="O51" s="1">
        <v>0</v>
      </c>
      <c r="P51" s="1">
        <v>83</v>
      </c>
      <c r="Q51" s="1">
        <v>15</v>
      </c>
      <c r="R51" s="1">
        <v>7</v>
      </c>
      <c r="S51" s="1">
        <v>1</v>
      </c>
      <c r="T51" s="1">
        <v>1</v>
      </c>
      <c r="U51" s="1">
        <v>4</v>
      </c>
      <c r="V51" s="1">
        <v>3</v>
      </c>
      <c r="W51" s="1">
        <v>2</v>
      </c>
      <c r="X51" s="1">
        <v>3</v>
      </c>
      <c r="Y51" s="1">
        <v>4</v>
      </c>
      <c r="Z51" s="1">
        <v>4</v>
      </c>
      <c r="AA51" s="1">
        <v>4</v>
      </c>
      <c r="AC51" s="1">
        <v>2</v>
      </c>
      <c r="AE51" s="1">
        <v>12</v>
      </c>
      <c r="AF51" s="3">
        <v>5000000</v>
      </c>
      <c r="AG51" s="1">
        <v>11</v>
      </c>
      <c r="AR51" s="1" t="s">
        <v>130</v>
      </c>
      <c r="BP51" s="1">
        <v>3</v>
      </c>
      <c r="BQ51" s="1" t="s">
        <v>3516</v>
      </c>
      <c r="BT51" s="1" t="s">
        <v>73</v>
      </c>
      <c r="BU51" s="1">
        <v>2</v>
      </c>
      <c r="BV51" s="1">
        <v>2</v>
      </c>
      <c r="BW51" s="1">
        <v>1</v>
      </c>
      <c r="BX51" s="1">
        <v>0</v>
      </c>
      <c r="BY51" s="1">
        <v>0</v>
      </c>
      <c r="BZ51" s="1">
        <v>0</v>
      </c>
      <c r="CA51" s="1">
        <v>0</v>
      </c>
      <c r="CB51" s="1">
        <v>0</v>
      </c>
      <c r="CC51" s="1">
        <v>0</v>
      </c>
      <c r="CD51" s="1">
        <v>0</v>
      </c>
      <c r="CE51" s="1">
        <v>0</v>
      </c>
      <c r="CF51" s="1">
        <v>0</v>
      </c>
      <c r="CG51" s="1">
        <v>0</v>
      </c>
      <c r="CH51" s="1">
        <v>0</v>
      </c>
      <c r="CI51" s="1">
        <v>0</v>
      </c>
      <c r="CJ51" s="1">
        <v>4</v>
      </c>
      <c r="CK51" s="1">
        <v>4</v>
      </c>
      <c r="CL51" s="1">
        <v>3</v>
      </c>
      <c r="CM51" s="1">
        <v>4</v>
      </c>
      <c r="CN51" s="1">
        <v>4</v>
      </c>
      <c r="CO51" s="1">
        <v>4</v>
      </c>
      <c r="CP51" s="1">
        <v>4</v>
      </c>
      <c r="CU51" s="1">
        <v>3</v>
      </c>
    </row>
    <row r="52" spans="1:99" x14ac:dyDescent="0.35">
      <c r="A52" s="1" t="s">
        <v>3517</v>
      </c>
      <c r="B52" s="1">
        <v>175144064</v>
      </c>
      <c r="C52" s="1">
        <v>0</v>
      </c>
      <c r="D52" s="1">
        <v>1</v>
      </c>
      <c r="E52" s="1">
        <v>0</v>
      </c>
      <c r="F52" s="1">
        <v>0</v>
      </c>
      <c r="G52" s="1">
        <v>0</v>
      </c>
      <c r="H52" s="1">
        <v>0</v>
      </c>
      <c r="I52" s="1">
        <v>0</v>
      </c>
      <c r="J52" s="1">
        <v>0</v>
      </c>
      <c r="K52" s="1">
        <v>0</v>
      </c>
      <c r="L52" s="1">
        <v>0</v>
      </c>
      <c r="M52" s="1">
        <v>0</v>
      </c>
      <c r="N52" s="1">
        <v>0</v>
      </c>
      <c r="O52" s="1">
        <v>0</v>
      </c>
      <c r="P52" s="1" t="s">
        <v>180</v>
      </c>
      <c r="Q52" s="1">
        <v>3</v>
      </c>
      <c r="R52" s="1">
        <v>2</v>
      </c>
      <c r="S52" s="1">
        <v>1</v>
      </c>
      <c r="T52" s="1">
        <v>1</v>
      </c>
      <c r="U52" s="1">
        <v>4</v>
      </c>
      <c r="V52" s="1">
        <v>3</v>
      </c>
      <c r="W52" s="1">
        <v>4</v>
      </c>
      <c r="X52" s="1">
        <v>3</v>
      </c>
      <c r="Y52" s="1">
        <v>3</v>
      </c>
      <c r="Z52" s="1">
        <v>3</v>
      </c>
      <c r="AA52" s="1">
        <v>3</v>
      </c>
      <c r="AC52" s="1">
        <v>2</v>
      </c>
      <c r="AE52" s="1">
        <v>4</v>
      </c>
      <c r="AF52" s="3">
        <v>4000000</v>
      </c>
      <c r="AG52" s="1">
        <v>11</v>
      </c>
      <c r="AR52" s="1" t="s">
        <v>144</v>
      </c>
      <c r="BP52" s="1">
        <v>3</v>
      </c>
      <c r="BQ52" s="1" t="s">
        <v>3518</v>
      </c>
      <c r="BR52" s="1" t="s">
        <v>3519</v>
      </c>
      <c r="BS52" s="1" t="s">
        <v>3520</v>
      </c>
      <c r="BT52" s="1" t="s">
        <v>79</v>
      </c>
      <c r="BU52" s="1">
        <v>3</v>
      </c>
      <c r="BV52" s="1">
        <v>2</v>
      </c>
      <c r="BW52" s="1">
        <v>0</v>
      </c>
      <c r="BX52" s="1">
        <v>1</v>
      </c>
      <c r="BY52" s="1">
        <v>0</v>
      </c>
      <c r="BZ52" s="1">
        <v>0</v>
      </c>
      <c r="CA52" s="1">
        <v>0</v>
      </c>
      <c r="CB52" s="1">
        <v>0</v>
      </c>
      <c r="CC52" s="1">
        <v>0</v>
      </c>
      <c r="CD52" s="1">
        <v>0</v>
      </c>
      <c r="CE52" s="1">
        <v>0</v>
      </c>
      <c r="CF52" s="1">
        <v>0</v>
      </c>
      <c r="CG52" s="1">
        <v>0</v>
      </c>
      <c r="CH52" s="1">
        <v>1</v>
      </c>
      <c r="CI52" s="1">
        <v>0</v>
      </c>
      <c r="CJ52" s="1">
        <v>4</v>
      </c>
      <c r="CK52" s="1">
        <v>3</v>
      </c>
      <c r="CL52" s="1">
        <v>4</v>
      </c>
      <c r="CM52" s="1">
        <v>4</v>
      </c>
      <c r="CN52" s="1">
        <v>4</v>
      </c>
      <c r="CO52" s="1">
        <v>4</v>
      </c>
      <c r="CP52" s="1">
        <v>3</v>
      </c>
      <c r="CU52" s="1">
        <v>1</v>
      </c>
    </row>
    <row r="53" spans="1:99" x14ac:dyDescent="0.35">
      <c r="A53" s="1" t="s">
        <v>3877</v>
      </c>
      <c r="B53" s="1">
        <v>175144007</v>
      </c>
    </row>
    <row r="54" spans="1:99" x14ac:dyDescent="0.35">
      <c r="A54" s="1" t="s">
        <v>3878</v>
      </c>
      <c r="B54" s="1">
        <v>175144039</v>
      </c>
    </row>
    <row r="55" spans="1:99" x14ac:dyDescent="0.35">
      <c r="A55" s="1" t="s">
        <v>3879</v>
      </c>
      <c r="B55" s="1">
        <v>175144041</v>
      </c>
    </row>
    <row r="56" spans="1:99" x14ac:dyDescent="0.35">
      <c r="A56" s="1" t="s">
        <v>3880</v>
      </c>
      <c r="B56" s="1">
        <v>175144044</v>
      </c>
    </row>
    <row r="57" spans="1:99" x14ac:dyDescent="0.35">
      <c r="A57" s="1" t="s">
        <v>3881</v>
      </c>
      <c r="B57" s="1">
        <v>175144045</v>
      </c>
    </row>
    <row r="58" spans="1:99" x14ac:dyDescent="0.35">
      <c r="A58" s="1" t="s">
        <v>3882</v>
      </c>
      <c r="B58" s="1">
        <v>175144049</v>
      </c>
    </row>
    <row r="59" spans="1:99" x14ac:dyDescent="0.35">
      <c r="A59" s="1" t="s">
        <v>3883</v>
      </c>
      <c r="B59" s="1">
        <v>175144052</v>
      </c>
    </row>
    <row r="60" spans="1:99" x14ac:dyDescent="0.35">
      <c r="A60" s="1" t="s">
        <v>3884</v>
      </c>
      <c r="B60" s="1">
        <v>175144056</v>
      </c>
    </row>
    <row r="61" spans="1:99" x14ac:dyDescent="0.35">
      <c r="A61" s="1" t="s">
        <v>3885</v>
      </c>
      <c r="B61" s="1">
        <v>175144057</v>
      </c>
    </row>
    <row r="62" spans="1:99" x14ac:dyDescent="0.35">
      <c r="A62" s="1" t="s">
        <v>3886</v>
      </c>
      <c r="B62" s="1">
        <v>175144062</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169FA-4395-4E4F-AD67-558F77A9575B}">
  <dimension ref="A1:CU61"/>
  <sheetViews>
    <sheetView topLeftCell="T1" zoomScale="55" zoomScaleNormal="55" workbookViewId="0">
      <pane ySplit="1" topLeftCell="A2" activePane="bottomLeft" state="frozen"/>
      <selection pane="bottomLeft" activeCell="T1" sqref="T1"/>
    </sheetView>
  </sheetViews>
  <sheetFormatPr defaultColWidth="8.90625" defaultRowHeight="14.5" x14ac:dyDescent="0.35"/>
  <cols>
    <col min="1" max="1" width="31.453125" style="1" bestFit="1" customWidth="1"/>
    <col min="2" max="2" width="10" style="1" customWidth="1"/>
    <col min="3" max="9" width="64.08984375" style="1" bestFit="1" customWidth="1"/>
    <col min="10" max="14" width="65.08984375" style="1" bestFit="1" customWidth="1"/>
    <col min="15" max="15" width="67.54296875" style="1" bestFit="1" customWidth="1"/>
    <col min="16" max="16" width="110" style="1" bestFit="1" customWidth="1"/>
    <col min="17" max="17" width="63.90625" style="1" bestFit="1" customWidth="1"/>
    <col min="18" max="18" width="73" style="1" bestFit="1" customWidth="1"/>
    <col min="19" max="19" width="25" style="1" bestFit="1" customWidth="1"/>
    <col min="20" max="20" width="41.26953125" style="1" bestFit="1" customWidth="1"/>
    <col min="21" max="21" width="67.08984375" style="1" bestFit="1" customWidth="1"/>
    <col min="22" max="22" width="90.453125" style="1" bestFit="1" customWidth="1"/>
    <col min="23" max="23" width="74.90625" style="1" bestFit="1" customWidth="1"/>
    <col min="24" max="24" width="89.36328125" style="1" bestFit="1" customWidth="1"/>
    <col min="25" max="25" width="72.453125" style="1" bestFit="1" customWidth="1"/>
    <col min="26" max="26" width="75.1796875" style="1" bestFit="1" customWidth="1"/>
    <col min="27" max="27" width="79" style="1" bestFit="1" customWidth="1"/>
    <col min="28" max="28" width="43.08984375" style="1" bestFit="1" customWidth="1"/>
    <col min="29" max="29" width="73.1796875" style="1" bestFit="1" customWidth="1"/>
    <col min="30" max="30" width="43.36328125" style="1" bestFit="1" customWidth="1"/>
    <col min="31" max="31" width="50.54296875" style="1" bestFit="1" customWidth="1"/>
    <col min="32" max="32" width="120.26953125" style="1" bestFit="1" customWidth="1"/>
    <col min="33" max="33" width="39.08984375" style="1" bestFit="1" customWidth="1"/>
    <col min="34" max="35" width="45.7265625" style="1" bestFit="1" customWidth="1"/>
    <col min="36" max="37" width="46.1796875" style="1" bestFit="1" customWidth="1"/>
    <col min="38" max="38" width="45.7265625" style="1" bestFit="1" customWidth="1"/>
    <col min="39" max="52" width="46.1796875" style="1" bestFit="1" customWidth="1"/>
    <col min="53" max="55" width="45.7265625" style="1" bestFit="1" customWidth="1"/>
    <col min="56" max="64" width="46.1796875" style="1" bestFit="1" customWidth="1"/>
    <col min="65" max="67" width="45.7265625" style="1" bestFit="1" customWidth="1"/>
    <col min="68" max="68" width="58.90625" style="1" bestFit="1" customWidth="1"/>
    <col min="69" max="69" width="57.81640625" style="1" bestFit="1" customWidth="1"/>
    <col min="70" max="70" width="45.36328125" style="1" bestFit="1" customWidth="1"/>
    <col min="71" max="71" width="45.26953125" style="1" bestFit="1" customWidth="1"/>
    <col min="72" max="72" width="55.453125" style="1" bestFit="1" customWidth="1"/>
    <col min="73" max="73" width="217.453125" style="1" bestFit="1" customWidth="1"/>
    <col min="74" max="74" width="65.08984375" style="1" bestFit="1" customWidth="1"/>
    <col min="75" max="83" width="117.26953125" style="1" bestFit="1" customWidth="1"/>
    <col min="84" max="86" width="118.26953125" style="1" bestFit="1" customWidth="1"/>
    <col min="87" max="87" width="211.1796875" style="1" bestFit="1" customWidth="1"/>
    <col min="88" max="88" width="76.6328125" style="1" bestFit="1" customWidth="1"/>
    <col min="89" max="89" width="100.26953125" style="1" bestFit="1" customWidth="1"/>
    <col min="90" max="90" width="84.36328125" style="1" bestFit="1" customWidth="1"/>
    <col min="91" max="91" width="98.6328125" style="1" bestFit="1" customWidth="1"/>
    <col min="92" max="92" width="81.90625" style="1" bestFit="1" customWidth="1"/>
    <col min="93" max="93" width="84.7265625" style="1" bestFit="1" customWidth="1"/>
    <col min="94" max="94" width="88.54296875" style="1" bestFit="1" customWidth="1"/>
    <col min="95" max="95" width="40.54296875" style="1" bestFit="1" customWidth="1"/>
    <col min="96" max="96" width="53.36328125" style="1" bestFit="1" customWidth="1"/>
    <col min="97" max="97" width="23.90625" style="1" bestFit="1" customWidth="1"/>
    <col min="98" max="98" width="24.7265625" style="1" bestFit="1" customWidth="1"/>
    <col min="99" max="99" width="138.7265625" style="1" bestFit="1" customWidth="1"/>
    <col min="100" max="16384" width="8.90625" style="1"/>
  </cols>
  <sheetData>
    <row r="1" spans="1:99" s="6" customFormat="1" x14ac:dyDescent="0.35">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6" t="s">
        <v>15</v>
      </c>
      <c r="Q1" s="6" t="s">
        <v>16</v>
      </c>
      <c r="R1" s="6" t="s">
        <v>17</v>
      </c>
      <c r="S1" s="6" t="s">
        <v>18</v>
      </c>
      <c r="T1" s="6" t="s">
        <v>19</v>
      </c>
      <c r="U1" s="6" t="s">
        <v>20</v>
      </c>
      <c r="V1" s="6" t="s">
        <v>21</v>
      </c>
      <c r="W1" s="6" t="s">
        <v>22</v>
      </c>
      <c r="X1" s="6" t="s">
        <v>23</v>
      </c>
      <c r="Y1" s="6" t="s">
        <v>24</v>
      </c>
      <c r="Z1" s="6" t="s">
        <v>25</v>
      </c>
      <c r="AA1" s="6" t="s">
        <v>26</v>
      </c>
      <c r="AB1" s="6" t="s">
        <v>27</v>
      </c>
      <c r="AC1" s="6" t="s">
        <v>28</v>
      </c>
      <c r="AD1" s="6" t="s">
        <v>29</v>
      </c>
      <c r="AE1" s="6" t="s">
        <v>30</v>
      </c>
      <c r="AF1" s="6" t="s">
        <v>31</v>
      </c>
      <c r="AG1" s="6" t="s">
        <v>32</v>
      </c>
      <c r="AH1" s="6" t="s">
        <v>33</v>
      </c>
      <c r="AI1" s="6" t="s">
        <v>33</v>
      </c>
      <c r="AJ1" s="6" t="s">
        <v>34</v>
      </c>
      <c r="AK1" s="6" t="s">
        <v>34</v>
      </c>
      <c r="AL1" s="6" t="s">
        <v>33</v>
      </c>
      <c r="AM1" s="6" t="s">
        <v>34</v>
      </c>
      <c r="AN1" s="6" t="s">
        <v>34</v>
      </c>
      <c r="AO1" s="6" t="s">
        <v>34</v>
      </c>
      <c r="AP1" s="6" t="s">
        <v>34</v>
      </c>
      <c r="AQ1" s="6" t="s">
        <v>34</v>
      </c>
      <c r="AR1" s="6" t="s">
        <v>34</v>
      </c>
      <c r="AS1" s="6" t="s">
        <v>34</v>
      </c>
      <c r="AT1" s="6" t="s">
        <v>34</v>
      </c>
      <c r="AU1" s="6" t="s">
        <v>34</v>
      </c>
      <c r="AV1" s="6" t="s">
        <v>34</v>
      </c>
      <c r="AW1" s="6" t="s">
        <v>34</v>
      </c>
      <c r="AX1" s="6" t="s">
        <v>34</v>
      </c>
      <c r="AY1" s="6" t="s">
        <v>34</v>
      </c>
      <c r="AZ1" s="6" t="s">
        <v>34</v>
      </c>
      <c r="BA1" s="6" t="s">
        <v>33</v>
      </c>
      <c r="BB1" s="6" t="s">
        <v>33</v>
      </c>
      <c r="BC1" s="6" t="s">
        <v>33</v>
      </c>
      <c r="BD1" s="6" t="s">
        <v>34</v>
      </c>
      <c r="BE1" s="6" t="s">
        <v>34</v>
      </c>
      <c r="BF1" s="6" t="s">
        <v>34</v>
      </c>
      <c r="BG1" s="6" t="s">
        <v>34</v>
      </c>
      <c r="BH1" s="6" t="s">
        <v>34</v>
      </c>
      <c r="BI1" s="6" t="s">
        <v>34</v>
      </c>
      <c r="BJ1" s="6" t="s">
        <v>34</v>
      </c>
      <c r="BK1" s="6" t="s">
        <v>34</v>
      </c>
      <c r="BL1" s="6" t="s">
        <v>34</v>
      </c>
      <c r="BM1" s="6" t="s">
        <v>33</v>
      </c>
      <c r="BN1" s="6" t="s">
        <v>33</v>
      </c>
      <c r="BO1" s="6" t="s">
        <v>33</v>
      </c>
      <c r="BP1" s="6" t="s">
        <v>35</v>
      </c>
      <c r="BQ1" s="6" t="s">
        <v>36</v>
      </c>
      <c r="BR1" s="6" t="s">
        <v>37</v>
      </c>
      <c r="BS1" s="6" t="s">
        <v>38</v>
      </c>
      <c r="BT1" s="6" t="s">
        <v>39</v>
      </c>
      <c r="BU1" s="6" t="s">
        <v>40</v>
      </c>
      <c r="BV1" s="6" t="s">
        <v>41</v>
      </c>
      <c r="BW1" s="6" t="s">
        <v>42</v>
      </c>
      <c r="BX1" s="6" t="s">
        <v>43</v>
      </c>
      <c r="BY1" s="6" t="s">
        <v>44</v>
      </c>
      <c r="BZ1" s="6" t="s">
        <v>45</v>
      </c>
      <c r="CA1" s="6" t="s">
        <v>46</v>
      </c>
      <c r="CB1" s="6" t="s">
        <v>47</v>
      </c>
      <c r="CC1" s="6" t="s">
        <v>48</v>
      </c>
      <c r="CD1" s="6" t="s">
        <v>49</v>
      </c>
      <c r="CE1" s="6" t="s">
        <v>50</v>
      </c>
      <c r="CF1" s="6" t="s">
        <v>51</v>
      </c>
      <c r="CG1" s="6" t="s">
        <v>52</v>
      </c>
      <c r="CH1" s="6" t="s">
        <v>53</v>
      </c>
      <c r="CI1" s="6" t="s">
        <v>54</v>
      </c>
      <c r="CJ1" s="6" t="s">
        <v>55</v>
      </c>
      <c r="CK1" s="6" t="s">
        <v>56</v>
      </c>
      <c r="CL1" s="6" t="s">
        <v>57</v>
      </c>
      <c r="CM1" s="6" t="s">
        <v>58</v>
      </c>
      <c r="CN1" s="6" t="s">
        <v>59</v>
      </c>
      <c r="CO1" s="6" t="s">
        <v>60</v>
      </c>
      <c r="CP1" s="6" t="s">
        <v>61</v>
      </c>
      <c r="CQ1" s="6" t="s">
        <v>62</v>
      </c>
      <c r="CR1" s="6" t="s">
        <v>63</v>
      </c>
      <c r="CS1" s="6" t="s">
        <v>64</v>
      </c>
      <c r="CT1" s="6" t="s">
        <v>65</v>
      </c>
      <c r="CU1" s="6" t="s">
        <v>66</v>
      </c>
    </row>
    <row r="2" spans="1:99" x14ac:dyDescent="0.35">
      <c r="A2" s="1" t="s">
        <v>3521</v>
      </c>
      <c r="B2" s="1">
        <v>175244001</v>
      </c>
      <c r="C2" s="1">
        <v>0</v>
      </c>
      <c r="D2" s="1">
        <v>1</v>
      </c>
      <c r="E2" s="1">
        <v>0</v>
      </c>
      <c r="F2" s="1">
        <v>0</v>
      </c>
      <c r="G2" s="1">
        <v>0</v>
      </c>
      <c r="H2" s="1">
        <v>0</v>
      </c>
      <c r="I2" s="1">
        <v>0</v>
      </c>
      <c r="J2" s="1">
        <v>0</v>
      </c>
      <c r="K2" s="1">
        <v>1</v>
      </c>
      <c r="L2" s="1">
        <v>0</v>
      </c>
      <c r="M2" s="1">
        <v>0</v>
      </c>
      <c r="N2" s="1">
        <v>0</v>
      </c>
      <c r="O2" s="1">
        <v>0</v>
      </c>
      <c r="P2" s="1">
        <v>34</v>
      </c>
      <c r="Q2" s="1">
        <v>4</v>
      </c>
      <c r="R2" s="1">
        <v>3</v>
      </c>
      <c r="S2" s="1">
        <v>1</v>
      </c>
      <c r="T2" s="1">
        <v>1</v>
      </c>
      <c r="U2" s="1">
        <v>4</v>
      </c>
      <c r="V2" s="1">
        <v>3</v>
      </c>
      <c r="W2" s="1">
        <v>3</v>
      </c>
      <c r="X2" s="1">
        <v>3</v>
      </c>
      <c r="Y2" s="1">
        <v>4</v>
      </c>
      <c r="Z2" s="1">
        <v>4</v>
      </c>
      <c r="AA2" s="1">
        <v>3</v>
      </c>
      <c r="AC2" s="1">
        <v>1</v>
      </c>
      <c r="AD2" s="1">
        <v>3</v>
      </c>
      <c r="AE2" s="1">
        <v>3</v>
      </c>
      <c r="AF2" s="3">
        <v>1500000</v>
      </c>
      <c r="AG2" s="1">
        <v>13</v>
      </c>
      <c r="AT2" s="1" t="s">
        <v>86</v>
      </c>
      <c r="BP2" s="1">
        <v>4</v>
      </c>
      <c r="BQ2" s="1" t="s">
        <v>3522</v>
      </c>
      <c r="BR2" s="1" t="s">
        <v>3523</v>
      </c>
      <c r="BT2" s="1" t="s">
        <v>107</v>
      </c>
      <c r="BU2" s="1">
        <v>5</v>
      </c>
      <c r="BV2" s="1">
        <v>4</v>
      </c>
      <c r="BW2" s="1">
        <v>0</v>
      </c>
      <c r="BX2" s="1">
        <v>1</v>
      </c>
      <c r="BY2" s="1">
        <v>0</v>
      </c>
      <c r="BZ2" s="1">
        <v>0</v>
      </c>
      <c r="CA2" s="1">
        <v>0</v>
      </c>
      <c r="CB2" s="1">
        <v>0</v>
      </c>
      <c r="CC2" s="1">
        <v>0</v>
      </c>
      <c r="CD2" s="1">
        <v>1</v>
      </c>
      <c r="CE2" s="1">
        <v>1</v>
      </c>
      <c r="CF2" s="1">
        <v>0</v>
      </c>
      <c r="CG2" s="1">
        <v>0</v>
      </c>
      <c r="CH2" s="1">
        <v>0</v>
      </c>
      <c r="CI2" s="1">
        <v>0</v>
      </c>
      <c r="CJ2" s="1">
        <v>4</v>
      </c>
      <c r="CK2" s="1">
        <v>1</v>
      </c>
      <c r="CL2" s="1">
        <v>3</v>
      </c>
      <c r="CM2" s="1">
        <v>2</v>
      </c>
      <c r="CN2" s="1">
        <v>4</v>
      </c>
      <c r="CO2" s="1">
        <v>4</v>
      </c>
      <c r="CP2" s="1">
        <v>3</v>
      </c>
      <c r="CU2" s="1">
        <v>4</v>
      </c>
    </row>
    <row r="3" spans="1:99" x14ac:dyDescent="0.35">
      <c r="A3" s="1" t="s">
        <v>3524</v>
      </c>
      <c r="B3" s="1">
        <v>175244002</v>
      </c>
      <c r="C3" s="1">
        <v>0</v>
      </c>
      <c r="D3" s="1">
        <v>1</v>
      </c>
      <c r="E3" s="1">
        <v>0</v>
      </c>
      <c r="F3" s="1">
        <v>0</v>
      </c>
      <c r="G3" s="1">
        <v>0</v>
      </c>
      <c r="H3" s="1">
        <v>0</v>
      </c>
      <c r="I3" s="1">
        <v>0</v>
      </c>
      <c r="J3" s="1">
        <v>0</v>
      </c>
      <c r="K3" s="1">
        <v>1</v>
      </c>
      <c r="L3" s="1">
        <v>0</v>
      </c>
      <c r="M3" s="1">
        <v>0</v>
      </c>
      <c r="N3" s="1">
        <v>0</v>
      </c>
      <c r="O3" s="1">
        <v>0</v>
      </c>
      <c r="P3" s="1">
        <v>200</v>
      </c>
      <c r="Q3" s="1">
        <v>30</v>
      </c>
      <c r="R3" s="1">
        <v>10</v>
      </c>
      <c r="S3" s="1">
        <v>1</v>
      </c>
      <c r="T3" s="1">
        <v>1</v>
      </c>
      <c r="U3" s="1">
        <v>4</v>
      </c>
      <c r="V3" s="1">
        <v>4</v>
      </c>
      <c r="W3" s="1">
        <v>3</v>
      </c>
      <c r="X3" s="1">
        <v>3</v>
      </c>
      <c r="Y3" s="1">
        <v>3</v>
      </c>
      <c r="Z3" s="1">
        <v>4</v>
      </c>
      <c r="AA3" s="1">
        <v>4</v>
      </c>
      <c r="AC3" s="1">
        <v>2</v>
      </c>
      <c r="AE3" s="1">
        <v>2</v>
      </c>
      <c r="AF3" s="3">
        <v>4800000</v>
      </c>
      <c r="AG3" s="1">
        <v>11</v>
      </c>
      <c r="AR3" s="1" t="s">
        <v>130</v>
      </c>
      <c r="BP3" s="1">
        <v>3</v>
      </c>
      <c r="BQ3" s="1" t="s">
        <v>3525</v>
      </c>
      <c r="BR3" s="1" t="s">
        <v>3526</v>
      </c>
      <c r="BS3" s="1" t="s">
        <v>3527</v>
      </c>
      <c r="BT3" s="1" t="s">
        <v>79</v>
      </c>
      <c r="BU3" s="1">
        <v>2</v>
      </c>
      <c r="BV3" s="1">
        <v>2</v>
      </c>
      <c r="BW3" s="1">
        <v>0</v>
      </c>
      <c r="BX3" s="1">
        <v>0</v>
      </c>
      <c r="BY3" s="1">
        <v>0</v>
      </c>
      <c r="BZ3" s="1">
        <v>0</v>
      </c>
      <c r="CA3" s="1">
        <v>0</v>
      </c>
      <c r="CB3" s="1">
        <v>0</v>
      </c>
      <c r="CC3" s="1">
        <v>0</v>
      </c>
      <c r="CD3" s="1">
        <v>0</v>
      </c>
      <c r="CE3" s="1">
        <v>0</v>
      </c>
      <c r="CF3" s="1">
        <v>0</v>
      </c>
      <c r="CG3" s="1">
        <v>0</v>
      </c>
      <c r="CH3" s="1">
        <v>1</v>
      </c>
      <c r="CI3" s="1">
        <v>0</v>
      </c>
      <c r="CJ3" s="1">
        <v>4</v>
      </c>
      <c r="CK3" s="1">
        <v>4</v>
      </c>
      <c r="CL3" s="1">
        <v>2</v>
      </c>
      <c r="CM3" s="1">
        <v>3</v>
      </c>
      <c r="CN3" s="1">
        <v>3</v>
      </c>
      <c r="CO3" s="1">
        <v>3</v>
      </c>
      <c r="CP3" s="1">
        <v>3</v>
      </c>
      <c r="CU3" s="1">
        <v>1</v>
      </c>
    </row>
    <row r="4" spans="1:99" x14ac:dyDescent="0.35">
      <c r="A4" s="1" t="s">
        <v>3528</v>
      </c>
      <c r="B4" s="1">
        <v>175244003</v>
      </c>
      <c r="C4" s="1">
        <v>0</v>
      </c>
      <c r="D4" s="1">
        <v>1</v>
      </c>
      <c r="E4" s="1">
        <v>0</v>
      </c>
      <c r="F4" s="1">
        <v>0</v>
      </c>
      <c r="G4" s="1">
        <v>1</v>
      </c>
      <c r="H4" s="1">
        <v>1</v>
      </c>
      <c r="I4" s="1">
        <v>0</v>
      </c>
      <c r="J4" s="1">
        <v>0</v>
      </c>
      <c r="K4" s="1">
        <v>1</v>
      </c>
      <c r="L4" s="1">
        <v>0</v>
      </c>
      <c r="M4" s="1">
        <v>1</v>
      </c>
      <c r="N4" s="1">
        <v>0</v>
      </c>
      <c r="O4" s="1">
        <v>0</v>
      </c>
      <c r="P4" s="1">
        <v>5</v>
      </c>
      <c r="Q4" s="1">
        <v>2</v>
      </c>
      <c r="R4" s="1">
        <v>1</v>
      </c>
      <c r="S4" s="1">
        <v>1</v>
      </c>
      <c r="T4" s="1">
        <v>1</v>
      </c>
      <c r="U4" s="1">
        <v>3</v>
      </c>
      <c r="V4" s="1">
        <v>4</v>
      </c>
      <c r="W4" s="1">
        <v>3</v>
      </c>
      <c r="X4" s="1">
        <v>4</v>
      </c>
      <c r="Y4" s="1">
        <v>3</v>
      </c>
      <c r="Z4" s="1">
        <v>4</v>
      </c>
      <c r="AA4" s="1">
        <v>3</v>
      </c>
      <c r="AC4" s="1">
        <v>1</v>
      </c>
      <c r="AD4" s="1">
        <v>1</v>
      </c>
      <c r="AF4" s="3">
        <v>3942468</v>
      </c>
      <c r="AG4" s="1">
        <v>13</v>
      </c>
      <c r="AT4" s="1" t="s">
        <v>1809</v>
      </c>
      <c r="BP4" s="1">
        <v>3</v>
      </c>
      <c r="BQ4" s="1" t="s">
        <v>3529</v>
      </c>
      <c r="BR4" s="1" t="s">
        <v>3530</v>
      </c>
      <c r="BS4" s="1" t="s">
        <v>3531</v>
      </c>
      <c r="BT4" s="1" t="s">
        <v>79</v>
      </c>
      <c r="BU4" s="1">
        <v>3</v>
      </c>
      <c r="BV4" s="1">
        <v>3</v>
      </c>
      <c r="BW4" s="1">
        <v>0</v>
      </c>
      <c r="BX4" s="1">
        <v>0</v>
      </c>
      <c r="BY4" s="1">
        <v>0</v>
      </c>
      <c r="BZ4" s="1">
        <v>0</v>
      </c>
      <c r="CA4" s="1">
        <v>0</v>
      </c>
      <c r="CB4" s="1">
        <v>0</v>
      </c>
      <c r="CC4" s="1">
        <v>0</v>
      </c>
      <c r="CD4" s="1">
        <v>1</v>
      </c>
      <c r="CE4" s="1">
        <v>0</v>
      </c>
      <c r="CF4" s="1">
        <v>0</v>
      </c>
      <c r="CG4" s="1">
        <v>0</v>
      </c>
      <c r="CH4" s="1">
        <v>1</v>
      </c>
      <c r="CI4" s="1">
        <v>0</v>
      </c>
      <c r="CJ4" s="1">
        <v>3</v>
      </c>
      <c r="CK4" s="1">
        <v>3</v>
      </c>
      <c r="CL4" s="1">
        <v>2</v>
      </c>
      <c r="CM4" s="1">
        <v>3</v>
      </c>
      <c r="CN4" s="1">
        <v>3</v>
      </c>
      <c r="CO4" s="1">
        <v>4</v>
      </c>
      <c r="CP4" s="1">
        <v>3</v>
      </c>
      <c r="CU4" s="1">
        <v>4</v>
      </c>
    </row>
    <row r="5" spans="1:99" x14ac:dyDescent="0.35">
      <c r="A5" s="1" t="s">
        <v>3532</v>
      </c>
      <c r="B5" s="1">
        <v>175244005</v>
      </c>
      <c r="C5" s="1">
        <v>0</v>
      </c>
      <c r="D5" s="1">
        <v>1</v>
      </c>
      <c r="E5" s="1">
        <v>0</v>
      </c>
      <c r="F5" s="1">
        <v>0</v>
      </c>
      <c r="G5" s="1">
        <v>0</v>
      </c>
      <c r="H5" s="1">
        <v>0</v>
      </c>
      <c r="I5" s="1">
        <v>0</v>
      </c>
      <c r="J5" s="1">
        <v>1</v>
      </c>
      <c r="K5" s="1">
        <v>0</v>
      </c>
      <c r="L5" s="1">
        <v>0</v>
      </c>
      <c r="M5" s="1">
        <v>0</v>
      </c>
      <c r="N5" s="1">
        <v>0</v>
      </c>
      <c r="O5" s="1">
        <v>0</v>
      </c>
      <c r="P5" s="1">
        <v>8</v>
      </c>
      <c r="Q5" s="1">
        <v>2</v>
      </c>
      <c r="R5" s="1">
        <v>1</v>
      </c>
      <c r="S5" s="1">
        <v>1</v>
      </c>
      <c r="T5" s="1">
        <v>1</v>
      </c>
      <c r="U5" s="1">
        <v>4</v>
      </c>
      <c r="V5" s="1">
        <v>4</v>
      </c>
      <c r="W5" s="1">
        <v>3</v>
      </c>
      <c r="X5" s="1">
        <v>4</v>
      </c>
      <c r="Y5" s="1">
        <v>4</v>
      </c>
      <c r="Z5" s="1">
        <v>4</v>
      </c>
      <c r="AA5" s="1">
        <v>3</v>
      </c>
      <c r="AC5" s="1">
        <v>1</v>
      </c>
      <c r="AD5" s="1">
        <v>1</v>
      </c>
      <c r="AF5" s="3">
        <v>3100000</v>
      </c>
      <c r="AG5" s="1">
        <v>13</v>
      </c>
      <c r="AT5" s="1" t="s">
        <v>86</v>
      </c>
      <c r="BP5" s="1">
        <v>3</v>
      </c>
      <c r="BQ5" s="1" t="s">
        <v>3533</v>
      </c>
      <c r="BR5" s="1" t="s">
        <v>3534</v>
      </c>
      <c r="BT5" s="1" t="s">
        <v>107</v>
      </c>
      <c r="BU5" s="1">
        <v>2</v>
      </c>
      <c r="BV5" s="1">
        <v>2</v>
      </c>
      <c r="BW5" s="1">
        <v>1</v>
      </c>
      <c r="BX5" s="1">
        <v>0</v>
      </c>
      <c r="BY5" s="1">
        <v>0</v>
      </c>
      <c r="BZ5" s="1">
        <v>0</v>
      </c>
      <c r="CA5" s="1">
        <v>0</v>
      </c>
      <c r="CB5" s="1">
        <v>0</v>
      </c>
      <c r="CC5" s="1">
        <v>0</v>
      </c>
      <c r="CD5" s="1">
        <v>0</v>
      </c>
      <c r="CE5" s="1">
        <v>0</v>
      </c>
      <c r="CF5" s="1">
        <v>0</v>
      </c>
      <c r="CG5" s="1">
        <v>0</v>
      </c>
      <c r="CH5" s="1">
        <v>0</v>
      </c>
      <c r="CI5" s="1">
        <v>0</v>
      </c>
      <c r="CJ5" s="1">
        <v>4</v>
      </c>
      <c r="CK5" s="1">
        <v>4</v>
      </c>
      <c r="CL5" s="1">
        <v>3</v>
      </c>
      <c r="CM5" s="1">
        <v>4</v>
      </c>
      <c r="CN5" s="1">
        <v>4</v>
      </c>
      <c r="CO5" s="1">
        <v>4</v>
      </c>
      <c r="CP5" s="1">
        <v>4</v>
      </c>
      <c r="CU5" s="1">
        <v>4</v>
      </c>
    </row>
    <row r="6" spans="1:99" x14ac:dyDescent="0.35">
      <c r="A6" s="1" t="s">
        <v>3535</v>
      </c>
      <c r="B6" s="1">
        <v>175244006</v>
      </c>
      <c r="C6" s="1">
        <v>0</v>
      </c>
      <c r="D6" s="1">
        <v>1</v>
      </c>
      <c r="E6" s="1">
        <v>0</v>
      </c>
      <c r="F6" s="1">
        <v>0</v>
      </c>
      <c r="G6" s="1">
        <v>0</v>
      </c>
      <c r="H6" s="1">
        <v>0</v>
      </c>
      <c r="I6" s="1">
        <v>0</v>
      </c>
      <c r="J6" s="1">
        <v>1</v>
      </c>
      <c r="K6" s="1">
        <v>1</v>
      </c>
      <c r="L6" s="1">
        <v>0</v>
      </c>
      <c r="M6" s="1">
        <v>0</v>
      </c>
      <c r="N6" s="1">
        <v>0</v>
      </c>
      <c r="O6" s="1">
        <v>0</v>
      </c>
      <c r="P6" s="1" t="s">
        <v>3536</v>
      </c>
      <c r="Q6" s="1" t="s">
        <v>3537</v>
      </c>
      <c r="R6" s="1" t="s">
        <v>3105</v>
      </c>
      <c r="S6" s="1">
        <v>1</v>
      </c>
      <c r="T6" s="1">
        <v>1</v>
      </c>
      <c r="U6" s="1">
        <v>4</v>
      </c>
      <c r="V6" s="1">
        <v>4</v>
      </c>
      <c r="W6" s="1">
        <v>4</v>
      </c>
      <c r="X6" s="1">
        <v>4</v>
      </c>
      <c r="Y6" s="1">
        <v>4</v>
      </c>
      <c r="Z6" s="1">
        <v>4</v>
      </c>
      <c r="AA6" s="1">
        <v>4</v>
      </c>
      <c r="AC6" s="1">
        <v>1</v>
      </c>
      <c r="AD6" s="1">
        <v>2</v>
      </c>
      <c r="AF6" s="3">
        <v>5000000</v>
      </c>
      <c r="AG6" s="1">
        <v>13</v>
      </c>
      <c r="AT6" s="1" t="s">
        <v>75</v>
      </c>
      <c r="BP6" s="1">
        <v>3</v>
      </c>
      <c r="BQ6" s="1" t="s">
        <v>3538</v>
      </c>
      <c r="BR6" s="1" t="s">
        <v>3539</v>
      </c>
      <c r="BS6" s="1" t="s">
        <v>3540</v>
      </c>
      <c r="BT6" s="1" t="s">
        <v>79</v>
      </c>
      <c r="BU6" s="1">
        <v>3</v>
      </c>
      <c r="BV6" s="1">
        <v>2</v>
      </c>
      <c r="BW6" s="1">
        <v>0</v>
      </c>
      <c r="BX6" s="1">
        <v>0</v>
      </c>
      <c r="BY6" s="1">
        <v>1</v>
      </c>
      <c r="BZ6" s="1">
        <v>0</v>
      </c>
      <c r="CA6" s="1">
        <v>0</v>
      </c>
      <c r="CB6" s="1">
        <v>1</v>
      </c>
      <c r="CC6" s="1">
        <v>1</v>
      </c>
      <c r="CD6" s="1">
        <v>1</v>
      </c>
      <c r="CE6" s="1">
        <v>0</v>
      </c>
      <c r="CF6" s="1">
        <v>1</v>
      </c>
      <c r="CG6" s="1">
        <v>0</v>
      </c>
      <c r="CH6" s="1">
        <v>0</v>
      </c>
      <c r="CI6" s="1">
        <v>0</v>
      </c>
      <c r="CJ6" s="1">
        <v>4</v>
      </c>
      <c r="CK6" s="1">
        <v>4</v>
      </c>
      <c r="CL6" s="1">
        <v>4</v>
      </c>
      <c r="CM6" s="1">
        <v>4</v>
      </c>
      <c r="CN6" s="1">
        <v>4</v>
      </c>
      <c r="CO6" s="1">
        <v>4</v>
      </c>
      <c r="CP6" s="1">
        <v>4</v>
      </c>
      <c r="CU6" s="1">
        <v>1</v>
      </c>
    </row>
    <row r="7" spans="1:99" x14ac:dyDescent="0.35">
      <c r="A7" s="1" t="s">
        <v>3541</v>
      </c>
      <c r="B7" s="1">
        <v>175244007</v>
      </c>
      <c r="S7" s="1">
        <v>4</v>
      </c>
      <c r="T7" s="1">
        <v>1</v>
      </c>
      <c r="U7" s="1">
        <v>3</v>
      </c>
      <c r="V7" s="1">
        <v>3</v>
      </c>
      <c r="W7" s="1">
        <v>4</v>
      </c>
      <c r="X7" s="1">
        <v>3</v>
      </c>
      <c r="Y7" s="1">
        <v>4</v>
      </c>
      <c r="Z7" s="1">
        <v>4</v>
      </c>
      <c r="AA7" s="1">
        <v>4</v>
      </c>
      <c r="CQ7" s="1">
        <v>1</v>
      </c>
      <c r="CR7" s="1" t="s">
        <v>3542</v>
      </c>
      <c r="CS7" s="1" t="s">
        <v>3543</v>
      </c>
      <c r="CT7" s="5">
        <v>44599</v>
      </c>
      <c r="CU7" s="1">
        <v>1</v>
      </c>
    </row>
    <row r="8" spans="1:99" x14ac:dyDescent="0.35">
      <c r="A8" s="1" t="s">
        <v>3544</v>
      </c>
      <c r="B8" s="1">
        <v>175244009</v>
      </c>
      <c r="C8" s="1">
        <v>0</v>
      </c>
      <c r="D8" s="1">
        <v>1</v>
      </c>
      <c r="E8" s="1">
        <v>0</v>
      </c>
      <c r="F8" s="1">
        <v>0</v>
      </c>
      <c r="G8" s="1">
        <v>0</v>
      </c>
      <c r="H8" s="1">
        <v>0</v>
      </c>
      <c r="I8" s="1">
        <v>0</v>
      </c>
      <c r="J8" s="1">
        <v>0</v>
      </c>
      <c r="K8" s="1">
        <v>0</v>
      </c>
      <c r="L8" s="1">
        <v>0</v>
      </c>
      <c r="M8" s="1">
        <v>0</v>
      </c>
      <c r="N8" s="1">
        <v>0</v>
      </c>
      <c r="O8" s="1">
        <v>0</v>
      </c>
      <c r="P8" s="1">
        <v>1</v>
      </c>
      <c r="Q8" s="1">
        <v>1</v>
      </c>
      <c r="R8" s="1">
        <v>1</v>
      </c>
      <c r="S8" s="1">
        <v>1</v>
      </c>
      <c r="T8" s="1">
        <v>1</v>
      </c>
      <c r="U8" s="1">
        <v>4</v>
      </c>
      <c r="V8" s="1">
        <v>3</v>
      </c>
      <c r="W8" s="1">
        <v>3</v>
      </c>
      <c r="X8" s="1">
        <v>3</v>
      </c>
      <c r="Y8" s="1">
        <v>4</v>
      </c>
      <c r="Z8" s="1">
        <v>4</v>
      </c>
      <c r="AA8" s="1">
        <v>4</v>
      </c>
      <c r="AC8" s="1">
        <v>1</v>
      </c>
      <c r="AD8" s="1">
        <v>0</v>
      </c>
      <c r="AF8" s="3">
        <v>4650000</v>
      </c>
      <c r="AG8" s="1">
        <v>11</v>
      </c>
      <c r="AR8" s="1" t="s">
        <v>130</v>
      </c>
      <c r="BP8" s="1">
        <v>3</v>
      </c>
      <c r="BQ8" s="1" t="s">
        <v>3545</v>
      </c>
      <c r="BR8" s="1" t="s">
        <v>3546</v>
      </c>
      <c r="BS8" s="1" t="s">
        <v>3547</v>
      </c>
      <c r="BT8" s="1" t="s">
        <v>79</v>
      </c>
      <c r="BU8" s="1">
        <v>1</v>
      </c>
      <c r="BV8" s="1">
        <v>2</v>
      </c>
      <c r="BW8" s="1">
        <v>1</v>
      </c>
      <c r="BX8" s="1">
        <v>0</v>
      </c>
      <c r="BY8" s="1">
        <v>0</v>
      </c>
      <c r="BZ8" s="1">
        <v>0</v>
      </c>
      <c r="CA8" s="1">
        <v>0</v>
      </c>
      <c r="CB8" s="1">
        <v>0</v>
      </c>
      <c r="CC8" s="1">
        <v>0</v>
      </c>
      <c r="CD8" s="1">
        <v>0</v>
      </c>
      <c r="CE8" s="1">
        <v>0</v>
      </c>
      <c r="CF8" s="1">
        <v>0</v>
      </c>
      <c r="CG8" s="1">
        <v>0</v>
      </c>
      <c r="CH8" s="1">
        <v>0</v>
      </c>
      <c r="CI8" s="1">
        <v>0</v>
      </c>
      <c r="CJ8" s="1">
        <v>4</v>
      </c>
      <c r="CK8" s="1">
        <v>4</v>
      </c>
      <c r="CL8" s="1">
        <v>3</v>
      </c>
      <c r="CM8" s="1">
        <v>4</v>
      </c>
      <c r="CN8" s="1">
        <v>4</v>
      </c>
      <c r="CO8" s="1">
        <v>4</v>
      </c>
      <c r="CP8" s="1">
        <v>4</v>
      </c>
      <c r="CU8" s="1">
        <v>1</v>
      </c>
    </row>
    <row r="9" spans="1:99" x14ac:dyDescent="0.35">
      <c r="A9" s="1" t="s">
        <v>3548</v>
      </c>
      <c r="B9" s="1">
        <v>175244010</v>
      </c>
      <c r="C9" s="1">
        <v>0</v>
      </c>
      <c r="D9" s="1">
        <v>1</v>
      </c>
      <c r="E9" s="1">
        <v>0</v>
      </c>
      <c r="F9" s="1">
        <v>0</v>
      </c>
      <c r="G9" s="1">
        <v>0</v>
      </c>
      <c r="H9" s="1">
        <v>0</v>
      </c>
      <c r="I9" s="1">
        <v>0</v>
      </c>
      <c r="J9" s="1">
        <v>0</v>
      </c>
      <c r="K9" s="1">
        <v>0</v>
      </c>
      <c r="L9" s="1">
        <v>1</v>
      </c>
      <c r="M9" s="1">
        <v>0</v>
      </c>
      <c r="N9" s="1">
        <v>0</v>
      </c>
      <c r="O9" s="1">
        <v>0</v>
      </c>
      <c r="P9" s="1">
        <v>8</v>
      </c>
      <c r="Q9" s="1">
        <v>4</v>
      </c>
      <c r="R9" s="1">
        <v>2</v>
      </c>
      <c r="S9" s="1">
        <v>1</v>
      </c>
      <c r="T9" s="1">
        <v>3</v>
      </c>
      <c r="U9" s="1">
        <v>4</v>
      </c>
      <c r="V9" s="1">
        <v>3</v>
      </c>
      <c r="W9" s="1">
        <v>2</v>
      </c>
      <c r="X9" s="1">
        <v>3</v>
      </c>
      <c r="Y9" s="1">
        <v>3</v>
      </c>
      <c r="Z9" s="1">
        <v>4</v>
      </c>
      <c r="AA9" s="1">
        <v>3</v>
      </c>
      <c r="AC9" s="1">
        <v>1</v>
      </c>
      <c r="AD9" s="1">
        <v>2</v>
      </c>
      <c r="AF9" s="3">
        <v>1500000</v>
      </c>
      <c r="AG9" s="1">
        <v>13</v>
      </c>
      <c r="AT9" s="1" t="s">
        <v>392</v>
      </c>
      <c r="BP9" s="1">
        <v>4</v>
      </c>
      <c r="BQ9" s="1" t="s">
        <v>3549</v>
      </c>
      <c r="BR9" s="1" t="s">
        <v>3550</v>
      </c>
      <c r="BS9" s="1" t="s">
        <v>3551</v>
      </c>
      <c r="BT9" s="1" t="s">
        <v>79</v>
      </c>
      <c r="BU9" s="1">
        <v>1</v>
      </c>
      <c r="BV9" s="1">
        <v>3</v>
      </c>
      <c r="BW9" s="1">
        <v>0</v>
      </c>
      <c r="BX9" s="1">
        <v>1</v>
      </c>
      <c r="BY9" s="1">
        <v>0</v>
      </c>
      <c r="BZ9" s="1">
        <v>0</v>
      </c>
      <c r="CA9" s="1">
        <v>0</v>
      </c>
      <c r="CB9" s="1">
        <v>0</v>
      </c>
      <c r="CC9" s="1">
        <v>0</v>
      </c>
      <c r="CD9" s="1">
        <v>0</v>
      </c>
      <c r="CE9" s="1">
        <v>1</v>
      </c>
      <c r="CF9" s="1">
        <v>1</v>
      </c>
      <c r="CG9" s="1">
        <v>0</v>
      </c>
      <c r="CH9" s="1">
        <v>0</v>
      </c>
      <c r="CI9" s="1" t="s">
        <v>3552</v>
      </c>
      <c r="CJ9" s="1">
        <v>4</v>
      </c>
      <c r="CK9" s="1">
        <v>2</v>
      </c>
      <c r="CL9" s="1">
        <v>3</v>
      </c>
      <c r="CM9" s="1">
        <v>3</v>
      </c>
      <c r="CN9" s="1">
        <v>3</v>
      </c>
      <c r="CO9" s="1">
        <v>3</v>
      </c>
      <c r="CP9" s="1">
        <v>3</v>
      </c>
      <c r="CU9" s="1">
        <v>4</v>
      </c>
    </row>
    <row r="10" spans="1:99" x14ac:dyDescent="0.35">
      <c r="A10" s="1" t="s">
        <v>3887</v>
      </c>
      <c r="B10" s="1">
        <v>175244004</v>
      </c>
    </row>
    <row r="11" spans="1:99" x14ac:dyDescent="0.35">
      <c r="A11" s="1" t="s">
        <v>3888</v>
      </c>
      <c r="B11" s="1">
        <v>175244008</v>
      </c>
    </row>
    <row r="12" spans="1:99" x14ac:dyDescent="0.35">
      <c r="A12" s="1" t="s">
        <v>3889</v>
      </c>
      <c r="B12" s="1">
        <v>175244012</v>
      </c>
      <c r="C12" s="1">
        <v>0</v>
      </c>
      <c r="D12" s="1">
        <v>1</v>
      </c>
      <c r="E12" s="1">
        <v>0</v>
      </c>
      <c r="F12" s="1">
        <v>0</v>
      </c>
      <c r="G12" s="1">
        <v>0</v>
      </c>
      <c r="H12" s="1">
        <v>0</v>
      </c>
      <c r="I12" s="1">
        <v>0</v>
      </c>
      <c r="J12" s="1">
        <v>0</v>
      </c>
      <c r="K12" s="1">
        <v>0</v>
      </c>
      <c r="L12" s="1">
        <v>0</v>
      </c>
      <c r="M12" s="1">
        <v>0</v>
      </c>
      <c r="N12" s="1">
        <v>0</v>
      </c>
      <c r="O12" s="1">
        <v>0</v>
      </c>
      <c r="P12" s="1">
        <v>50</v>
      </c>
      <c r="Q12" s="1">
        <v>10</v>
      </c>
      <c r="R12" s="1">
        <v>3</v>
      </c>
      <c r="S12" s="1">
        <v>1</v>
      </c>
      <c r="T12" s="1">
        <v>1</v>
      </c>
      <c r="U12" s="1">
        <v>4</v>
      </c>
      <c r="V12" s="1">
        <v>4</v>
      </c>
      <c r="W12" s="1">
        <v>4</v>
      </c>
      <c r="X12" s="1">
        <v>4</v>
      </c>
      <c r="Y12" s="1">
        <v>4</v>
      </c>
      <c r="Z12" s="1">
        <v>4</v>
      </c>
      <c r="AA12" s="1">
        <v>4</v>
      </c>
      <c r="AC12" s="1">
        <v>1</v>
      </c>
      <c r="AD12" s="1">
        <v>5</v>
      </c>
      <c r="AF12" s="3">
        <v>4200000</v>
      </c>
      <c r="AG12" s="1">
        <v>13</v>
      </c>
      <c r="AT12" s="1" t="s">
        <v>905</v>
      </c>
      <c r="BP12" s="1">
        <v>3</v>
      </c>
      <c r="BQ12" s="1" t="s">
        <v>3890</v>
      </c>
      <c r="BR12" s="1" t="s">
        <v>3891</v>
      </c>
      <c r="BS12" s="1" t="s">
        <v>3892</v>
      </c>
      <c r="BT12" s="1" t="s">
        <v>79</v>
      </c>
      <c r="BU12" s="1">
        <v>3</v>
      </c>
      <c r="BV12" s="1">
        <v>2</v>
      </c>
      <c r="BW12" s="1">
        <v>1</v>
      </c>
      <c r="BX12" s="1">
        <v>1</v>
      </c>
      <c r="BY12" s="1">
        <v>1</v>
      </c>
      <c r="BZ12" s="1">
        <v>0</v>
      </c>
      <c r="CA12" s="1">
        <v>0</v>
      </c>
      <c r="CB12" s="1">
        <v>0</v>
      </c>
      <c r="CC12" s="1">
        <v>0</v>
      </c>
      <c r="CD12" s="1">
        <v>0</v>
      </c>
      <c r="CE12" s="1">
        <v>0</v>
      </c>
      <c r="CF12" s="1">
        <v>0</v>
      </c>
      <c r="CG12" s="1">
        <v>0</v>
      </c>
      <c r="CH12" s="1">
        <v>1</v>
      </c>
      <c r="CI12" s="1">
        <v>0</v>
      </c>
      <c r="CJ12" s="1">
        <v>4</v>
      </c>
      <c r="CK12" s="1">
        <v>4</v>
      </c>
      <c r="CL12" s="1">
        <v>1</v>
      </c>
      <c r="CM12" s="1">
        <v>4</v>
      </c>
      <c r="CN12" s="1">
        <v>4</v>
      </c>
      <c r="CO12" s="1">
        <v>4</v>
      </c>
      <c r="CP12" s="1">
        <v>4</v>
      </c>
      <c r="CU12" s="1">
        <v>4</v>
      </c>
    </row>
    <row r="13" spans="1:99" x14ac:dyDescent="0.35">
      <c r="A13" s="1" t="s">
        <v>3893</v>
      </c>
      <c r="B13" s="1">
        <v>175244014</v>
      </c>
      <c r="C13" s="1">
        <v>1</v>
      </c>
      <c r="D13" s="1">
        <v>1</v>
      </c>
      <c r="E13" s="1">
        <v>0</v>
      </c>
      <c r="F13" s="1">
        <v>0</v>
      </c>
      <c r="G13" s="1">
        <v>0</v>
      </c>
      <c r="H13" s="1">
        <v>0</v>
      </c>
      <c r="I13" s="1">
        <v>0</v>
      </c>
      <c r="J13" s="1">
        <v>0</v>
      </c>
      <c r="K13" s="1">
        <v>1</v>
      </c>
      <c r="L13" s="1">
        <v>0</v>
      </c>
      <c r="M13" s="1">
        <v>0</v>
      </c>
      <c r="N13" s="1">
        <v>0</v>
      </c>
      <c r="O13" s="1">
        <v>0</v>
      </c>
      <c r="P13" s="1">
        <v>100</v>
      </c>
      <c r="Q13" s="1">
        <v>10</v>
      </c>
      <c r="R13" s="1">
        <v>5</v>
      </c>
      <c r="S13" s="1">
        <v>1</v>
      </c>
      <c r="T13" s="1">
        <v>3</v>
      </c>
      <c r="U13" s="1">
        <v>4</v>
      </c>
      <c r="V13" s="1">
        <v>3</v>
      </c>
      <c r="W13" s="1">
        <v>4</v>
      </c>
      <c r="X13" s="1">
        <v>4</v>
      </c>
      <c r="Y13" s="1">
        <v>3</v>
      </c>
      <c r="Z13" s="1">
        <v>3</v>
      </c>
      <c r="AA13" s="1">
        <v>3</v>
      </c>
      <c r="AC13" s="1">
        <v>2</v>
      </c>
      <c r="AE13" s="1">
        <v>8</v>
      </c>
      <c r="AF13" s="3">
        <v>2300000</v>
      </c>
      <c r="AG13" s="1">
        <v>13</v>
      </c>
      <c r="AT13" s="1" t="s">
        <v>86</v>
      </c>
      <c r="BP13" s="1">
        <v>3</v>
      </c>
      <c r="BQ13" s="1" t="s">
        <v>3894</v>
      </c>
      <c r="BR13" s="1" t="s">
        <v>3895</v>
      </c>
      <c r="BS13" s="1" t="s">
        <v>3896</v>
      </c>
      <c r="BT13" s="1" t="s">
        <v>79</v>
      </c>
      <c r="BU13" s="1">
        <v>1</v>
      </c>
      <c r="BV13" s="1">
        <v>2</v>
      </c>
      <c r="BW13" s="1">
        <v>1</v>
      </c>
      <c r="BX13" s="1">
        <v>0</v>
      </c>
      <c r="BY13" s="1">
        <v>0</v>
      </c>
      <c r="BZ13" s="1">
        <v>0</v>
      </c>
      <c r="CA13" s="1">
        <v>0</v>
      </c>
      <c r="CB13" s="1">
        <v>0</v>
      </c>
      <c r="CC13" s="1">
        <v>0</v>
      </c>
      <c r="CD13" s="1">
        <v>0</v>
      </c>
      <c r="CE13" s="1">
        <v>0</v>
      </c>
      <c r="CF13" s="1">
        <v>0</v>
      </c>
      <c r="CG13" s="1">
        <v>0</v>
      </c>
      <c r="CH13" s="1">
        <v>0</v>
      </c>
      <c r="CI13" s="1">
        <v>0</v>
      </c>
      <c r="CJ13" s="1">
        <v>4</v>
      </c>
      <c r="CK13" s="1">
        <v>4</v>
      </c>
      <c r="CL13" s="1">
        <v>4</v>
      </c>
      <c r="CM13" s="1">
        <v>4</v>
      </c>
      <c r="CN13" s="1">
        <v>4</v>
      </c>
      <c r="CO13" s="1">
        <v>4</v>
      </c>
      <c r="CP13" s="1">
        <v>4</v>
      </c>
      <c r="CU13" s="1">
        <v>1</v>
      </c>
    </row>
    <row r="14" spans="1:99" x14ac:dyDescent="0.35">
      <c r="A14" s="1" t="s">
        <v>3897</v>
      </c>
      <c r="B14" s="1">
        <v>175244015</v>
      </c>
      <c r="C14" s="1">
        <v>0</v>
      </c>
      <c r="D14" s="1">
        <v>1</v>
      </c>
      <c r="E14" s="1">
        <v>0</v>
      </c>
      <c r="F14" s="1">
        <v>0</v>
      </c>
      <c r="G14" s="1">
        <v>0</v>
      </c>
      <c r="H14" s="1">
        <v>0</v>
      </c>
      <c r="I14" s="1">
        <v>0</v>
      </c>
      <c r="J14" s="1">
        <v>0</v>
      </c>
      <c r="K14" s="1">
        <v>1</v>
      </c>
      <c r="L14" s="1">
        <v>0</v>
      </c>
      <c r="M14" s="1">
        <v>1</v>
      </c>
      <c r="N14" s="1">
        <v>0</v>
      </c>
      <c r="O14" s="1">
        <v>0</v>
      </c>
      <c r="P14" s="1">
        <v>150</v>
      </c>
      <c r="Q14" s="1">
        <v>50</v>
      </c>
      <c r="R14" s="1">
        <v>30</v>
      </c>
      <c r="S14" s="1">
        <v>5</v>
      </c>
      <c r="T14" s="1">
        <v>1</v>
      </c>
      <c r="U14" s="1">
        <v>4</v>
      </c>
      <c r="V14" s="1">
        <v>4</v>
      </c>
      <c r="W14" s="1">
        <v>3</v>
      </c>
      <c r="X14" s="1">
        <v>4</v>
      </c>
      <c r="Y14" s="1">
        <v>4</v>
      </c>
      <c r="Z14" s="1">
        <v>4</v>
      </c>
      <c r="AA14" s="1">
        <v>4</v>
      </c>
      <c r="CU14" s="1">
        <v>4</v>
      </c>
    </row>
    <row r="15" spans="1:99" x14ac:dyDescent="0.35">
      <c r="A15" s="1" t="s">
        <v>3898</v>
      </c>
      <c r="B15" s="1">
        <v>175244016</v>
      </c>
      <c r="C15" s="1">
        <v>0</v>
      </c>
      <c r="D15" s="1">
        <v>1</v>
      </c>
      <c r="E15" s="1">
        <v>0</v>
      </c>
      <c r="F15" s="1">
        <v>0</v>
      </c>
      <c r="G15" s="1">
        <v>0</v>
      </c>
      <c r="H15" s="1">
        <v>1</v>
      </c>
      <c r="I15" s="1">
        <v>0</v>
      </c>
      <c r="J15" s="1">
        <v>1</v>
      </c>
      <c r="K15" s="1">
        <v>0</v>
      </c>
      <c r="L15" s="1">
        <v>0</v>
      </c>
      <c r="M15" s="1">
        <v>0</v>
      </c>
      <c r="N15" s="1">
        <v>0</v>
      </c>
      <c r="O15" s="1">
        <v>0</v>
      </c>
      <c r="P15" s="1">
        <v>65</v>
      </c>
      <c r="Q15" s="1">
        <v>5</v>
      </c>
      <c r="R15" s="1">
        <v>1</v>
      </c>
      <c r="S15" s="1">
        <v>5</v>
      </c>
      <c r="T15" s="1">
        <v>1</v>
      </c>
      <c r="U15" s="1">
        <v>4</v>
      </c>
      <c r="V15" s="1">
        <v>3</v>
      </c>
      <c r="W15" s="1">
        <v>4</v>
      </c>
      <c r="X15" s="1">
        <v>4</v>
      </c>
      <c r="Y15" s="1">
        <v>4</v>
      </c>
      <c r="Z15" s="1">
        <v>4</v>
      </c>
      <c r="AA15" s="1">
        <v>4</v>
      </c>
      <c r="CU15" s="1">
        <v>1</v>
      </c>
    </row>
    <row r="16" spans="1:99" x14ac:dyDescent="0.35">
      <c r="A16" s="1" t="s">
        <v>3899</v>
      </c>
      <c r="B16" s="1">
        <v>175244017</v>
      </c>
      <c r="C16" s="1">
        <v>0</v>
      </c>
      <c r="D16" s="1">
        <v>1</v>
      </c>
      <c r="E16" s="1">
        <v>0</v>
      </c>
      <c r="F16" s="1">
        <v>0</v>
      </c>
      <c r="G16" s="1">
        <v>0</v>
      </c>
      <c r="H16" s="1">
        <v>1</v>
      </c>
      <c r="I16" s="1">
        <v>1</v>
      </c>
      <c r="J16" s="1">
        <v>1</v>
      </c>
      <c r="K16" s="1">
        <v>1</v>
      </c>
      <c r="L16" s="1">
        <v>0</v>
      </c>
      <c r="M16" s="1">
        <v>0</v>
      </c>
      <c r="N16" s="1">
        <v>0</v>
      </c>
      <c r="O16" s="1">
        <v>0</v>
      </c>
      <c r="P16" s="1">
        <v>5</v>
      </c>
      <c r="Q16" s="1">
        <v>4</v>
      </c>
      <c r="R16" s="1">
        <v>4</v>
      </c>
      <c r="S16" s="1">
        <v>1</v>
      </c>
      <c r="T16" s="1">
        <v>1</v>
      </c>
      <c r="U16" s="1">
        <v>4</v>
      </c>
      <c r="V16" s="1">
        <v>3</v>
      </c>
      <c r="W16" s="1">
        <v>3</v>
      </c>
      <c r="X16" s="1">
        <v>4</v>
      </c>
      <c r="Y16" s="1">
        <v>4</v>
      </c>
      <c r="Z16" s="1">
        <v>4</v>
      </c>
      <c r="AA16" s="1">
        <v>4</v>
      </c>
      <c r="AC16" s="1">
        <v>2</v>
      </c>
      <c r="AE16" s="1">
        <v>2</v>
      </c>
      <c r="AF16" s="3">
        <v>5500000</v>
      </c>
      <c r="AG16" s="1">
        <v>11</v>
      </c>
      <c r="AR16" s="1" t="s">
        <v>130</v>
      </c>
      <c r="BP16" s="1">
        <v>3</v>
      </c>
      <c r="BQ16" s="1" t="s">
        <v>3900</v>
      </c>
      <c r="BR16" s="1" t="s">
        <v>3901</v>
      </c>
      <c r="BS16" s="1" t="s">
        <v>3902</v>
      </c>
      <c r="BT16" s="1" t="s">
        <v>79</v>
      </c>
      <c r="BU16" s="1">
        <v>1</v>
      </c>
      <c r="BV16" s="1">
        <v>2</v>
      </c>
      <c r="BW16" s="1">
        <v>1</v>
      </c>
      <c r="BX16" s="1">
        <v>0</v>
      </c>
      <c r="BY16" s="1">
        <v>0</v>
      </c>
      <c r="BZ16" s="1">
        <v>0</v>
      </c>
      <c r="CA16" s="1">
        <v>0</v>
      </c>
      <c r="CB16" s="1">
        <v>0</v>
      </c>
      <c r="CC16" s="1">
        <v>0</v>
      </c>
      <c r="CD16" s="1">
        <v>0</v>
      </c>
      <c r="CE16" s="1">
        <v>0</v>
      </c>
      <c r="CF16" s="1">
        <v>0</v>
      </c>
      <c r="CG16" s="1">
        <v>0</v>
      </c>
      <c r="CH16" s="1">
        <v>0</v>
      </c>
      <c r="CI16" s="1">
        <v>0</v>
      </c>
      <c r="CJ16" s="1">
        <v>4</v>
      </c>
      <c r="CK16" s="1">
        <v>4</v>
      </c>
      <c r="CL16" s="1">
        <v>4</v>
      </c>
      <c r="CM16" s="1">
        <v>4</v>
      </c>
      <c r="CN16" s="1">
        <v>4</v>
      </c>
      <c r="CO16" s="1">
        <v>4</v>
      </c>
      <c r="CP16" s="1">
        <v>4</v>
      </c>
      <c r="CU16" s="1">
        <v>1</v>
      </c>
    </row>
    <row r="17" spans="1:99" x14ac:dyDescent="0.35">
      <c r="A17" s="1" t="s">
        <v>3903</v>
      </c>
      <c r="B17" s="1">
        <v>175244020</v>
      </c>
      <c r="C17" s="1">
        <v>0</v>
      </c>
      <c r="D17" s="1">
        <v>1</v>
      </c>
      <c r="E17" s="1">
        <v>0</v>
      </c>
      <c r="F17" s="1">
        <v>0</v>
      </c>
      <c r="G17" s="1">
        <v>0</v>
      </c>
      <c r="H17" s="1">
        <v>0</v>
      </c>
      <c r="I17" s="1">
        <v>0</v>
      </c>
      <c r="J17" s="1">
        <v>0</v>
      </c>
      <c r="K17" s="1">
        <v>1</v>
      </c>
      <c r="L17" s="1">
        <v>0</v>
      </c>
      <c r="M17" s="1">
        <v>0</v>
      </c>
      <c r="N17" s="1">
        <v>0</v>
      </c>
      <c r="O17" s="1">
        <v>0</v>
      </c>
      <c r="P17" s="1">
        <v>15</v>
      </c>
      <c r="Q17" s="1">
        <v>2</v>
      </c>
      <c r="R17" s="1">
        <v>2</v>
      </c>
      <c r="S17" s="1">
        <v>1</v>
      </c>
      <c r="T17" s="1">
        <v>1</v>
      </c>
      <c r="U17" s="1">
        <v>4</v>
      </c>
      <c r="V17" s="1">
        <v>3</v>
      </c>
      <c r="W17" s="1">
        <v>3</v>
      </c>
      <c r="X17" s="1">
        <v>3</v>
      </c>
      <c r="Y17" s="1">
        <v>4</v>
      </c>
      <c r="Z17" s="1">
        <v>4</v>
      </c>
      <c r="AA17" s="1">
        <v>4</v>
      </c>
      <c r="AC17" s="1">
        <v>1</v>
      </c>
      <c r="AD17" s="1">
        <v>2</v>
      </c>
      <c r="AF17" s="3">
        <v>6000000</v>
      </c>
      <c r="AG17" s="1">
        <v>13</v>
      </c>
      <c r="AT17" s="1" t="s">
        <v>402</v>
      </c>
      <c r="BP17" s="1">
        <v>3</v>
      </c>
      <c r="BQ17" s="1" t="s">
        <v>3904</v>
      </c>
      <c r="BR17" s="1" t="s">
        <v>3905</v>
      </c>
      <c r="BS17" s="1" t="s">
        <v>3906</v>
      </c>
      <c r="BT17" s="1" t="s">
        <v>79</v>
      </c>
      <c r="BU17" s="1">
        <v>1</v>
      </c>
      <c r="BV17" s="1">
        <v>2</v>
      </c>
      <c r="BW17" s="1">
        <v>0</v>
      </c>
      <c r="BX17" s="1">
        <v>0</v>
      </c>
      <c r="BY17" s="1">
        <v>0</v>
      </c>
      <c r="BZ17" s="1">
        <v>0</v>
      </c>
      <c r="CA17" s="1">
        <v>0</v>
      </c>
      <c r="CB17" s="1">
        <v>0</v>
      </c>
      <c r="CC17" s="1">
        <v>0</v>
      </c>
      <c r="CD17" s="1">
        <v>0</v>
      </c>
      <c r="CE17" s="1">
        <v>0</v>
      </c>
      <c r="CF17" s="1">
        <v>0</v>
      </c>
      <c r="CG17" s="1">
        <v>0</v>
      </c>
      <c r="CH17" s="1">
        <v>0</v>
      </c>
      <c r="CI17" s="1" t="s">
        <v>3907</v>
      </c>
      <c r="CJ17" s="1">
        <v>4</v>
      </c>
      <c r="CK17" s="1">
        <v>4</v>
      </c>
      <c r="CL17" s="1">
        <v>3</v>
      </c>
      <c r="CM17" s="1">
        <v>3</v>
      </c>
      <c r="CN17" s="1">
        <v>4</v>
      </c>
      <c r="CO17" s="1">
        <v>3</v>
      </c>
      <c r="CP17" s="1">
        <v>4</v>
      </c>
      <c r="CU17" s="1">
        <v>1</v>
      </c>
    </row>
    <row r="18" spans="1:99" x14ac:dyDescent="0.35">
      <c r="A18" s="1" t="s">
        <v>3908</v>
      </c>
      <c r="B18" s="1">
        <v>175244021</v>
      </c>
      <c r="C18" s="1">
        <v>0</v>
      </c>
      <c r="D18" s="1">
        <v>1</v>
      </c>
      <c r="E18" s="1">
        <v>0</v>
      </c>
      <c r="F18" s="1">
        <v>0</v>
      </c>
      <c r="G18" s="1">
        <v>0</v>
      </c>
      <c r="H18" s="1">
        <v>0</v>
      </c>
      <c r="I18" s="1">
        <v>0</v>
      </c>
      <c r="J18" s="1">
        <v>1</v>
      </c>
      <c r="K18" s="1">
        <v>0</v>
      </c>
      <c r="L18" s="1">
        <v>0</v>
      </c>
      <c r="M18" s="1">
        <v>1</v>
      </c>
      <c r="N18" s="1">
        <v>0</v>
      </c>
      <c r="O18" s="1">
        <v>0</v>
      </c>
      <c r="P18" s="1" t="s">
        <v>3909</v>
      </c>
      <c r="Q18" s="1">
        <v>7</v>
      </c>
      <c r="R18" s="1">
        <v>5</v>
      </c>
      <c r="S18" s="1">
        <v>3</v>
      </c>
      <c r="T18" s="1">
        <v>1</v>
      </c>
      <c r="U18" s="1">
        <v>4</v>
      </c>
      <c r="V18" s="1">
        <v>3</v>
      </c>
      <c r="W18" s="1">
        <v>3</v>
      </c>
      <c r="X18" s="1">
        <v>3</v>
      </c>
      <c r="Y18" s="1">
        <v>4</v>
      </c>
      <c r="Z18" s="1">
        <v>4</v>
      </c>
      <c r="AA18" s="1">
        <v>4</v>
      </c>
      <c r="AB18" s="1">
        <v>3</v>
      </c>
      <c r="AC18" s="1">
        <v>1</v>
      </c>
      <c r="AD18" s="1">
        <v>1</v>
      </c>
      <c r="AF18" s="3">
        <v>5700000</v>
      </c>
      <c r="AG18" s="1">
        <v>11</v>
      </c>
      <c r="AR18" s="1" t="s">
        <v>144</v>
      </c>
      <c r="BP18" s="1">
        <v>3</v>
      </c>
      <c r="BQ18" s="1" t="s">
        <v>3910</v>
      </c>
      <c r="BR18" s="1" t="s">
        <v>3911</v>
      </c>
      <c r="BS18" s="1" t="s">
        <v>3912</v>
      </c>
      <c r="BT18" s="1" t="s">
        <v>79</v>
      </c>
      <c r="BU18" s="1">
        <v>1</v>
      </c>
      <c r="BV18" s="1">
        <v>2</v>
      </c>
      <c r="BW18" s="1">
        <v>1</v>
      </c>
      <c r="BX18" s="1">
        <v>0</v>
      </c>
      <c r="BY18" s="1">
        <v>0</v>
      </c>
      <c r="BZ18" s="1">
        <v>0</v>
      </c>
      <c r="CA18" s="1">
        <v>0</v>
      </c>
      <c r="CB18" s="1">
        <v>0</v>
      </c>
      <c r="CC18" s="1">
        <v>0</v>
      </c>
      <c r="CD18" s="1">
        <v>0</v>
      </c>
      <c r="CE18" s="1">
        <v>0</v>
      </c>
      <c r="CF18" s="1">
        <v>0</v>
      </c>
      <c r="CG18" s="1">
        <v>0</v>
      </c>
      <c r="CH18" s="1">
        <v>0</v>
      </c>
      <c r="CI18" s="1">
        <v>0</v>
      </c>
      <c r="CJ18" s="1">
        <v>4</v>
      </c>
      <c r="CK18" s="1">
        <v>4</v>
      </c>
      <c r="CL18" s="1">
        <v>4</v>
      </c>
      <c r="CM18" s="1">
        <v>4</v>
      </c>
      <c r="CN18" s="1">
        <v>4</v>
      </c>
      <c r="CO18" s="1">
        <v>4</v>
      </c>
      <c r="CP18" s="1">
        <v>4</v>
      </c>
      <c r="CU18" s="1">
        <v>1</v>
      </c>
    </row>
    <row r="19" spans="1:99" x14ac:dyDescent="0.35">
      <c r="A19" s="1" t="s">
        <v>3913</v>
      </c>
      <c r="B19" s="1">
        <v>175244022</v>
      </c>
      <c r="C19" s="1">
        <v>0</v>
      </c>
      <c r="D19" s="1">
        <v>1</v>
      </c>
      <c r="E19" s="1">
        <v>0</v>
      </c>
      <c r="F19" s="1">
        <v>0</v>
      </c>
      <c r="G19" s="1">
        <v>0</v>
      </c>
      <c r="H19" s="1">
        <v>1</v>
      </c>
      <c r="I19" s="1">
        <v>0</v>
      </c>
      <c r="J19" s="1">
        <v>0</v>
      </c>
      <c r="K19" s="1">
        <v>1</v>
      </c>
      <c r="L19" s="1">
        <v>0</v>
      </c>
      <c r="M19" s="1">
        <v>0</v>
      </c>
      <c r="N19" s="1">
        <v>0</v>
      </c>
      <c r="O19" s="1">
        <v>0</v>
      </c>
      <c r="P19" s="1">
        <v>4</v>
      </c>
      <c r="Q19" s="1">
        <v>4</v>
      </c>
      <c r="R19" s="1">
        <v>2</v>
      </c>
      <c r="S19" s="1">
        <v>1</v>
      </c>
      <c r="T19" s="1">
        <v>1</v>
      </c>
      <c r="U19" s="1">
        <v>3</v>
      </c>
      <c r="V19" s="1">
        <v>3</v>
      </c>
      <c r="W19" s="1">
        <v>3</v>
      </c>
      <c r="X19" s="1">
        <v>3</v>
      </c>
      <c r="Y19" s="1">
        <v>3</v>
      </c>
      <c r="Z19" s="1">
        <v>3</v>
      </c>
      <c r="AA19" s="1">
        <v>3</v>
      </c>
      <c r="AC19" s="1">
        <v>2</v>
      </c>
      <c r="AE19" s="1">
        <v>8</v>
      </c>
      <c r="AF19" s="3">
        <v>1000000</v>
      </c>
      <c r="AG19" s="1">
        <v>14</v>
      </c>
      <c r="AU19" s="1" t="s">
        <v>3914</v>
      </c>
      <c r="BP19" s="1">
        <v>4</v>
      </c>
      <c r="BQ19" s="1" t="s">
        <v>3915</v>
      </c>
      <c r="BR19" s="1" t="s">
        <v>3916</v>
      </c>
      <c r="BS19" s="1" t="s">
        <v>3917</v>
      </c>
      <c r="BT19" s="1" t="s">
        <v>107</v>
      </c>
      <c r="BU19" s="1">
        <v>2</v>
      </c>
      <c r="BV19" s="1">
        <v>2</v>
      </c>
      <c r="BW19" s="1">
        <v>0</v>
      </c>
      <c r="BX19" s="1">
        <v>0</v>
      </c>
      <c r="BY19" s="1">
        <v>1</v>
      </c>
      <c r="BZ19" s="1">
        <v>0</v>
      </c>
      <c r="CA19" s="1">
        <v>0</v>
      </c>
      <c r="CB19" s="1">
        <v>0</v>
      </c>
      <c r="CC19" s="1">
        <v>0</v>
      </c>
      <c r="CD19" s="1">
        <v>0</v>
      </c>
      <c r="CE19" s="1">
        <v>0</v>
      </c>
      <c r="CF19" s="1">
        <v>0</v>
      </c>
      <c r="CG19" s="1">
        <v>0</v>
      </c>
      <c r="CH19" s="1">
        <v>0</v>
      </c>
      <c r="CI19" s="1">
        <v>0</v>
      </c>
      <c r="CJ19" s="1">
        <v>4</v>
      </c>
      <c r="CK19" s="1">
        <v>4</v>
      </c>
      <c r="CL19" s="1">
        <v>3</v>
      </c>
      <c r="CM19" s="1">
        <v>4</v>
      </c>
      <c r="CN19" s="1">
        <v>4</v>
      </c>
      <c r="CO19" s="1">
        <v>4</v>
      </c>
      <c r="CP19" s="1">
        <v>4</v>
      </c>
      <c r="CU19" s="1">
        <v>1</v>
      </c>
    </row>
    <row r="20" spans="1:99" x14ac:dyDescent="0.35">
      <c r="A20" s="1" t="s">
        <v>3918</v>
      </c>
      <c r="B20" s="1">
        <v>175244023</v>
      </c>
      <c r="C20" s="1">
        <v>0</v>
      </c>
      <c r="D20" s="1">
        <v>1</v>
      </c>
      <c r="E20" s="1">
        <v>0</v>
      </c>
      <c r="F20" s="1">
        <v>0</v>
      </c>
      <c r="G20" s="1">
        <v>0</v>
      </c>
      <c r="H20" s="1">
        <v>0</v>
      </c>
      <c r="I20" s="1">
        <v>0</v>
      </c>
      <c r="J20" s="1">
        <v>0</v>
      </c>
      <c r="K20" s="1">
        <v>1</v>
      </c>
      <c r="L20" s="1">
        <v>1</v>
      </c>
      <c r="M20" s="1">
        <v>0</v>
      </c>
      <c r="N20" s="1">
        <v>0</v>
      </c>
      <c r="O20" s="1">
        <v>0</v>
      </c>
      <c r="P20" s="1">
        <v>50</v>
      </c>
      <c r="Q20" s="1">
        <v>10</v>
      </c>
      <c r="R20" s="1">
        <v>3</v>
      </c>
      <c r="S20" s="1">
        <v>3</v>
      </c>
      <c r="T20" s="1">
        <v>1</v>
      </c>
      <c r="U20" s="1">
        <v>4</v>
      </c>
      <c r="V20" s="1">
        <v>3</v>
      </c>
      <c r="W20" s="1">
        <v>3</v>
      </c>
      <c r="X20" s="1">
        <v>4</v>
      </c>
      <c r="Y20" s="1">
        <v>4</v>
      </c>
      <c r="Z20" s="1">
        <v>4</v>
      </c>
      <c r="AA20" s="1">
        <v>4</v>
      </c>
      <c r="AB20" s="1">
        <v>1</v>
      </c>
      <c r="AC20" s="1">
        <v>1</v>
      </c>
      <c r="AD20" s="1">
        <v>0</v>
      </c>
      <c r="AF20" s="3">
        <v>10000000</v>
      </c>
      <c r="AG20" s="1">
        <v>13</v>
      </c>
      <c r="AT20" s="1" t="s">
        <v>86</v>
      </c>
      <c r="BQ20" s="1" t="s">
        <v>3919</v>
      </c>
      <c r="BR20" s="1" t="s">
        <v>385</v>
      </c>
      <c r="BS20" s="1" t="s">
        <v>385</v>
      </c>
      <c r="BT20" s="1" t="s">
        <v>107</v>
      </c>
      <c r="BU20" s="1">
        <v>5</v>
      </c>
      <c r="BV20" s="1">
        <v>4</v>
      </c>
      <c r="BW20" s="1">
        <v>0</v>
      </c>
      <c r="BX20" s="1">
        <v>1</v>
      </c>
      <c r="BY20" s="1">
        <v>1</v>
      </c>
      <c r="BZ20" s="1">
        <v>1</v>
      </c>
      <c r="CA20" s="1">
        <v>0</v>
      </c>
      <c r="CB20" s="1">
        <v>1</v>
      </c>
      <c r="CC20" s="1">
        <v>0</v>
      </c>
      <c r="CD20" s="1">
        <v>1</v>
      </c>
      <c r="CE20" s="1">
        <v>1</v>
      </c>
      <c r="CF20" s="1">
        <v>0</v>
      </c>
      <c r="CG20" s="1">
        <v>0</v>
      </c>
      <c r="CH20" s="1">
        <v>1</v>
      </c>
      <c r="CI20" s="1">
        <v>0</v>
      </c>
      <c r="CJ20" s="1">
        <v>4</v>
      </c>
      <c r="CK20" s="1">
        <v>3</v>
      </c>
      <c r="CL20" s="1">
        <v>4</v>
      </c>
      <c r="CM20" s="1">
        <v>4</v>
      </c>
      <c r="CN20" s="1">
        <v>4</v>
      </c>
      <c r="CO20" s="1">
        <v>4</v>
      </c>
      <c r="CP20" s="1">
        <v>4</v>
      </c>
      <c r="CU20" s="1">
        <v>1</v>
      </c>
    </row>
    <row r="21" spans="1:99" x14ac:dyDescent="0.35">
      <c r="A21" s="1" t="s">
        <v>3920</v>
      </c>
      <c r="B21" s="1">
        <v>175244024</v>
      </c>
      <c r="C21" s="1">
        <v>0</v>
      </c>
      <c r="D21" s="1">
        <v>1</v>
      </c>
      <c r="E21" s="1">
        <v>0</v>
      </c>
      <c r="F21" s="1">
        <v>0</v>
      </c>
      <c r="G21" s="1">
        <v>0</v>
      </c>
      <c r="H21" s="1">
        <v>0</v>
      </c>
      <c r="I21" s="1">
        <v>0</v>
      </c>
      <c r="J21" s="1">
        <v>0</v>
      </c>
      <c r="K21" s="1">
        <v>0</v>
      </c>
      <c r="L21" s="1">
        <v>0</v>
      </c>
      <c r="M21" s="1">
        <v>0</v>
      </c>
      <c r="N21" s="1">
        <v>0</v>
      </c>
      <c r="O21" s="1">
        <v>0</v>
      </c>
      <c r="P21" s="1">
        <v>3</v>
      </c>
      <c r="Q21" s="1">
        <v>1</v>
      </c>
      <c r="R21" s="1">
        <v>0</v>
      </c>
      <c r="S21" s="1">
        <v>1</v>
      </c>
      <c r="T21" s="1">
        <v>1</v>
      </c>
      <c r="U21" s="1">
        <v>4</v>
      </c>
      <c r="V21" s="1">
        <v>3</v>
      </c>
      <c r="W21" s="1">
        <v>3</v>
      </c>
      <c r="X21" s="1">
        <v>4</v>
      </c>
      <c r="Y21" s="1">
        <v>4</v>
      </c>
      <c r="Z21" s="1">
        <v>4</v>
      </c>
      <c r="AA21" s="1">
        <v>4</v>
      </c>
      <c r="AC21" s="1">
        <v>1</v>
      </c>
      <c r="AD21" s="1">
        <v>5</v>
      </c>
      <c r="AF21" s="3">
        <v>2600000</v>
      </c>
      <c r="AG21" s="1">
        <v>13</v>
      </c>
      <c r="AT21" s="1" t="s">
        <v>271</v>
      </c>
      <c r="BP21" s="1">
        <v>1</v>
      </c>
      <c r="BQ21" s="1" t="s">
        <v>3921</v>
      </c>
      <c r="BR21" s="1" t="s">
        <v>3922</v>
      </c>
      <c r="BS21" s="1" t="s">
        <v>3923</v>
      </c>
      <c r="BT21" s="1" t="s">
        <v>79</v>
      </c>
      <c r="BU21" s="1">
        <v>1</v>
      </c>
      <c r="BV21" s="1">
        <v>1</v>
      </c>
      <c r="BW21" s="1">
        <v>1</v>
      </c>
      <c r="BX21" s="1">
        <v>0</v>
      </c>
      <c r="BY21" s="1">
        <v>0</v>
      </c>
      <c r="BZ21" s="1">
        <v>0</v>
      </c>
      <c r="CA21" s="1">
        <v>0</v>
      </c>
      <c r="CB21" s="1">
        <v>0</v>
      </c>
      <c r="CC21" s="1">
        <v>0</v>
      </c>
      <c r="CD21" s="1">
        <v>0</v>
      </c>
      <c r="CE21" s="1">
        <v>0</v>
      </c>
      <c r="CF21" s="1">
        <v>0</v>
      </c>
      <c r="CG21" s="1">
        <v>0</v>
      </c>
      <c r="CH21" s="1">
        <v>0</v>
      </c>
      <c r="CI21" s="1">
        <v>0</v>
      </c>
      <c r="CJ21" s="1">
        <v>4</v>
      </c>
      <c r="CK21" s="1">
        <v>4</v>
      </c>
      <c r="CL21" s="1">
        <v>4</v>
      </c>
      <c r="CM21" s="1">
        <v>4</v>
      </c>
      <c r="CN21" s="1">
        <v>4</v>
      </c>
      <c r="CO21" s="1">
        <v>4</v>
      </c>
      <c r="CP21" s="1">
        <v>4</v>
      </c>
      <c r="CU21" s="1">
        <v>1</v>
      </c>
    </row>
    <row r="22" spans="1:99" x14ac:dyDescent="0.35">
      <c r="A22" s="1" t="s">
        <v>3924</v>
      </c>
      <c r="B22" s="1">
        <v>175244025</v>
      </c>
      <c r="C22" s="1">
        <v>0</v>
      </c>
      <c r="D22" s="1">
        <v>1</v>
      </c>
      <c r="E22" s="1">
        <v>1</v>
      </c>
      <c r="F22" s="1">
        <v>0</v>
      </c>
      <c r="G22" s="1">
        <v>0</v>
      </c>
      <c r="H22" s="1">
        <v>0</v>
      </c>
      <c r="I22" s="1">
        <v>0</v>
      </c>
      <c r="J22" s="1">
        <v>0</v>
      </c>
      <c r="K22" s="1">
        <v>1</v>
      </c>
      <c r="L22" s="1">
        <v>0</v>
      </c>
      <c r="M22" s="1">
        <v>0</v>
      </c>
      <c r="N22" s="1">
        <v>0</v>
      </c>
      <c r="O22" s="1">
        <v>0</v>
      </c>
      <c r="P22" s="1">
        <v>1</v>
      </c>
      <c r="Q22" s="1">
        <v>6</v>
      </c>
      <c r="R22" s="1">
        <v>5</v>
      </c>
      <c r="S22" s="1">
        <v>1</v>
      </c>
      <c r="T22" s="1">
        <v>1</v>
      </c>
      <c r="U22" s="1">
        <v>4</v>
      </c>
      <c r="V22" s="1">
        <v>3</v>
      </c>
      <c r="W22" s="1">
        <v>4</v>
      </c>
      <c r="X22" s="1">
        <v>3</v>
      </c>
      <c r="Y22" s="1">
        <v>4</v>
      </c>
      <c r="Z22" s="1">
        <v>4</v>
      </c>
      <c r="AA22" s="1">
        <v>4</v>
      </c>
      <c r="AC22" s="1">
        <v>1</v>
      </c>
      <c r="AD22" s="1">
        <v>0</v>
      </c>
      <c r="AE22" s="1">
        <v>0</v>
      </c>
      <c r="AF22" s="3">
        <v>4000000</v>
      </c>
      <c r="AG22" s="1">
        <v>13</v>
      </c>
      <c r="AT22" s="1" t="s">
        <v>271</v>
      </c>
      <c r="BP22" s="1">
        <v>1</v>
      </c>
      <c r="BQ22" s="1" t="s">
        <v>3925</v>
      </c>
      <c r="BR22" s="1" t="s">
        <v>3926</v>
      </c>
      <c r="BS22" s="1" t="s">
        <v>3927</v>
      </c>
      <c r="BT22" s="1" t="s">
        <v>107</v>
      </c>
      <c r="BU22" s="1">
        <v>4</v>
      </c>
      <c r="BV22" s="1">
        <v>3</v>
      </c>
      <c r="BW22" s="1">
        <v>0</v>
      </c>
      <c r="BX22" s="1">
        <v>0</v>
      </c>
      <c r="BY22" s="1">
        <v>0</v>
      </c>
      <c r="BZ22" s="1">
        <v>0</v>
      </c>
      <c r="CA22" s="1">
        <v>0</v>
      </c>
      <c r="CB22" s="1">
        <v>0</v>
      </c>
      <c r="CC22" s="1">
        <v>0</v>
      </c>
      <c r="CD22" s="1">
        <v>0</v>
      </c>
      <c r="CE22" s="1">
        <v>1</v>
      </c>
      <c r="CF22" s="1">
        <v>1</v>
      </c>
      <c r="CG22" s="1">
        <v>0</v>
      </c>
      <c r="CH22" s="1">
        <v>1</v>
      </c>
      <c r="CI22" s="1">
        <v>0</v>
      </c>
      <c r="CJ22" s="1">
        <v>4</v>
      </c>
      <c r="CK22" s="1">
        <v>3</v>
      </c>
      <c r="CL22" s="1">
        <v>4</v>
      </c>
      <c r="CM22" s="1">
        <v>4</v>
      </c>
      <c r="CN22" s="1">
        <v>4</v>
      </c>
      <c r="CO22" s="1">
        <v>4</v>
      </c>
      <c r="CP22" s="1">
        <v>4</v>
      </c>
      <c r="CU22" s="1">
        <v>4</v>
      </c>
    </row>
    <row r="23" spans="1:99" x14ac:dyDescent="0.35">
      <c r="A23" s="1" t="s">
        <v>3928</v>
      </c>
      <c r="B23" s="1">
        <v>175244028</v>
      </c>
      <c r="C23" s="1">
        <v>0</v>
      </c>
      <c r="D23" s="1">
        <v>1</v>
      </c>
      <c r="E23" s="1">
        <v>0</v>
      </c>
      <c r="F23" s="1">
        <v>0</v>
      </c>
      <c r="G23" s="1">
        <v>0</v>
      </c>
      <c r="H23" s="1">
        <v>0</v>
      </c>
      <c r="I23" s="1">
        <v>0</v>
      </c>
      <c r="J23" s="1">
        <v>0</v>
      </c>
      <c r="K23" s="1">
        <v>0</v>
      </c>
      <c r="L23" s="1">
        <v>0</v>
      </c>
      <c r="M23" s="1">
        <v>0</v>
      </c>
      <c r="N23" s="1">
        <v>0</v>
      </c>
      <c r="O23" s="1">
        <v>0</v>
      </c>
      <c r="P23" s="1">
        <v>4</v>
      </c>
      <c r="Q23" s="1">
        <v>2</v>
      </c>
      <c r="R23" s="1">
        <v>1</v>
      </c>
      <c r="S23" s="1">
        <v>5</v>
      </c>
      <c r="T23" s="1">
        <v>1</v>
      </c>
      <c r="U23" s="1">
        <v>4</v>
      </c>
      <c r="V23" s="1">
        <v>3</v>
      </c>
      <c r="W23" s="1">
        <v>3</v>
      </c>
      <c r="X23" s="1">
        <v>3</v>
      </c>
      <c r="Y23" s="1">
        <v>3</v>
      </c>
      <c r="Z23" s="1">
        <v>4</v>
      </c>
      <c r="AA23" s="1">
        <v>3</v>
      </c>
      <c r="CU23" s="1">
        <v>4</v>
      </c>
    </row>
    <row r="24" spans="1:99" x14ac:dyDescent="0.35">
      <c r="A24" s="1" t="s">
        <v>3929</v>
      </c>
      <c r="B24" s="1">
        <v>175244029</v>
      </c>
      <c r="C24" s="1">
        <v>1</v>
      </c>
      <c r="D24" s="1">
        <v>1</v>
      </c>
      <c r="E24" s="1">
        <v>0</v>
      </c>
      <c r="F24" s="1">
        <v>0</v>
      </c>
      <c r="G24" s="1">
        <v>1</v>
      </c>
      <c r="H24" s="1">
        <v>0</v>
      </c>
      <c r="I24" s="1">
        <v>1</v>
      </c>
      <c r="J24" s="1">
        <v>0</v>
      </c>
      <c r="K24" s="1">
        <v>1</v>
      </c>
      <c r="L24" s="1">
        <v>0</v>
      </c>
      <c r="M24" s="1">
        <v>0</v>
      </c>
      <c r="N24" s="1">
        <v>0</v>
      </c>
      <c r="O24" s="1">
        <v>0</v>
      </c>
      <c r="P24" s="1" t="s">
        <v>3930</v>
      </c>
      <c r="Q24" s="1">
        <v>10</v>
      </c>
      <c r="R24" s="1">
        <v>6</v>
      </c>
      <c r="S24" s="1">
        <v>1</v>
      </c>
      <c r="T24" s="1">
        <v>1</v>
      </c>
      <c r="U24" s="1">
        <v>4</v>
      </c>
      <c r="V24" s="1">
        <v>4</v>
      </c>
      <c r="W24" s="1">
        <v>3</v>
      </c>
      <c r="X24" s="1">
        <v>3</v>
      </c>
      <c r="Y24" s="1">
        <v>4</v>
      </c>
      <c r="Z24" s="1">
        <v>4</v>
      </c>
      <c r="AA24" s="1">
        <v>4</v>
      </c>
      <c r="AC24" s="1">
        <v>1</v>
      </c>
      <c r="AD24" s="1">
        <v>2</v>
      </c>
      <c r="AF24" s="3">
        <v>5000000</v>
      </c>
      <c r="AG24" s="1">
        <v>13</v>
      </c>
      <c r="AT24" s="1" t="s">
        <v>750</v>
      </c>
      <c r="BP24" s="1" t="s">
        <v>3931</v>
      </c>
      <c r="BQ24" s="1" t="s">
        <v>3932</v>
      </c>
      <c r="BR24" s="1" t="s">
        <v>3933</v>
      </c>
      <c r="BS24" s="1" t="s">
        <v>3934</v>
      </c>
      <c r="BT24" s="1" t="s">
        <v>107</v>
      </c>
      <c r="BU24" s="1">
        <v>2</v>
      </c>
      <c r="BV24" s="1">
        <v>2</v>
      </c>
      <c r="BW24" s="1">
        <v>1</v>
      </c>
      <c r="BX24" s="1">
        <v>0</v>
      </c>
      <c r="BY24" s="1">
        <v>0</v>
      </c>
      <c r="BZ24" s="1">
        <v>0</v>
      </c>
      <c r="CA24" s="1">
        <v>0</v>
      </c>
      <c r="CB24" s="1">
        <v>0</v>
      </c>
      <c r="CC24" s="1">
        <v>0</v>
      </c>
      <c r="CD24" s="1">
        <v>0</v>
      </c>
      <c r="CE24" s="1">
        <v>0</v>
      </c>
      <c r="CF24" s="1">
        <v>0</v>
      </c>
      <c r="CG24" s="1">
        <v>0</v>
      </c>
      <c r="CH24" s="1">
        <v>0</v>
      </c>
      <c r="CI24" s="1">
        <v>0</v>
      </c>
      <c r="CJ24" s="1">
        <v>4</v>
      </c>
      <c r="CK24" s="1">
        <v>4</v>
      </c>
      <c r="CL24" s="1">
        <v>2</v>
      </c>
      <c r="CM24" s="1">
        <v>4</v>
      </c>
      <c r="CN24" s="1">
        <v>4</v>
      </c>
      <c r="CO24" s="1">
        <v>4</v>
      </c>
      <c r="CP24" s="1">
        <v>4</v>
      </c>
      <c r="CU24" s="1">
        <v>1</v>
      </c>
    </row>
    <row r="25" spans="1:99" x14ac:dyDescent="0.35">
      <c r="A25" s="1" t="s">
        <v>3935</v>
      </c>
      <c r="B25" s="1">
        <v>175244030</v>
      </c>
      <c r="S25" s="1">
        <v>3</v>
      </c>
      <c r="T25" s="1">
        <v>1</v>
      </c>
      <c r="U25" s="1">
        <v>4</v>
      </c>
      <c r="V25" s="1">
        <v>4</v>
      </c>
      <c r="W25" s="1">
        <v>2</v>
      </c>
      <c r="X25" s="1">
        <v>4</v>
      </c>
      <c r="Y25" s="1">
        <v>4</v>
      </c>
      <c r="Z25" s="1">
        <v>4</v>
      </c>
      <c r="AA25" s="1">
        <v>4</v>
      </c>
      <c r="AB25" s="1" t="s">
        <v>3936</v>
      </c>
      <c r="AC25" s="1">
        <v>1</v>
      </c>
      <c r="AD25" s="1">
        <v>0</v>
      </c>
      <c r="AE25" s="1">
        <v>0</v>
      </c>
      <c r="AF25" s="3">
        <v>10000000</v>
      </c>
      <c r="AG25" s="1">
        <v>13</v>
      </c>
      <c r="AT25" s="1" t="s">
        <v>93</v>
      </c>
      <c r="BP25" s="1">
        <v>4</v>
      </c>
      <c r="BQ25" s="1" t="s">
        <v>3937</v>
      </c>
      <c r="BR25" s="1" t="s">
        <v>3938</v>
      </c>
      <c r="BS25" s="1" t="s">
        <v>3939</v>
      </c>
      <c r="BT25" s="1" t="s">
        <v>107</v>
      </c>
      <c r="BU25" s="1">
        <v>4</v>
      </c>
      <c r="BV25" s="1">
        <v>2</v>
      </c>
      <c r="BW25" s="1">
        <v>0</v>
      </c>
      <c r="BX25" s="1">
        <v>0</v>
      </c>
      <c r="BY25" s="1">
        <v>0</v>
      </c>
      <c r="BZ25" s="1">
        <v>0</v>
      </c>
      <c r="CA25" s="1">
        <v>0</v>
      </c>
      <c r="CB25" s="1">
        <v>0</v>
      </c>
      <c r="CC25" s="1">
        <v>0</v>
      </c>
      <c r="CD25" s="1">
        <v>0</v>
      </c>
      <c r="CE25" s="1">
        <v>0</v>
      </c>
      <c r="CF25" s="1">
        <v>1</v>
      </c>
      <c r="CG25" s="1">
        <v>0</v>
      </c>
      <c r="CH25" s="1">
        <v>0</v>
      </c>
      <c r="CI25" s="1" t="s">
        <v>3940</v>
      </c>
      <c r="CJ25" s="1">
        <v>4</v>
      </c>
      <c r="CK25" s="1">
        <v>4</v>
      </c>
      <c r="CL25" s="1">
        <v>2</v>
      </c>
      <c r="CM25" s="1">
        <v>4</v>
      </c>
      <c r="CN25" s="1">
        <v>4</v>
      </c>
      <c r="CO25" s="1">
        <v>4</v>
      </c>
      <c r="CP25" s="1">
        <v>4</v>
      </c>
      <c r="CU25" s="1">
        <v>1</v>
      </c>
    </row>
    <row r="26" spans="1:99" x14ac:dyDescent="0.35">
      <c r="A26" s="1" t="s">
        <v>3941</v>
      </c>
      <c r="B26" s="1">
        <v>175244031</v>
      </c>
      <c r="C26" s="1">
        <v>1</v>
      </c>
      <c r="D26" s="1">
        <v>1</v>
      </c>
      <c r="E26" s="1">
        <v>0</v>
      </c>
      <c r="F26" s="1">
        <v>0</v>
      </c>
      <c r="G26" s="1">
        <v>1</v>
      </c>
      <c r="H26" s="1">
        <v>0</v>
      </c>
      <c r="I26" s="1">
        <v>0</v>
      </c>
      <c r="J26" s="1">
        <v>1</v>
      </c>
      <c r="K26" s="1">
        <v>0</v>
      </c>
      <c r="L26" s="1">
        <v>0</v>
      </c>
      <c r="M26" s="1">
        <v>0</v>
      </c>
      <c r="N26" s="1">
        <v>0</v>
      </c>
      <c r="O26" s="1">
        <v>0</v>
      </c>
      <c r="P26" s="1">
        <v>10</v>
      </c>
      <c r="Q26" s="1">
        <v>4</v>
      </c>
      <c r="R26" s="1">
        <v>3</v>
      </c>
      <c r="S26" s="1">
        <v>5</v>
      </c>
      <c r="T26" s="1">
        <v>1</v>
      </c>
      <c r="U26" s="1">
        <v>4</v>
      </c>
      <c r="V26" s="1">
        <v>4</v>
      </c>
      <c r="W26" s="1">
        <v>3</v>
      </c>
      <c r="X26" s="1">
        <v>4</v>
      </c>
      <c r="Y26" s="1">
        <v>4</v>
      </c>
      <c r="Z26" s="1">
        <v>4</v>
      </c>
      <c r="AA26" s="1">
        <v>4</v>
      </c>
      <c r="CU26" s="1">
        <v>4</v>
      </c>
    </row>
    <row r="27" spans="1:99" x14ac:dyDescent="0.35">
      <c r="A27" s="1" t="s">
        <v>3942</v>
      </c>
      <c r="B27" s="1">
        <v>175244032</v>
      </c>
      <c r="S27" s="1">
        <v>3</v>
      </c>
      <c r="T27" s="1">
        <v>1</v>
      </c>
      <c r="U27" s="1">
        <v>4</v>
      </c>
      <c r="V27" s="1">
        <v>3</v>
      </c>
      <c r="W27" s="1">
        <v>3</v>
      </c>
      <c r="X27" s="1">
        <v>3</v>
      </c>
      <c r="Y27" s="1">
        <v>4</v>
      </c>
      <c r="Z27" s="1">
        <v>4</v>
      </c>
      <c r="AA27" s="1">
        <v>4</v>
      </c>
      <c r="AB27" s="1">
        <v>1</v>
      </c>
      <c r="AC27" s="1">
        <v>1</v>
      </c>
      <c r="AD27" s="1">
        <v>0</v>
      </c>
      <c r="AF27" s="3">
        <v>5000000</v>
      </c>
      <c r="AG27" s="1">
        <v>13</v>
      </c>
      <c r="AT27" s="1" t="s">
        <v>86</v>
      </c>
      <c r="BP27" s="1">
        <v>4</v>
      </c>
      <c r="BQ27" s="1" t="s">
        <v>3943</v>
      </c>
      <c r="BR27" s="1" t="s">
        <v>3944</v>
      </c>
      <c r="BS27" s="1" t="s">
        <v>3945</v>
      </c>
      <c r="BT27" s="1" t="s">
        <v>107</v>
      </c>
      <c r="BU27" s="1">
        <v>3</v>
      </c>
      <c r="BV27" s="1">
        <v>2</v>
      </c>
      <c r="BW27" s="1">
        <v>0</v>
      </c>
      <c r="BX27" s="1">
        <v>0</v>
      </c>
      <c r="BY27" s="1">
        <v>1</v>
      </c>
      <c r="BZ27" s="1">
        <v>0</v>
      </c>
      <c r="CA27" s="1">
        <v>0</v>
      </c>
      <c r="CB27" s="1">
        <v>1</v>
      </c>
      <c r="CC27" s="1">
        <v>0</v>
      </c>
      <c r="CD27" s="1">
        <v>1</v>
      </c>
      <c r="CE27" s="1">
        <v>1</v>
      </c>
      <c r="CF27" s="1">
        <v>0</v>
      </c>
      <c r="CG27" s="1">
        <v>0</v>
      </c>
      <c r="CH27" s="1">
        <v>0</v>
      </c>
      <c r="CI27" s="1">
        <v>0</v>
      </c>
      <c r="CJ27" s="1">
        <v>4</v>
      </c>
      <c r="CK27" s="1">
        <v>2</v>
      </c>
      <c r="CL27" s="1">
        <v>3</v>
      </c>
      <c r="CM27" s="1">
        <v>3</v>
      </c>
      <c r="CN27" s="1">
        <v>4</v>
      </c>
      <c r="CO27" s="1">
        <v>4</v>
      </c>
      <c r="CP27" s="1">
        <v>4</v>
      </c>
      <c r="CU27" s="1">
        <v>1</v>
      </c>
    </row>
    <row r="28" spans="1:99" x14ac:dyDescent="0.35">
      <c r="A28" s="1" t="s">
        <v>3946</v>
      </c>
      <c r="B28" s="1">
        <v>175244038</v>
      </c>
      <c r="C28" s="1">
        <v>0</v>
      </c>
      <c r="D28" s="1">
        <v>1</v>
      </c>
      <c r="E28" s="1">
        <v>0</v>
      </c>
      <c r="F28" s="1">
        <v>0</v>
      </c>
      <c r="G28" s="1">
        <v>0</v>
      </c>
      <c r="H28" s="1">
        <v>1</v>
      </c>
      <c r="I28" s="1">
        <v>0</v>
      </c>
      <c r="J28" s="1">
        <v>0</v>
      </c>
      <c r="K28" s="1">
        <v>0</v>
      </c>
      <c r="L28" s="1">
        <v>0</v>
      </c>
      <c r="M28" s="1">
        <v>0</v>
      </c>
      <c r="N28" s="1">
        <v>0</v>
      </c>
      <c r="O28" s="1">
        <v>0</v>
      </c>
      <c r="P28" s="1">
        <v>48</v>
      </c>
      <c r="Q28" s="1">
        <v>0</v>
      </c>
      <c r="R28" s="1">
        <v>0</v>
      </c>
      <c r="S28" s="1">
        <v>1</v>
      </c>
      <c r="T28" s="1">
        <v>1</v>
      </c>
      <c r="U28" s="1">
        <v>4</v>
      </c>
      <c r="V28" s="1">
        <v>4</v>
      </c>
      <c r="W28" s="1">
        <v>3</v>
      </c>
      <c r="X28" s="1">
        <v>4</v>
      </c>
      <c r="Y28" s="1">
        <v>4</v>
      </c>
      <c r="Z28" s="1">
        <v>4</v>
      </c>
      <c r="AA28" s="1">
        <v>4</v>
      </c>
      <c r="AC28" s="1">
        <v>2</v>
      </c>
      <c r="AE28" s="1">
        <v>8</v>
      </c>
      <c r="AF28" s="3">
        <v>3250000</v>
      </c>
      <c r="AG28" s="1">
        <v>13</v>
      </c>
      <c r="AT28" s="1" t="s">
        <v>86</v>
      </c>
      <c r="BP28" s="1">
        <v>3</v>
      </c>
      <c r="BQ28" s="1" t="s">
        <v>3947</v>
      </c>
      <c r="BR28" s="1" t="s">
        <v>3948</v>
      </c>
      <c r="BS28" s="1" t="s">
        <v>3949</v>
      </c>
      <c r="BT28" s="1" t="s">
        <v>79</v>
      </c>
      <c r="BU28" s="1">
        <v>4</v>
      </c>
      <c r="BV28" s="1">
        <v>2</v>
      </c>
      <c r="BW28" s="1">
        <v>0</v>
      </c>
      <c r="BX28" s="1">
        <v>1</v>
      </c>
      <c r="BY28" s="1">
        <v>0</v>
      </c>
      <c r="BZ28" s="1">
        <v>0</v>
      </c>
      <c r="CA28" s="1">
        <v>0</v>
      </c>
      <c r="CB28" s="1">
        <v>0</v>
      </c>
      <c r="CC28" s="1">
        <v>0</v>
      </c>
      <c r="CD28" s="1">
        <v>0</v>
      </c>
      <c r="CE28" s="1">
        <v>0</v>
      </c>
      <c r="CF28" s="1">
        <v>1</v>
      </c>
      <c r="CG28" s="1">
        <v>0</v>
      </c>
      <c r="CH28" s="1">
        <v>1</v>
      </c>
      <c r="CI28" s="1">
        <v>0</v>
      </c>
      <c r="CJ28" s="1">
        <v>4</v>
      </c>
      <c r="CK28" s="1">
        <v>4</v>
      </c>
      <c r="CL28" s="1">
        <v>4</v>
      </c>
      <c r="CM28" s="1">
        <v>4</v>
      </c>
      <c r="CN28" s="1">
        <v>4</v>
      </c>
      <c r="CO28" s="1">
        <v>4</v>
      </c>
      <c r="CP28" s="1">
        <v>4</v>
      </c>
      <c r="CU28" s="1">
        <v>2</v>
      </c>
    </row>
    <row r="29" spans="1:99" x14ac:dyDescent="0.35">
      <c r="A29" s="1" t="s">
        <v>3950</v>
      </c>
      <c r="B29" s="1">
        <v>175244039</v>
      </c>
      <c r="C29" s="1">
        <v>0</v>
      </c>
      <c r="D29" s="1">
        <v>1</v>
      </c>
      <c r="E29" s="1">
        <v>0</v>
      </c>
      <c r="F29" s="1">
        <v>0</v>
      </c>
      <c r="G29" s="1">
        <v>0</v>
      </c>
      <c r="H29" s="1">
        <v>0</v>
      </c>
      <c r="I29" s="1">
        <v>0</v>
      </c>
      <c r="J29" s="1">
        <v>0</v>
      </c>
      <c r="K29" s="1">
        <v>0</v>
      </c>
      <c r="L29" s="1">
        <v>0</v>
      </c>
      <c r="M29" s="1">
        <v>0</v>
      </c>
      <c r="N29" s="1">
        <v>0</v>
      </c>
      <c r="O29" s="1">
        <v>0</v>
      </c>
      <c r="P29" s="1">
        <v>100</v>
      </c>
      <c r="Q29" s="1">
        <v>5</v>
      </c>
      <c r="R29" s="1">
        <v>5</v>
      </c>
      <c r="S29" s="1">
        <v>1</v>
      </c>
      <c r="T29" s="1">
        <v>1</v>
      </c>
      <c r="U29" s="1">
        <v>4</v>
      </c>
      <c r="V29" s="1">
        <v>4</v>
      </c>
      <c r="W29" s="1">
        <v>4</v>
      </c>
      <c r="X29" s="1">
        <v>4</v>
      </c>
      <c r="Y29" s="1">
        <v>4</v>
      </c>
      <c r="Z29" s="1">
        <v>4</v>
      </c>
      <c r="AA29" s="1">
        <v>4</v>
      </c>
      <c r="AC29" s="1">
        <v>1</v>
      </c>
      <c r="AD29" s="1">
        <v>1</v>
      </c>
      <c r="AF29" s="3">
        <v>4000000</v>
      </c>
      <c r="AG29" s="1">
        <v>13</v>
      </c>
      <c r="AT29" s="1" t="s">
        <v>86</v>
      </c>
      <c r="BP29" s="1" t="s">
        <v>3951</v>
      </c>
      <c r="BQ29" s="1" t="s">
        <v>3952</v>
      </c>
      <c r="BR29" s="1" t="s">
        <v>3953</v>
      </c>
      <c r="BT29" s="1" t="s">
        <v>73</v>
      </c>
      <c r="BU29" s="1">
        <v>3</v>
      </c>
      <c r="BV29" s="1">
        <v>2</v>
      </c>
      <c r="BW29" s="1">
        <v>0</v>
      </c>
      <c r="BX29" s="1">
        <v>1</v>
      </c>
      <c r="BY29" s="1">
        <v>0</v>
      </c>
      <c r="BZ29" s="1">
        <v>0</v>
      </c>
      <c r="CA29" s="1">
        <v>0</v>
      </c>
      <c r="CB29" s="1">
        <v>0</v>
      </c>
      <c r="CC29" s="1">
        <v>0</v>
      </c>
      <c r="CD29" s="1">
        <v>0</v>
      </c>
      <c r="CE29" s="1">
        <v>0</v>
      </c>
      <c r="CF29" s="1">
        <v>0</v>
      </c>
      <c r="CG29" s="1">
        <v>0</v>
      </c>
      <c r="CH29" s="1">
        <v>0</v>
      </c>
      <c r="CI29" s="1">
        <v>0</v>
      </c>
      <c r="CJ29" s="1">
        <v>4</v>
      </c>
      <c r="CK29" s="1">
        <v>4</v>
      </c>
      <c r="CL29" s="1">
        <v>4</v>
      </c>
      <c r="CM29" s="1">
        <v>4</v>
      </c>
      <c r="CN29" s="1">
        <v>4</v>
      </c>
      <c r="CO29" s="1">
        <v>4</v>
      </c>
      <c r="CP29" s="1">
        <v>4</v>
      </c>
      <c r="CU29" s="1">
        <v>4</v>
      </c>
    </row>
    <row r="30" spans="1:99" x14ac:dyDescent="0.35">
      <c r="A30" s="1" t="s">
        <v>3954</v>
      </c>
      <c r="B30" s="1">
        <v>175244042</v>
      </c>
      <c r="C30" s="1">
        <v>1</v>
      </c>
      <c r="D30" s="1">
        <v>1</v>
      </c>
      <c r="E30" s="1">
        <v>0</v>
      </c>
      <c r="F30" s="1">
        <v>0</v>
      </c>
      <c r="G30" s="1">
        <v>0</v>
      </c>
      <c r="H30" s="1">
        <v>0</v>
      </c>
      <c r="I30" s="1">
        <v>0</v>
      </c>
      <c r="J30" s="1">
        <v>1</v>
      </c>
      <c r="K30" s="1">
        <v>1</v>
      </c>
      <c r="L30" s="1">
        <v>0</v>
      </c>
      <c r="M30" s="1">
        <v>0</v>
      </c>
      <c r="N30" s="1">
        <v>0</v>
      </c>
      <c r="O30" s="1">
        <v>0</v>
      </c>
      <c r="P30" s="1">
        <v>100</v>
      </c>
      <c r="Q30" s="1">
        <v>50</v>
      </c>
      <c r="R30" s="1">
        <v>25</v>
      </c>
      <c r="S30" s="1">
        <v>1</v>
      </c>
      <c r="T30" s="1">
        <v>1</v>
      </c>
      <c r="U30" s="1">
        <v>4</v>
      </c>
      <c r="V30" s="1">
        <v>4</v>
      </c>
      <c r="W30" s="1">
        <v>3</v>
      </c>
      <c r="X30" s="1">
        <v>4</v>
      </c>
      <c r="Y30" s="1">
        <v>3</v>
      </c>
      <c r="Z30" s="1">
        <v>3</v>
      </c>
      <c r="AA30" s="1">
        <v>4</v>
      </c>
      <c r="AC30" s="1">
        <v>2</v>
      </c>
      <c r="AE30" s="1">
        <v>1</v>
      </c>
      <c r="AF30" s="3">
        <v>4000000</v>
      </c>
      <c r="AG30" s="1">
        <v>11</v>
      </c>
      <c r="AR30" s="1" t="s">
        <v>130</v>
      </c>
      <c r="BP30" s="1">
        <v>3</v>
      </c>
      <c r="BQ30" s="1" t="s">
        <v>1131</v>
      </c>
      <c r="BR30" s="1" t="s">
        <v>3955</v>
      </c>
      <c r="BS30" s="1" t="s">
        <v>3956</v>
      </c>
      <c r="BT30" s="1" t="s">
        <v>79</v>
      </c>
      <c r="BU30" s="1">
        <v>1</v>
      </c>
      <c r="BV30" s="1">
        <v>2</v>
      </c>
      <c r="BW30" s="1">
        <v>1</v>
      </c>
      <c r="BX30" s="1">
        <v>0</v>
      </c>
      <c r="BY30" s="1">
        <v>0</v>
      </c>
      <c r="BZ30" s="1">
        <v>0</v>
      </c>
      <c r="CA30" s="1">
        <v>0</v>
      </c>
      <c r="CB30" s="1">
        <v>0</v>
      </c>
      <c r="CC30" s="1">
        <v>0</v>
      </c>
      <c r="CD30" s="1">
        <v>0</v>
      </c>
      <c r="CE30" s="1">
        <v>0</v>
      </c>
      <c r="CF30" s="1">
        <v>0</v>
      </c>
      <c r="CG30" s="1">
        <v>0</v>
      </c>
      <c r="CH30" s="1">
        <v>0</v>
      </c>
      <c r="CI30" s="1">
        <v>0</v>
      </c>
      <c r="CJ30" s="1">
        <v>4</v>
      </c>
      <c r="CK30" s="1">
        <v>4</v>
      </c>
      <c r="CL30" s="1">
        <v>4</v>
      </c>
      <c r="CM30" s="1">
        <v>4</v>
      </c>
      <c r="CN30" s="1">
        <v>4</v>
      </c>
      <c r="CO30" s="1">
        <v>4</v>
      </c>
      <c r="CP30" s="1">
        <v>4</v>
      </c>
      <c r="CU30" s="1">
        <v>1</v>
      </c>
    </row>
    <row r="31" spans="1:99" x14ac:dyDescent="0.35">
      <c r="A31" s="1" t="s">
        <v>3957</v>
      </c>
      <c r="B31" s="1">
        <v>175244043</v>
      </c>
      <c r="C31" s="1">
        <v>0</v>
      </c>
      <c r="D31" s="1">
        <v>1</v>
      </c>
      <c r="E31" s="1">
        <v>0</v>
      </c>
      <c r="F31" s="1">
        <v>0</v>
      </c>
      <c r="G31" s="1">
        <v>0</v>
      </c>
      <c r="H31" s="1">
        <v>0</v>
      </c>
      <c r="I31" s="1">
        <v>1</v>
      </c>
      <c r="J31" s="1">
        <v>0</v>
      </c>
      <c r="K31" s="1">
        <v>0</v>
      </c>
      <c r="L31" s="1">
        <v>0</v>
      </c>
      <c r="M31" s="1">
        <v>1</v>
      </c>
      <c r="N31" s="1">
        <v>1</v>
      </c>
      <c r="O31" s="1">
        <v>0</v>
      </c>
      <c r="P31" s="1">
        <v>300</v>
      </c>
      <c r="Q31" s="1">
        <v>15</v>
      </c>
      <c r="R31" s="1">
        <v>15</v>
      </c>
      <c r="S31" s="1">
        <v>1</v>
      </c>
      <c r="T31" s="1">
        <v>1</v>
      </c>
      <c r="U31" s="1">
        <v>4</v>
      </c>
      <c r="V31" s="1">
        <v>3</v>
      </c>
      <c r="W31" s="1">
        <v>3</v>
      </c>
      <c r="X31" s="1">
        <v>3</v>
      </c>
      <c r="Y31" s="1">
        <v>3</v>
      </c>
      <c r="Z31" s="1">
        <v>4</v>
      </c>
      <c r="AA31" s="1">
        <v>4</v>
      </c>
      <c r="AC31" s="1">
        <v>1</v>
      </c>
      <c r="AD31" s="1">
        <v>4</v>
      </c>
      <c r="AF31" s="3">
        <v>3000000</v>
      </c>
      <c r="AG31" s="1">
        <v>11</v>
      </c>
      <c r="AR31" s="1" t="s">
        <v>130</v>
      </c>
      <c r="BP31" s="1">
        <v>3</v>
      </c>
      <c r="BQ31" s="1" t="s">
        <v>3958</v>
      </c>
      <c r="BR31" s="1" t="s">
        <v>3959</v>
      </c>
      <c r="BS31" s="1" t="s">
        <v>3960</v>
      </c>
      <c r="BT31" s="1" t="s">
        <v>73</v>
      </c>
      <c r="BU31" s="1">
        <v>3</v>
      </c>
      <c r="BV31" s="1">
        <v>2</v>
      </c>
      <c r="BW31" s="1">
        <v>0</v>
      </c>
      <c r="BX31" s="1">
        <v>0</v>
      </c>
      <c r="BY31" s="1">
        <v>0</v>
      </c>
      <c r="BZ31" s="1">
        <v>0</v>
      </c>
      <c r="CA31" s="1">
        <v>0</v>
      </c>
      <c r="CB31" s="1">
        <v>0</v>
      </c>
      <c r="CC31" s="1">
        <v>0</v>
      </c>
      <c r="CD31" s="1">
        <v>1</v>
      </c>
      <c r="CE31" s="1">
        <v>0</v>
      </c>
      <c r="CF31" s="1">
        <v>0</v>
      </c>
      <c r="CG31" s="1">
        <v>0</v>
      </c>
      <c r="CH31" s="1">
        <v>0</v>
      </c>
      <c r="CI31" s="1">
        <v>0</v>
      </c>
      <c r="CJ31" s="1">
        <v>4</v>
      </c>
      <c r="CK31" s="1">
        <v>4</v>
      </c>
      <c r="CL31" s="1">
        <v>4</v>
      </c>
      <c r="CM31" s="1">
        <v>4</v>
      </c>
      <c r="CN31" s="1">
        <v>4</v>
      </c>
      <c r="CO31" s="1">
        <v>4</v>
      </c>
      <c r="CP31" s="1">
        <v>4</v>
      </c>
      <c r="CU31" s="1">
        <v>3</v>
      </c>
    </row>
    <row r="32" spans="1:99" x14ac:dyDescent="0.35">
      <c r="A32" s="1" t="s">
        <v>3961</v>
      </c>
      <c r="B32" s="1">
        <v>175244045</v>
      </c>
      <c r="C32" s="1">
        <v>0</v>
      </c>
      <c r="D32" s="1">
        <v>1</v>
      </c>
      <c r="E32" s="1">
        <v>0</v>
      </c>
      <c r="F32" s="1">
        <v>0</v>
      </c>
      <c r="G32" s="1">
        <v>0</v>
      </c>
      <c r="H32" s="1">
        <v>0</v>
      </c>
      <c r="I32" s="1">
        <v>0</v>
      </c>
      <c r="J32" s="1">
        <v>0</v>
      </c>
      <c r="K32" s="1">
        <v>1</v>
      </c>
      <c r="L32" s="1">
        <v>0</v>
      </c>
      <c r="M32" s="1">
        <v>0</v>
      </c>
      <c r="N32" s="1">
        <v>0</v>
      </c>
      <c r="O32" s="1">
        <v>0</v>
      </c>
      <c r="P32" s="1">
        <v>10</v>
      </c>
      <c r="Q32" s="1">
        <v>1</v>
      </c>
      <c r="R32" s="1">
        <v>0</v>
      </c>
      <c r="S32" s="1">
        <v>1</v>
      </c>
      <c r="T32" s="1">
        <v>3</v>
      </c>
      <c r="U32" s="1">
        <v>4</v>
      </c>
      <c r="V32" s="1">
        <v>3</v>
      </c>
      <c r="W32" s="1">
        <v>2</v>
      </c>
      <c r="X32" s="1">
        <v>3</v>
      </c>
      <c r="Y32" s="1">
        <v>4</v>
      </c>
      <c r="Z32" s="1">
        <v>3</v>
      </c>
      <c r="AA32" s="1">
        <v>3</v>
      </c>
      <c r="AC32" s="1">
        <v>1</v>
      </c>
      <c r="AD32" s="1">
        <v>3</v>
      </c>
      <c r="AE32" s="1">
        <v>3</v>
      </c>
      <c r="AF32" s="3">
        <v>3500000</v>
      </c>
      <c r="AG32" s="1">
        <v>13</v>
      </c>
      <c r="AT32" s="1" t="s">
        <v>86</v>
      </c>
      <c r="BP32" s="1">
        <v>3</v>
      </c>
      <c r="BQ32" s="1" t="s">
        <v>3962</v>
      </c>
      <c r="BR32" s="1" t="s">
        <v>3963</v>
      </c>
      <c r="BS32" s="1" t="s">
        <v>3964</v>
      </c>
      <c r="BT32" s="1" t="s">
        <v>79</v>
      </c>
      <c r="BU32" s="1">
        <v>2</v>
      </c>
      <c r="BV32" s="1">
        <v>2</v>
      </c>
      <c r="BW32" s="1">
        <v>0</v>
      </c>
      <c r="BX32" s="1">
        <v>0</v>
      </c>
      <c r="BY32" s="1">
        <v>0</v>
      </c>
      <c r="BZ32" s="1">
        <v>0</v>
      </c>
      <c r="CA32" s="1">
        <v>0</v>
      </c>
      <c r="CB32" s="1">
        <v>0</v>
      </c>
      <c r="CC32" s="1">
        <v>0</v>
      </c>
      <c r="CD32" s="1">
        <v>0</v>
      </c>
      <c r="CE32" s="1">
        <v>0</v>
      </c>
      <c r="CF32" s="1">
        <v>0</v>
      </c>
      <c r="CG32" s="1">
        <v>0</v>
      </c>
      <c r="CH32" s="1">
        <v>1</v>
      </c>
      <c r="CI32" s="1">
        <v>0</v>
      </c>
      <c r="CJ32" s="1">
        <v>4</v>
      </c>
      <c r="CK32" s="1">
        <v>3</v>
      </c>
      <c r="CL32" s="1">
        <v>2</v>
      </c>
      <c r="CM32" s="1">
        <v>4</v>
      </c>
      <c r="CN32" s="1">
        <v>4</v>
      </c>
      <c r="CO32" s="1">
        <v>3</v>
      </c>
      <c r="CP32" s="1">
        <v>4</v>
      </c>
      <c r="CU32" s="1">
        <v>1</v>
      </c>
    </row>
    <row r="33" spans="1:99" x14ac:dyDescent="0.35">
      <c r="A33" s="1" t="s">
        <v>3965</v>
      </c>
      <c r="B33" s="1">
        <v>175244047</v>
      </c>
      <c r="C33" s="1">
        <v>1</v>
      </c>
      <c r="D33" s="1">
        <v>1</v>
      </c>
      <c r="E33" s="1">
        <v>0</v>
      </c>
      <c r="F33" s="1">
        <v>0</v>
      </c>
      <c r="G33" s="1">
        <v>0</v>
      </c>
      <c r="H33" s="1">
        <v>0</v>
      </c>
      <c r="I33" s="1">
        <v>0</v>
      </c>
      <c r="J33" s="1">
        <v>0</v>
      </c>
      <c r="K33" s="1">
        <v>0</v>
      </c>
      <c r="L33" s="1">
        <v>0</v>
      </c>
      <c r="M33" s="1">
        <v>0</v>
      </c>
      <c r="N33" s="1">
        <v>0</v>
      </c>
      <c r="O33" s="1">
        <v>0</v>
      </c>
      <c r="P33" s="1" t="s">
        <v>349</v>
      </c>
      <c r="Q33" s="1">
        <v>8</v>
      </c>
      <c r="R33" s="1">
        <v>5</v>
      </c>
      <c r="S33" s="1">
        <v>1</v>
      </c>
      <c r="T33" s="1">
        <v>3</v>
      </c>
      <c r="U33" s="1">
        <v>3</v>
      </c>
      <c r="V33" s="1">
        <v>4</v>
      </c>
      <c r="W33" s="1">
        <v>3</v>
      </c>
      <c r="X33" s="1">
        <v>2</v>
      </c>
      <c r="Y33" s="1">
        <v>3</v>
      </c>
      <c r="Z33" s="1">
        <v>4</v>
      </c>
      <c r="AA33" s="1">
        <v>4</v>
      </c>
      <c r="AC33" s="1">
        <v>1</v>
      </c>
      <c r="AD33" s="1">
        <v>1</v>
      </c>
      <c r="AF33" s="3">
        <v>5000000</v>
      </c>
      <c r="AG33" s="1">
        <v>13</v>
      </c>
      <c r="AT33" s="1" t="s">
        <v>83</v>
      </c>
      <c r="BP33" s="1">
        <v>3</v>
      </c>
      <c r="BQ33" s="1" t="s">
        <v>3966</v>
      </c>
      <c r="BR33" s="1" t="s">
        <v>3967</v>
      </c>
      <c r="BS33" s="1" t="s">
        <v>3968</v>
      </c>
      <c r="BT33" s="1" t="s">
        <v>107</v>
      </c>
      <c r="BU33" s="1">
        <v>1</v>
      </c>
      <c r="BV33" s="1">
        <v>2</v>
      </c>
      <c r="BW33" s="1">
        <v>1</v>
      </c>
      <c r="BX33" s="1">
        <v>0</v>
      </c>
      <c r="BY33" s="1">
        <v>0</v>
      </c>
      <c r="BZ33" s="1">
        <v>0</v>
      </c>
      <c r="CA33" s="1">
        <v>0</v>
      </c>
      <c r="CB33" s="1">
        <v>0</v>
      </c>
      <c r="CC33" s="1">
        <v>0</v>
      </c>
      <c r="CD33" s="1">
        <v>0</v>
      </c>
      <c r="CE33" s="1">
        <v>0</v>
      </c>
      <c r="CF33" s="1">
        <v>0</v>
      </c>
      <c r="CG33" s="1">
        <v>0</v>
      </c>
      <c r="CH33" s="1">
        <v>0</v>
      </c>
      <c r="CI33" s="1">
        <v>0</v>
      </c>
      <c r="CJ33" s="1">
        <v>4</v>
      </c>
      <c r="CK33" s="1">
        <v>4</v>
      </c>
      <c r="CL33" s="1">
        <v>4</v>
      </c>
      <c r="CM33" s="1">
        <v>4</v>
      </c>
      <c r="CN33" s="1">
        <v>4</v>
      </c>
      <c r="CO33" s="1">
        <v>4</v>
      </c>
      <c r="CP33" s="1">
        <v>4</v>
      </c>
      <c r="CU33" s="1">
        <v>1</v>
      </c>
    </row>
    <row r="34" spans="1:99" x14ac:dyDescent="0.35">
      <c r="A34" s="1" t="s">
        <v>3969</v>
      </c>
      <c r="B34" s="1">
        <v>175244049</v>
      </c>
      <c r="C34" s="1">
        <v>0</v>
      </c>
      <c r="D34" s="1">
        <v>1</v>
      </c>
      <c r="E34" s="1">
        <v>0</v>
      </c>
      <c r="F34" s="1">
        <v>0</v>
      </c>
      <c r="G34" s="1">
        <v>0</v>
      </c>
      <c r="H34" s="1">
        <v>0</v>
      </c>
      <c r="I34" s="1">
        <v>0</v>
      </c>
      <c r="J34" s="1">
        <v>1</v>
      </c>
      <c r="K34" s="1">
        <v>1</v>
      </c>
      <c r="L34" s="1">
        <v>0</v>
      </c>
      <c r="M34" s="1">
        <v>0</v>
      </c>
      <c r="N34" s="1">
        <v>0</v>
      </c>
      <c r="O34" s="1">
        <v>0</v>
      </c>
      <c r="P34" s="1">
        <v>30</v>
      </c>
      <c r="Q34" s="1">
        <v>4</v>
      </c>
      <c r="R34" s="1">
        <v>4</v>
      </c>
      <c r="S34" s="1">
        <v>1</v>
      </c>
      <c r="T34" s="1">
        <v>1</v>
      </c>
      <c r="U34" s="1">
        <v>3</v>
      </c>
      <c r="V34" s="1">
        <v>3</v>
      </c>
      <c r="W34" s="1">
        <v>3</v>
      </c>
      <c r="X34" s="1">
        <v>3</v>
      </c>
      <c r="Y34" s="1">
        <v>3</v>
      </c>
      <c r="Z34" s="1">
        <v>3</v>
      </c>
      <c r="AA34" s="1">
        <v>3</v>
      </c>
      <c r="AC34" s="1">
        <v>1</v>
      </c>
      <c r="AD34" s="1">
        <v>6</v>
      </c>
      <c r="AF34" s="3">
        <v>4649000</v>
      </c>
      <c r="AG34" s="1">
        <v>11</v>
      </c>
      <c r="AR34" s="1" t="s">
        <v>130</v>
      </c>
      <c r="BP34" s="1" t="s">
        <v>3970</v>
      </c>
      <c r="BQ34" s="1" t="s">
        <v>3971</v>
      </c>
      <c r="BR34" s="1" t="s">
        <v>3972</v>
      </c>
      <c r="BS34" s="1" t="s">
        <v>3973</v>
      </c>
      <c r="BT34" s="1" t="s">
        <v>79</v>
      </c>
      <c r="BU34" s="1">
        <v>3</v>
      </c>
      <c r="BV34" s="1">
        <v>3</v>
      </c>
      <c r="BW34" s="1">
        <v>0</v>
      </c>
      <c r="BX34" s="1">
        <v>1</v>
      </c>
      <c r="BY34" s="1">
        <v>0</v>
      </c>
      <c r="BZ34" s="1">
        <v>0</v>
      </c>
      <c r="CA34" s="1">
        <v>0</v>
      </c>
      <c r="CB34" s="1">
        <v>0</v>
      </c>
      <c r="CC34" s="1">
        <v>0</v>
      </c>
      <c r="CD34" s="1">
        <v>0</v>
      </c>
      <c r="CE34" s="1">
        <v>0</v>
      </c>
      <c r="CF34" s="1">
        <v>0</v>
      </c>
      <c r="CG34" s="1">
        <v>0</v>
      </c>
      <c r="CH34" s="1">
        <v>0</v>
      </c>
      <c r="CI34" s="1">
        <v>0</v>
      </c>
      <c r="CJ34" s="1">
        <v>4</v>
      </c>
      <c r="CK34" s="1">
        <v>4</v>
      </c>
      <c r="CL34" s="1">
        <v>4</v>
      </c>
      <c r="CM34" s="1">
        <v>4</v>
      </c>
      <c r="CN34" s="1">
        <v>4</v>
      </c>
      <c r="CO34" s="1">
        <v>4</v>
      </c>
      <c r="CP34" s="1">
        <v>4</v>
      </c>
      <c r="CU34" s="1">
        <v>1</v>
      </c>
    </row>
    <row r="35" spans="1:99" x14ac:dyDescent="0.35">
      <c r="A35" s="1" t="s">
        <v>3974</v>
      </c>
      <c r="B35" s="1">
        <v>175244051</v>
      </c>
      <c r="C35" s="1">
        <v>0</v>
      </c>
      <c r="D35" s="1">
        <v>0</v>
      </c>
      <c r="E35" s="1">
        <v>0</v>
      </c>
      <c r="F35" s="1">
        <v>0</v>
      </c>
      <c r="G35" s="1">
        <v>0</v>
      </c>
      <c r="H35" s="1">
        <v>0</v>
      </c>
      <c r="I35" s="1">
        <v>0</v>
      </c>
      <c r="J35" s="1">
        <v>0</v>
      </c>
      <c r="K35" s="1">
        <v>1</v>
      </c>
      <c r="L35" s="1">
        <v>0</v>
      </c>
      <c r="M35" s="1">
        <v>1</v>
      </c>
      <c r="N35" s="1">
        <v>0</v>
      </c>
      <c r="O35" s="1">
        <v>0</v>
      </c>
      <c r="P35" s="1">
        <v>1</v>
      </c>
      <c r="Q35" s="1">
        <v>1</v>
      </c>
      <c r="R35" s="1">
        <v>1</v>
      </c>
      <c r="S35" s="1">
        <v>1</v>
      </c>
      <c r="T35" s="1">
        <v>1</v>
      </c>
      <c r="U35" s="1">
        <v>3</v>
      </c>
      <c r="V35" s="1">
        <v>3</v>
      </c>
      <c r="W35" s="1">
        <v>2</v>
      </c>
      <c r="X35" s="1">
        <v>3</v>
      </c>
      <c r="Y35" s="1">
        <v>3</v>
      </c>
      <c r="Z35" s="1">
        <v>3</v>
      </c>
      <c r="AA35" s="1">
        <v>3</v>
      </c>
      <c r="AC35" s="1">
        <v>1</v>
      </c>
      <c r="AD35" s="1">
        <v>0</v>
      </c>
      <c r="AE35" s="1">
        <v>0</v>
      </c>
      <c r="AF35" s="3">
        <v>3750000</v>
      </c>
      <c r="AG35" s="1">
        <v>13</v>
      </c>
      <c r="AT35" s="1" t="s">
        <v>93</v>
      </c>
      <c r="BP35" s="1">
        <v>3</v>
      </c>
      <c r="BQ35" s="1" t="s">
        <v>3975</v>
      </c>
      <c r="BR35" s="1" t="s">
        <v>3976</v>
      </c>
      <c r="BS35" s="1" t="s">
        <v>3977</v>
      </c>
      <c r="BT35" s="1" t="s">
        <v>73</v>
      </c>
      <c r="BU35" s="1">
        <v>2</v>
      </c>
      <c r="BV35" s="1">
        <v>2</v>
      </c>
      <c r="BW35" s="1">
        <v>0</v>
      </c>
      <c r="BX35" s="1">
        <v>1</v>
      </c>
      <c r="BY35" s="1">
        <v>1</v>
      </c>
      <c r="BZ35" s="1">
        <v>0</v>
      </c>
      <c r="CA35" s="1">
        <v>0</v>
      </c>
      <c r="CB35" s="1">
        <v>0</v>
      </c>
      <c r="CC35" s="1">
        <v>0</v>
      </c>
      <c r="CD35" s="1">
        <v>0</v>
      </c>
      <c r="CE35" s="1">
        <v>0</v>
      </c>
      <c r="CF35" s="1">
        <v>0</v>
      </c>
      <c r="CG35" s="1">
        <v>0</v>
      </c>
      <c r="CH35" s="1">
        <v>0</v>
      </c>
      <c r="CI35" s="1">
        <v>0</v>
      </c>
      <c r="CJ35" s="1">
        <v>3</v>
      </c>
      <c r="CK35" s="1">
        <v>3</v>
      </c>
      <c r="CL35" s="1">
        <v>3</v>
      </c>
      <c r="CM35" s="1">
        <v>3</v>
      </c>
      <c r="CN35" s="1">
        <v>3</v>
      </c>
      <c r="CO35" s="1">
        <v>3</v>
      </c>
      <c r="CP35" s="1">
        <v>3</v>
      </c>
      <c r="CU35" s="1">
        <v>3</v>
      </c>
    </row>
    <row r="36" spans="1:99" x14ac:dyDescent="0.35">
      <c r="A36" s="1" t="s">
        <v>3978</v>
      </c>
      <c r="B36" s="1">
        <v>175244056</v>
      </c>
      <c r="C36" s="1">
        <v>1</v>
      </c>
      <c r="D36" s="1">
        <v>1</v>
      </c>
      <c r="E36" s="1">
        <v>1</v>
      </c>
      <c r="F36" s="1">
        <v>0</v>
      </c>
      <c r="G36" s="1">
        <v>0</v>
      </c>
      <c r="H36" s="1">
        <v>1</v>
      </c>
      <c r="I36" s="1">
        <v>0</v>
      </c>
      <c r="J36" s="1">
        <v>1</v>
      </c>
      <c r="K36" s="1">
        <v>1</v>
      </c>
      <c r="L36" s="1">
        <v>0</v>
      </c>
      <c r="M36" s="1">
        <v>0</v>
      </c>
      <c r="N36" s="1">
        <v>0</v>
      </c>
      <c r="O36" s="1">
        <v>0</v>
      </c>
      <c r="P36" s="1" t="s">
        <v>463</v>
      </c>
      <c r="Q36" s="1">
        <v>2</v>
      </c>
      <c r="R36" s="1">
        <v>1</v>
      </c>
      <c r="S36" s="1">
        <v>1</v>
      </c>
      <c r="T36" s="1">
        <v>1</v>
      </c>
      <c r="U36" s="1">
        <v>4</v>
      </c>
      <c r="V36" s="1">
        <v>4</v>
      </c>
      <c r="W36" s="1">
        <v>3</v>
      </c>
      <c r="X36" s="1">
        <v>4</v>
      </c>
      <c r="Y36" s="1">
        <v>4</v>
      </c>
      <c r="Z36" s="1">
        <v>4</v>
      </c>
      <c r="AA36" s="1">
        <v>4</v>
      </c>
      <c r="AC36" s="1">
        <v>1</v>
      </c>
      <c r="AD36" s="1">
        <v>1</v>
      </c>
      <c r="AF36" s="3">
        <v>5000000</v>
      </c>
      <c r="AG36" s="1">
        <v>11</v>
      </c>
      <c r="AR36" s="1" t="s">
        <v>222</v>
      </c>
      <c r="BP36" s="1">
        <v>3</v>
      </c>
      <c r="BQ36" s="1" t="s">
        <v>3979</v>
      </c>
      <c r="BR36" s="1" t="s">
        <v>3980</v>
      </c>
      <c r="BS36" s="1" t="s">
        <v>4343</v>
      </c>
      <c r="BT36" s="1" t="s">
        <v>73</v>
      </c>
      <c r="BU36" s="1">
        <v>1</v>
      </c>
      <c r="BV36" s="1">
        <v>2</v>
      </c>
      <c r="BW36" s="1">
        <v>1</v>
      </c>
      <c r="BX36" s="1">
        <v>0</v>
      </c>
      <c r="BY36" s="1">
        <v>0</v>
      </c>
      <c r="BZ36" s="1">
        <v>0</v>
      </c>
      <c r="CA36" s="1">
        <v>0</v>
      </c>
      <c r="CB36" s="1">
        <v>0</v>
      </c>
      <c r="CC36" s="1">
        <v>0</v>
      </c>
      <c r="CD36" s="1">
        <v>0</v>
      </c>
      <c r="CE36" s="1">
        <v>0</v>
      </c>
      <c r="CF36" s="1">
        <v>0</v>
      </c>
      <c r="CG36" s="1">
        <v>0</v>
      </c>
      <c r="CH36" s="1">
        <v>0</v>
      </c>
      <c r="CI36" s="1">
        <v>0</v>
      </c>
      <c r="CJ36" s="1">
        <v>4</v>
      </c>
      <c r="CK36" s="1">
        <v>4</v>
      </c>
      <c r="CL36" s="1">
        <v>4</v>
      </c>
      <c r="CM36" s="1">
        <v>4</v>
      </c>
      <c r="CN36" s="1">
        <v>4</v>
      </c>
      <c r="CO36" s="1">
        <v>4</v>
      </c>
      <c r="CP36" s="1">
        <v>4</v>
      </c>
      <c r="CU36" s="1">
        <v>4</v>
      </c>
    </row>
    <row r="37" spans="1:99" x14ac:dyDescent="0.35">
      <c r="A37" s="1" t="s">
        <v>3981</v>
      </c>
      <c r="B37" s="1">
        <v>175244057</v>
      </c>
      <c r="C37" s="1">
        <v>1</v>
      </c>
      <c r="D37" s="1">
        <v>1</v>
      </c>
      <c r="E37" s="1">
        <v>0</v>
      </c>
      <c r="F37" s="1">
        <v>0</v>
      </c>
      <c r="G37" s="1">
        <v>1</v>
      </c>
      <c r="H37" s="1">
        <v>1</v>
      </c>
      <c r="I37" s="1">
        <v>0</v>
      </c>
      <c r="J37" s="1">
        <v>0</v>
      </c>
      <c r="K37" s="1">
        <v>0</v>
      </c>
      <c r="L37" s="1">
        <v>1</v>
      </c>
      <c r="M37" s="1">
        <v>1</v>
      </c>
      <c r="N37" s="1">
        <v>0</v>
      </c>
      <c r="O37" s="1">
        <v>0</v>
      </c>
      <c r="P37" s="1">
        <v>38</v>
      </c>
      <c r="Q37" s="1">
        <v>6</v>
      </c>
      <c r="R37" s="1">
        <v>4</v>
      </c>
      <c r="S37" s="1">
        <v>5</v>
      </c>
      <c r="T37" s="1">
        <v>1</v>
      </c>
      <c r="U37" s="1">
        <v>3</v>
      </c>
      <c r="V37" s="1">
        <v>3</v>
      </c>
      <c r="W37" s="1">
        <v>3</v>
      </c>
      <c r="X37" s="1">
        <v>4</v>
      </c>
      <c r="Y37" s="1">
        <v>2</v>
      </c>
      <c r="Z37" s="1">
        <v>4</v>
      </c>
      <c r="AA37" s="1">
        <v>3</v>
      </c>
      <c r="CU37" s="1">
        <v>4</v>
      </c>
    </row>
    <row r="38" spans="1:99" x14ac:dyDescent="0.35">
      <c r="A38" s="1" t="s">
        <v>3982</v>
      </c>
      <c r="B38" s="1">
        <v>175244060</v>
      </c>
      <c r="C38" s="1">
        <v>0</v>
      </c>
      <c r="D38" s="1">
        <v>0</v>
      </c>
      <c r="E38" s="1">
        <v>0</v>
      </c>
      <c r="F38" s="1">
        <v>0</v>
      </c>
      <c r="G38" s="1">
        <v>0</v>
      </c>
      <c r="H38" s="1">
        <v>0</v>
      </c>
      <c r="I38" s="1">
        <v>0</v>
      </c>
      <c r="J38" s="1">
        <v>0</v>
      </c>
      <c r="K38" s="1">
        <v>1</v>
      </c>
      <c r="L38" s="1">
        <v>0</v>
      </c>
      <c r="M38" s="1">
        <v>1</v>
      </c>
      <c r="N38" s="1">
        <v>0</v>
      </c>
      <c r="O38" s="1">
        <v>0</v>
      </c>
      <c r="P38" s="1">
        <v>0</v>
      </c>
      <c r="Q38" s="1">
        <v>0</v>
      </c>
      <c r="R38" s="1">
        <v>0</v>
      </c>
      <c r="S38" s="1">
        <v>1</v>
      </c>
      <c r="T38" s="1">
        <v>1</v>
      </c>
      <c r="U38" s="1">
        <v>4</v>
      </c>
      <c r="V38" s="1">
        <v>3</v>
      </c>
      <c r="W38" s="1">
        <v>3</v>
      </c>
      <c r="X38" s="1">
        <v>3</v>
      </c>
      <c r="Y38" s="1">
        <v>4</v>
      </c>
      <c r="Z38" s="1">
        <v>4</v>
      </c>
      <c r="AA38" s="1">
        <v>4</v>
      </c>
      <c r="AC38" s="1">
        <v>2</v>
      </c>
      <c r="AE38" s="1">
        <v>0</v>
      </c>
      <c r="AF38" s="3">
        <v>1600000</v>
      </c>
      <c r="AG38" s="1">
        <v>13</v>
      </c>
      <c r="AT38" s="1" t="s">
        <v>2258</v>
      </c>
      <c r="BP38" s="1">
        <v>1</v>
      </c>
      <c r="BQ38" s="1" t="s">
        <v>3983</v>
      </c>
      <c r="BR38" s="1" t="s">
        <v>3984</v>
      </c>
      <c r="BS38" s="1" t="s">
        <v>3985</v>
      </c>
      <c r="BT38" s="1" t="s">
        <v>79</v>
      </c>
      <c r="BU38" s="1">
        <v>1</v>
      </c>
      <c r="BV38" s="1">
        <v>2</v>
      </c>
      <c r="BW38" s="1">
        <v>1</v>
      </c>
      <c r="BX38" s="1">
        <v>0</v>
      </c>
      <c r="BY38" s="1">
        <v>0</v>
      </c>
      <c r="BZ38" s="1">
        <v>0</v>
      </c>
      <c r="CA38" s="1">
        <v>0</v>
      </c>
      <c r="CB38" s="1">
        <v>0</v>
      </c>
      <c r="CC38" s="1">
        <v>0</v>
      </c>
      <c r="CD38" s="1">
        <v>0</v>
      </c>
      <c r="CE38" s="1">
        <v>0</v>
      </c>
      <c r="CF38" s="1">
        <v>0</v>
      </c>
      <c r="CG38" s="1">
        <v>0</v>
      </c>
      <c r="CH38" s="1">
        <v>0</v>
      </c>
      <c r="CI38" s="1">
        <v>0</v>
      </c>
      <c r="CJ38" s="1">
        <v>4</v>
      </c>
      <c r="CK38" s="1">
        <v>4</v>
      </c>
      <c r="CL38" s="1">
        <v>4</v>
      </c>
      <c r="CM38" s="1">
        <v>4</v>
      </c>
      <c r="CN38" s="1">
        <v>4</v>
      </c>
      <c r="CO38" s="1">
        <v>4</v>
      </c>
      <c r="CP38" s="1">
        <v>4</v>
      </c>
      <c r="CU38" s="1">
        <v>2</v>
      </c>
    </row>
    <row r="39" spans="1:99" x14ac:dyDescent="0.35">
      <c r="A39" s="1" t="s">
        <v>3986</v>
      </c>
      <c r="B39" s="1">
        <v>175244061</v>
      </c>
      <c r="C39" s="1">
        <v>0</v>
      </c>
      <c r="D39" s="1">
        <v>1</v>
      </c>
      <c r="E39" s="1">
        <v>0</v>
      </c>
      <c r="F39" s="1">
        <v>0</v>
      </c>
      <c r="G39" s="1">
        <v>0</v>
      </c>
      <c r="H39" s="1">
        <v>1</v>
      </c>
      <c r="I39" s="1">
        <v>0</v>
      </c>
      <c r="J39" s="1">
        <v>0</v>
      </c>
      <c r="K39" s="1">
        <v>0</v>
      </c>
      <c r="L39" s="1">
        <v>0</v>
      </c>
      <c r="M39" s="1">
        <v>1</v>
      </c>
      <c r="N39" s="1">
        <v>0</v>
      </c>
      <c r="O39" s="1">
        <v>0</v>
      </c>
      <c r="P39" s="1">
        <f>+-50</f>
        <v>-50</v>
      </c>
      <c r="Q39" s="1">
        <v>10</v>
      </c>
      <c r="R39" s="1">
        <v>6</v>
      </c>
      <c r="S39" s="1">
        <v>1</v>
      </c>
      <c r="T39" s="1">
        <v>1</v>
      </c>
      <c r="U39" s="1">
        <v>3</v>
      </c>
      <c r="V39" s="1">
        <v>4</v>
      </c>
      <c r="W39" s="1">
        <v>3</v>
      </c>
      <c r="X39" s="1">
        <v>3</v>
      </c>
      <c r="Y39" s="1">
        <v>3</v>
      </c>
      <c r="Z39" s="1">
        <v>3</v>
      </c>
      <c r="AA39" s="1">
        <v>3</v>
      </c>
      <c r="AC39" s="1">
        <v>1</v>
      </c>
      <c r="AD39" s="1">
        <v>5</v>
      </c>
      <c r="AE39" s="1">
        <v>5</v>
      </c>
      <c r="AF39" s="3">
        <v>3783000</v>
      </c>
      <c r="AG39" s="1">
        <v>13</v>
      </c>
      <c r="AT39" s="1" t="s">
        <v>86</v>
      </c>
      <c r="BP39" s="1">
        <v>3</v>
      </c>
      <c r="BQ39" s="1" t="s">
        <v>3987</v>
      </c>
      <c r="BT39" s="1" t="s">
        <v>73</v>
      </c>
      <c r="BU39" s="1">
        <v>2</v>
      </c>
      <c r="BV39" s="1">
        <v>2</v>
      </c>
      <c r="BW39" s="1">
        <v>0</v>
      </c>
      <c r="BX39" s="1">
        <v>0</v>
      </c>
      <c r="BY39" s="1">
        <v>0</v>
      </c>
      <c r="BZ39" s="1">
        <v>0</v>
      </c>
      <c r="CA39" s="1">
        <v>0</v>
      </c>
      <c r="CB39" s="1">
        <v>0</v>
      </c>
      <c r="CC39" s="1">
        <v>0</v>
      </c>
      <c r="CD39" s="1">
        <v>0</v>
      </c>
      <c r="CE39" s="1">
        <v>0</v>
      </c>
      <c r="CF39" s="1">
        <v>1</v>
      </c>
      <c r="CG39" s="1">
        <v>0</v>
      </c>
      <c r="CH39" s="1">
        <v>1</v>
      </c>
      <c r="CI39" s="1">
        <v>0</v>
      </c>
      <c r="CJ39" s="1">
        <v>3</v>
      </c>
      <c r="CK39" s="1">
        <v>4</v>
      </c>
      <c r="CL39" s="1">
        <v>4</v>
      </c>
      <c r="CM39" s="1">
        <v>3</v>
      </c>
      <c r="CN39" s="1">
        <v>3</v>
      </c>
      <c r="CO39" s="1">
        <v>4</v>
      </c>
      <c r="CP39" s="1">
        <v>3</v>
      </c>
      <c r="CU39" s="1">
        <v>1</v>
      </c>
    </row>
    <row r="40" spans="1:99" x14ac:dyDescent="0.35">
      <c r="A40" s="1" t="s">
        <v>3988</v>
      </c>
      <c r="B40" s="1">
        <v>175244063</v>
      </c>
      <c r="C40" s="1">
        <v>0</v>
      </c>
      <c r="D40" s="1">
        <v>1</v>
      </c>
      <c r="E40" s="1">
        <v>0</v>
      </c>
      <c r="F40" s="1">
        <v>0</v>
      </c>
      <c r="G40" s="1">
        <v>0</v>
      </c>
      <c r="H40" s="1">
        <v>0</v>
      </c>
      <c r="I40" s="1">
        <v>0</v>
      </c>
      <c r="J40" s="1">
        <v>0</v>
      </c>
      <c r="K40" s="1">
        <v>0</v>
      </c>
      <c r="L40" s="1">
        <v>0</v>
      </c>
      <c r="M40" s="1">
        <v>0</v>
      </c>
      <c r="N40" s="1">
        <v>0</v>
      </c>
      <c r="O40" s="1">
        <v>0</v>
      </c>
      <c r="P40" s="1" t="s">
        <v>3989</v>
      </c>
      <c r="Q40" s="1">
        <v>5</v>
      </c>
      <c r="R40" s="1">
        <v>3</v>
      </c>
      <c r="S40" s="1">
        <v>1</v>
      </c>
      <c r="T40" s="1">
        <v>1</v>
      </c>
      <c r="U40" s="1">
        <v>3</v>
      </c>
      <c r="V40" s="1">
        <v>3</v>
      </c>
      <c r="W40" s="1">
        <v>4</v>
      </c>
      <c r="X40" s="1">
        <v>3</v>
      </c>
      <c r="Y40" s="1">
        <v>3</v>
      </c>
      <c r="Z40" s="1">
        <v>3</v>
      </c>
      <c r="AA40" s="1">
        <v>3</v>
      </c>
      <c r="AC40" s="1">
        <v>1</v>
      </c>
      <c r="AD40" s="1">
        <v>2</v>
      </c>
      <c r="AE40" s="1">
        <v>2</v>
      </c>
      <c r="AF40" s="3">
        <v>7000000</v>
      </c>
      <c r="AG40" s="1">
        <v>11</v>
      </c>
      <c r="AR40" s="1" t="s">
        <v>130</v>
      </c>
      <c r="BP40" s="1">
        <v>3</v>
      </c>
      <c r="BQ40" s="1" t="s">
        <v>3990</v>
      </c>
      <c r="BR40" s="1" t="s">
        <v>3991</v>
      </c>
      <c r="BT40" s="1" t="s">
        <v>73</v>
      </c>
      <c r="BU40" s="1">
        <v>5</v>
      </c>
      <c r="BV40" s="1">
        <v>1</v>
      </c>
      <c r="BW40" s="1">
        <v>0</v>
      </c>
      <c r="BX40" s="1">
        <v>1</v>
      </c>
      <c r="BY40" s="1">
        <v>0</v>
      </c>
      <c r="BZ40" s="1">
        <v>0</v>
      </c>
      <c r="CA40" s="1">
        <v>0</v>
      </c>
      <c r="CB40" s="1">
        <v>1</v>
      </c>
      <c r="CC40" s="1">
        <v>0</v>
      </c>
      <c r="CD40" s="1">
        <v>0</v>
      </c>
      <c r="CE40" s="1">
        <v>0</v>
      </c>
      <c r="CF40" s="1">
        <v>0</v>
      </c>
      <c r="CG40" s="1">
        <v>0</v>
      </c>
      <c r="CH40" s="1">
        <v>0</v>
      </c>
      <c r="CI40" s="1">
        <v>0</v>
      </c>
      <c r="CJ40" s="1">
        <v>4</v>
      </c>
      <c r="CK40" s="1">
        <v>4</v>
      </c>
      <c r="CL40" s="1">
        <v>4</v>
      </c>
      <c r="CM40" s="1">
        <v>4</v>
      </c>
      <c r="CN40" s="1">
        <v>4</v>
      </c>
      <c r="CO40" s="1">
        <v>4</v>
      </c>
      <c r="CP40" s="1">
        <v>4</v>
      </c>
      <c r="CU40" s="1">
        <v>4</v>
      </c>
    </row>
    <row r="41" spans="1:99" x14ac:dyDescent="0.35">
      <c r="A41" s="1" t="s">
        <v>4212</v>
      </c>
      <c r="B41" s="1">
        <v>175244013</v>
      </c>
    </row>
    <row r="42" spans="1:99" x14ac:dyDescent="0.35">
      <c r="A42" s="1" t="s">
        <v>4213</v>
      </c>
      <c r="B42" s="1">
        <v>175244018</v>
      </c>
    </row>
    <row r="43" spans="1:99" x14ac:dyDescent="0.35">
      <c r="A43" s="1" t="s">
        <v>4214</v>
      </c>
      <c r="B43" s="1">
        <v>175244026</v>
      </c>
    </row>
    <row r="44" spans="1:99" x14ac:dyDescent="0.35">
      <c r="A44" s="1" t="s">
        <v>4215</v>
      </c>
      <c r="B44" s="1">
        <v>175244027</v>
      </c>
    </row>
    <row r="45" spans="1:99" x14ac:dyDescent="0.35">
      <c r="A45" s="1" t="s">
        <v>4216</v>
      </c>
      <c r="B45" s="1">
        <v>175244033</v>
      </c>
    </row>
    <row r="46" spans="1:99" x14ac:dyDescent="0.35">
      <c r="A46" s="1" t="s">
        <v>4217</v>
      </c>
      <c r="B46" s="1">
        <v>175244034</v>
      </c>
    </row>
    <row r="47" spans="1:99" x14ac:dyDescent="0.35">
      <c r="A47" s="1" t="s">
        <v>4218</v>
      </c>
      <c r="B47" s="1">
        <v>175244035</v>
      </c>
    </row>
    <row r="48" spans="1:99" x14ac:dyDescent="0.35">
      <c r="A48" s="1" t="s">
        <v>4219</v>
      </c>
      <c r="B48" s="1">
        <v>175244036</v>
      </c>
    </row>
    <row r="49" spans="1:2" x14ac:dyDescent="0.35">
      <c r="A49" s="1" t="s">
        <v>4220</v>
      </c>
      <c r="B49" s="1">
        <v>175244037</v>
      </c>
    </row>
    <row r="50" spans="1:2" x14ac:dyDescent="0.35">
      <c r="A50" s="1" t="s">
        <v>4221</v>
      </c>
      <c r="B50" s="1">
        <v>175244040</v>
      </c>
    </row>
    <row r="51" spans="1:2" x14ac:dyDescent="0.35">
      <c r="A51" s="1" t="s">
        <v>4222</v>
      </c>
      <c r="B51" s="1">
        <v>175244041</v>
      </c>
    </row>
    <row r="52" spans="1:2" x14ac:dyDescent="0.35">
      <c r="A52" s="1" t="s">
        <v>4223</v>
      </c>
      <c r="B52" s="1">
        <v>175244046</v>
      </c>
    </row>
    <row r="53" spans="1:2" x14ac:dyDescent="0.35">
      <c r="A53" s="1" t="s">
        <v>4224</v>
      </c>
      <c r="B53" s="1">
        <v>175244050</v>
      </c>
    </row>
    <row r="54" spans="1:2" x14ac:dyDescent="0.35">
      <c r="A54" s="1" t="s">
        <v>4225</v>
      </c>
      <c r="B54" s="1">
        <v>175244052</v>
      </c>
    </row>
    <row r="55" spans="1:2" x14ac:dyDescent="0.35">
      <c r="A55" s="1" t="s">
        <v>4226</v>
      </c>
      <c r="B55" s="1">
        <v>175244053</v>
      </c>
    </row>
    <row r="56" spans="1:2" x14ac:dyDescent="0.35">
      <c r="A56" s="1" t="s">
        <v>4227</v>
      </c>
      <c r="B56" s="1">
        <v>175244054</v>
      </c>
    </row>
    <row r="57" spans="1:2" x14ac:dyDescent="0.35">
      <c r="A57" s="1" t="s">
        <v>4228</v>
      </c>
      <c r="B57" s="1">
        <v>175244055</v>
      </c>
    </row>
    <row r="58" spans="1:2" x14ac:dyDescent="0.35">
      <c r="A58" s="1" t="s">
        <v>4229</v>
      </c>
      <c r="B58" s="1">
        <v>175244058</v>
      </c>
    </row>
    <row r="59" spans="1:2" x14ac:dyDescent="0.35">
      <c r="A59" s="1" t="s">
        <v>4230</v>
      </c>
      <c r="B59" s="1">
        <v>175244059</v>
      </c>
    </row>
    <row r="60" spans="1:2" x14ac:dyDescent="0.35">
      <c r="A60" s="1" t="s">
        <v>4231</v>
      </c>
      <c r="B60" s="1">
        <v>175244062</v>
      </c>
    </row>
    <row r="61" spans="1:2" x14ac:dyDescent="0.35">
      <c r="A61" s="1" t="s">
        <v>4232</v>
      </c>
      <c r="B61" s="1">
        <v>175244064</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9BDEA5-64AA-408B-BB90-34AC8A088007}">
  <dimension ref="A1:CU62"/>
  <sheetViews>
    <sheetView topLeftCell="T1" zoomScale="55" zoomScaleNormal="55" workbookViewId="0">
      <pane ySplit="1" topLeftCell="A2" activePane="bottomLeft" state="frozen"/>
      <selection pane="bottomLeft" activeCell="T1" sqref="T1"/>
    </sheetView>
  </sheetViews>
  <sheetFormatPr defaultColWidth="8.90625" defaultRowHeight="14.5" x14ac:dyDescent="0.35"/>
  <cols>
    <col min="1" max="1" width="48.26953125" style="1" bestFit="1" customWidth="1"/>
    <col min="2" max="2" width="10" style="1" customWidth="1"/>
    <col min="3" max="9" width="64.08984375" style="1" bestFit="1" customWidth="1"/>
    <col min="10" max="14" width="65.08984375" style="1" bestFit="1" customWidth="1"/>
    <col min="15" max="15" width="67.54296875" style="1" bestFit="1" customWidth="1"/>
    <col min="16" max="16" width="110" style="1" bestFit="1" customWidth="1"/>
    <col min="17" max="17" width="63.90625" style="1" bestFit="1" customWidth="1"/>
    <col min="18" max="18" width="73" style="1" bestFit="1" customWidth="1"/>
    <col min="19" max="19" width="25" style="1" bestFit="1" customWidth="1"/>
    <col min="20" max="20" width="41.26953125" style="1" bestFit="1" customWidth="1"/>
    <col min="21" max="21" width="67.08984375" style="1" bestFit="1" customWidth="1"/>
    <col min="22" max="22" width="90.453125" style="1" bestFit="1" customWidth="1"/>
    <col min="23" max="23" width="74.90625" style="1" bestFit="1" customWidth="1"/>
    <col min="24" max="24" width="89.36328125" style="1" bestFit="1" customWidth="1"/>
    <col min="25" max="25" width="72.453125" style="1" bestFit="1" customWidth="1"/>
    <col min="26" max="26" width="75.1796875" style="1" bestFit="1" customWidth="1"/>
    <col min="27" max="27" width="79" style="1" bestFit="1" customWidth="1"/>
    <col min="28" max="28" width="43.08984375" style="1" bestFit="1" customWidth="1"/>
    <col min="29" max="29" width="73.1796875" style="1" bestFit="1" customWidth="1"/>
    <col min="30" max="30" width="43.36328125" style="1" bestFit="1" customWidth="1"/>
    <col min="31" max="31" width="50.54296875" style="1" bestFit="1" customWidth="1"/>
    <col min="32" max="32" width="120.26953125" style="1" bestFit="1" customWidth="1"/>
    <col min="33" max="33" width="39.08984375" style="1" bestFit="1" customWidth="1"/>
    <col min="34" max="35" width="45.7265625" style="1" bestFit="1" customWidth="1"/>
    <col min="36" max="37" width="46.1796875" style="1" bestFit="1" customWidth="1"/>
    <col min="38" max="38" width="45.7265625" style="1" bestFit="1" customWidth="1"/>
    <col min="39" max="52" width="46.1796875" style="1" bestFit="1" customWidth="1"/>
    <col min="53" max="55" width="45.7265625" style="1" bestFit="1" customWidth="1"/>
    <col min="56" max="64" width="46.1796875" style="1" bestFit="1" customWidth="1"/>
    <col min="65" max="67" width="45.7265625" style="1" bestFit="1" customWidth="1"/>
    <col min="68" max="68" width="58.90625" style="1" bestFit="1" customWidth="1"/>
    <col min="69" max="69" width="43.26953125" style="1" bestFit="1" customWidth="1"/>
    <col min="70" max="70" width="45.36328125" style="1" bestFit="1" customWidth="1"/>
    <col min="71" max="71" width="45.26953125" style="1" bestFit="1" customWidth="1"/>
    <col min="72" max="72" width="55.453125" style="1" bestFit="1" customWidth="1"/>
    <col min="73" max="73" width="217.453125" style="1" bestFit="1" customWidth="1"/>
    <col min="74" max="74" width="65.08984375" style="1" bestFit="1" customWidth="1"/>
    <col min="75" max="83" width="117.26953125" style="1" bestFit="1" customWidth="1"/>
    <col min="84" max="86" width="118.26953125" style="1" bestFit="1" customWidth="1"/>
    <col min="87" max="87" width="255.6328125" style="1" bestFit="1" customWidth="1"/>
    <col min="88" max="88" width="76.6328125" style="1" bestFit="1" customWidth="1"/>
    <col min="89" max="89" width="100.26953125" style="1" bestFit="1" customWidth="1"/>
    <col min="90" max="90" width="84.36328125" style="1" bestFit="1" customWidth="1"/>
    <col min="91" max="91" width="98.6328125" style="1" bestFit="1" customWidth="1"/>
    <col min="92" max="92" width="81.90625" style="1" bestFit="1" customWidth="1"/>
    <col min="93" max="93" width="84.7265625" style="1" bestFit="1" customWidth="1"/>
    <col min="94" max="94" width="88.54296875" style="1" bestFit="1" customWidth="1"/>
    <col min="95" max="95" width="40.54296875" style="1" bestFit="1" customWidth="1"/>
    <col min="96" max="96" width="53.36328125" style="1" bestFit="1" customWidth="1"/>
    <col min="97" max="97" width="23.90625" style="1" bestFit="1" customWidth="1"/>
    <col min="98" max="98" width="24.7265625" style="1" bestFit="1" customWidth="1"/>
    <col min="99" max="99" width="69.54296875" style="1" bestFit="1" customWidth="1"/>
    <col min="100" max="16384" width="8.90625" style="1"/>
  </cols>
  <sheetData>
    <row r="1" spans="1:99" s="6" customFormat="1" x14ac:dyDescent="0.35">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6" t="s">
        <v>15</v>
      </c>
      <c r="Q1" s="6" t="s">
        <v>16</v>
      </c>
      <c r="R1" s="6" t="s">
        <v>17</v>
      </c>
      <c r="S1" s="6" t="s">
        <v>18</v>
      </c>
      <c r="T1" s="6" t="s">
        <v>19</v>
      </c>
      <c r="U1" s="6" t="s">
        <v>20</v>
      </c>
      <c r="V1" s="6" t="s">
        <v>21</v>
      </c>
      <c r="W1" s="6" t="s">
        <v>22</v>
      </c>
      <c r="X1" s="6" t="s">
        <v>23</v>
      </c>
      <c r="Y1" s="6" t="s">
        <v>24</v>
      </c>
      <c r="Z1" s="6" t="s">
        <v>25</v>
      </c>
      <c r="AA1" s="6" t="s">
        <v>26</v>
      </c>
      <c r="AB1" s="6" t="s">
        <v>27</v>
      </c>
      <c r="AC1" s="6" t="s">
        <v>28</v>
      </c>
      <c r="AD1" s="6" t="s">
        <v>29</v>
      </c>
      <c r="AE1" s="6" t="s">
        <v>30</v>
      </c>
      <c r="AF1" s="6" t="s">
        <v>31</v>
      </c>
      <c r="AG1" s="6" t="s">
        <v>32</v>
      </c>
      <c r="AH1" s="6" t="s">
        <v>33</v>
      </c>
      <c r="AI1" s="6" t="s">
        <v>33</v>
      </c>
      <c r="AJ1" s="6" t="s">
        <v>34</v>
      </c>
      <c r="AK1" s="6" t="s">
        <v>34</v>
      </c>
      <c r="AL1" s="6" t="s">
        <v>33</v>
      </c>
      <c r="AM1" s="6" t="s">
        <v>34</v>
      </c>
      <c r="AN1" s="6" t="s">
        <v>34</v>
      </c>
      <c r="AO1" s="6" t="s">
        <v>34</v>
      </c>
      <c r="AP1" s="6" t="s">
        <v>34</v>
      </c>
      <c r="AQ1" s="6" t="s">
        <v>34</v>
      </c>
      <c r="AR1" s="6" t="s">
        <v>34</v>
      </c>
      <c r="AS1" s="6" t="s">
        <v>34</v>
      </c>
      <c r="AT1" s="6" t="s">
        <v>34</v>
      </c>
      <c r="AU1" s="6" t="s">
        <v>34</v>
      </c>
      <c r="AV1" s="6" t="s">
        <v>34</v>
      </c>
      <c r="AW1" s="6" t="s">
        <v>34</v>
      </c>
      <c r="AX1" s="6" t="s">
        <v>34</v>
      </c>
      <c r="AY1" s="6" t="s">
        <v>34</v>
      </c>
      <c r="AZ1" s="6" t="s">
        <v>34</v>
      </c>
      <c r="BA1" s="6" t="s">
        <v>33</v>
      </c>
      <c r="BB1" s="6" t="s">
        <v>33</v>
      </c>
      <c r="BC1" s="6" t="s">
        <v>33</v>
      </c>
      <c r="BD1" s="6" t="s">
        <v>34</v>
      </c>
      <c r="BE1" s="6" t="s">
        <v>34</v>
      </c>
      <c r="BF1" s="6" t="s">
        <v>34</v>
      </c>
      <c r="BG1" s="6" t="s">
        <v>34</v>
      </c>
      <c r="BH1" s="6" t="s">
        <v>34</v>
      </c>
      <c r="BI1" s="6" t="s">
        <v>34</v>
      </c>
      <c r="BJ1" s="6" t="s">
        <v>34</v>
      </c>
      <c r="BK1" s="6" t="s">
        <v>34</v>
      </c>
      <c r="BL1" s="6" t="s">
        <v>34</v>
      </c>
      <c r="BM1" s="6" t="s">
        <v>33</v>
      </c>
      <c r="BN1" s="6" t="s">
        <v>33</v>
      </c>
      <c r="BO1" s="6" t="s">
        <v>33</v>
      </c>
      <c r="BP1" s="6" t="s">
        <v>35</v>
      </c>
      <c r="BQ1" s="6" t="s">
        <v>36</v>
      </c>
      <c r="BR1" s="6" t="s">
        <v>37</v>
      </c>
      <c r="BS1" s="6" t="s">
        <v>38</v>
      </c>
      <c r="BT1" s="6" t="s">
        <v>39</v>
      </c>
      <c r="BU1" s="6" t="s">
        <v>40</v>
      </c>
      <c r="BV1" s="6" t="s">
        <v>41</v>
      </c>
      <c r="BW1" s="6" t="s">
        <v>42</v>
      </c>
      <c r="BX1" s="6" t="s">
        <v>43</v>
      </c>
      <c r="BY1" s="6" t="s">
        <v>44</v>
      </c>
      <c r="BZ1" s="6" t="s">
        <v>45</v>
      </c>
      <c r="CA1" s="6" t="s">
        <v>46</v>
      </c>
      <c r="CB1" s="6" t="s">
        <v>47</v>
      </c>
      <c r="CC1" s="6" t="s">
        <v>48</v>
      </c>
      <c r="CD1" s="6" t="s">
        <v>49</v>
      </c>
      <c r="CE1" s="6" t="s">
        <v>50</v>
      </c>
      <c r="CF1" s="6" t="s">
        <v>51</v>
      </c>
      <c r="CG1" s="6" t="s">
        <v>52</v>
      </c>
      <c r="CH1" s="6" t="s">
        <v>53</v>
      </c>
      <c r="CI1" s="6" t="s">
        <v>54</v>
      </c>
      <c r="CJ1" s="6" t="s">
        <v>55</v>
      </c>
      <c r="CK1" s="6" t="s">
        <v>56</v>
      </c>
      <c r="CL1" s="6" t="s">
        <v>57</v>
      </c>
      <c r="CM1" s="6" t="s">
        <v>58</v>
      </c>
      <c r="CN1" s="6" t="s">
        <v>59</v>
      </c>
      <c r="CO1" s="6" t="s">
        <v>60</v>
      </c>
      <c r="CP1" s="6" t="s">
        <v>61</v>
      </c>
      <c r="CQ1" s="6" t="s">
        <v>62</v>
      </c>
      <c r="CR1" s="6" t="s">
        <v>63</v>
      </c>
      <c r="CS1" s="6" t="s">
        <v>64</v>
      </c>
      <c r="CT1" s="6" t="s">
        <v>65</v>
      </c>
      <c r="CU1" s="6" t="s">
        <v>66</v>
      </c>
    </row>
    <row r="2" spans="1:99" x14ac:dyDescent="0.35">
      <c r="A2" s="1" t="s">
        <v>3992</v>
      </c>
      <c r="B2" s="1">
        <v>175264001</v>
      </c>
      <c r="C2" s="1">
        <v>0</v>
      </c>
      <c r="D2" s="1">
        <v>1</v>
      </c>
      <c r="E2" s="1">
        <v>0</v>
      </c>
      <c r="F2" s="1">
        <v>0</v>
      </c>
      <c r="G2" s="1">
        <v>0</v>
      </c>
      <c r="H2" s="1">
        <v>0</v>
      </c>
      <c r="I2" s="1">
        <v>0</v>
      </c>
      <c r="J2" s="1">
        <v>0</v>
      </c>
      <c r="K2" s="1">
        <v>1</v>
      </c>
      <c r="L2" s="1">
        <v>0</v>
      </c>
      <c r="M2" s="1">
        <v>0</v>
      </c>
      <c r="N2" s="1">
        <v>0</v>
      </c>
      <c r="O2" s="1">
        <v>0</v>
      </c>
      <c r="P2" s="1">
        <v>10</v>
      </c>
      <c r="Q2" s="1">
        <v>10</v>
      </c>
      <c r="R2" s="1">
        <v>5</v>
      </c>
      <c r="S2" s="1">
        <v>1</v>
      </c>
      <c r="T2" s="1">
        <v>3</v>
      </c>
      <c r="U2" s="1">
        <v>3</v>
      </c>
      <c r="V2" s="1">
        <v>3</v>
      </c>
      <c r="W2" s="1">
        <v>2</v>
      </c>
      <c r="X2" s="1">
        <v>3</v>
      </c>
      <c r="Y2" s="1">
        <v>3</v>
      </c>
      <c r="Z2" s="1">
        <v>4</v>
      </c>
      <c r="AA2" s="1">
        <v>4</v>
      </c>
      <c r="AC2" s="1">
        <v>2</v>
      </c>
      <c r="AE2" s="1">
        <v>7</v>
      </c>
      <c r="AF2" s="3">
        <v>3800000</v>
      </c>
      <c r="AG2" s="1">
        <v>12</v>
      </c>
      <c r="AS2" s="1" t="s">
        <v>69</v>
      </c>
      <c r="BP2" s="1">
        <v>3</v>
      </c>
      <c r="BQ2" s="1" t="s">
        <v>3993</v>
      </c>
      <c r="BR2" s="1" t="s">
        <v>3994</v>
      </c>
      <c r="BS2" s="1" t="s">
        <v>2072</v>
      </c>
      <c r="BT2" s="1" t="s">
        <v>107</v>
      </c>
      <c r="BU2" s="1">
        <v>3</v>
      </c>
      <c r="BV2" s="1">
        <v>3</v>
      </c>
      <c r="BW2" s="1">
        <v>0</v>
      </c>
      <c r="BX2" s="1">
        <v>1</v>
      </c>
      <c r="BY2" s="1">
        <v>0</v>
      </c>
      <c r="BZ2" s="1">
        <v>0</v>
      </c>
      <c r="CA2" s="1">
        <v>0</v>
      </c>
      <c r="CB2" s="1">
        <v>0</v>
      </c>
      <c r="CC2" s="1">
        <v>0</v>
      </c>
      <c r="CD2" s="1">
        <v>0</v>
      </c>
      <c r="CE2" s="1">
        <v>0</v>
      </c>
      <c r="CF2" s="1">
        <v>0</v>
      </c>
      <c r="CG2" s="1">
        <v>0</v>
      </c>
      <c r="CH2" s="1">
        <v>1</v>
      </c>
      <c r="CI2" s="1">
        <v>0</v>
      </c>
      <c r="CJ2" s="1">
        <v>4</v>
      </c>
      <c r="CK2" s="1">
        <v>4</v>
      </c>
      <c r="CL2" s="1">
        <v>4</v>
      </c>
      <c r="CM2" s="1">
        <v>3</v>
      </c>
      <c r="CN2" s="1">
        <v>4</v>
      </c>
      <c r="CO2" s="1">
        <v>4</v>
      </c>
      <c r="CP2" s="1">
        <v>3</v>
      </c>
      <c r="CU2" s="1">
        <v>1</v>
      </c>
    </row>
    <row r="3" spans="1:99" x14ac:dyDescent="0.35">
      <c r="A3" s="1" t="s">
        <v>3995</v>
      </c>
      <c r="B3" s="1">
        <v>175264002</v>
      </c>
      <c r="C3" s="1">
        <v>0</v>
      </c>
      <c r="D3" s="1">
        <v>1</v>
      </c>
      <c r="E3" s="1">
        <v>0</v>
      </c>
      <c r="F3" s="1">
        <v>0</v>
      </c>
      <c r="G3" s="1">
        <v>0</v>
      </c>
      <c r="H3" s="1">
        <v>0</v>
      </c>
      <c r="I3" s="1">
        <v>0</v>
      </c>
      <c r="J3" s="1">
        <v>1</v>
      </c>
      <c r="K3" s="1">
        <v>1</v>
      </c>
      <c r="L3" s="1">
        <v>0</v>
      </c>
      <c r="M3" s="1">
        <v>0</v>
      </c>
      <c r="N3" s="1">
        <v>0</v>
      </c>
      <c r="O3" s="1">
        <v>0</v>
      </c>
      <c r="P3" s="1" t="s">
        <v>1063</v>
      </c>
      <c r="Q3" s="4">
        <v>46300</v>
      </c>
      <c r="R3" s="1">
        <v>3</v>
      </c>
      <c r="S3" s="1">
        <v>1</v>
      </c>
      <c r="T3" s="1">
        <v>3</v>
      </c>
      <c r="U3" s="1">
        <v>3</v>
      </c>
      <c r="V3" s="1">
        <v>3</v>
      </c>
      <c r="W3" s="1">
        <v>3</v>
      </c>
      <c r="X3" s="1">
        <v>3</v>
      </c>
      <c r="Y3" s="1">
        <v>3</v>
      </c>
      <c r="Z3" s="1">
        <v>3</v>
      </c>
      <c r="AA3" s="1">
        <v>3</v>
      </c>
      <c r="AC3" s="1">
        <v>1</v>
      </c>
      <c r="AD3" s="1">
        <v>0</v>
      </c>
      <c r="AE3" s="1">
        <v>0</v>
      </c>
      <c r="AF3" s="3">
        <v>3705000</v>
      </c>
      <c r="AG3" s="1">
        <v>13</v>
      </c>
      <c r="AT3" s="1" t="s">
        <v>86</v>
      </c>
      <c r="BP3" s="1">
        <v>3</v>
      </c>
      <c r="BQ3" s="1" t="s">
        <v>3996</v>
      </c>
      <c r="BR3" s="1" t="s">
        <v>3997</v>
      </c>
      <c r="BS3" s="1" t="s">
        <v>3998</v>
      </c>
      <c r="BT3" s="1" t="s">
        <v>79</v>
      </c>
      <c r="BU3" s="1">
        <v>1</v>
      </c>
      <c r="BV3" s="1">
        <v>1</v>
      </c>
      <c r="BW3" s="1">
        <v>1</v>
      </c>
      <c r="BX3" s="1">
        <v>0</v>
      </c>
      <c r="BY3" s="1">
        <v>0</v>
      </c>
      <c r="BZ3" s="1">
        <v>0</v>
      </c>
      <c r="CA3" s="1">
        <v>0</v>
      </c>
      <c r="CB3" s="1">
        <v>0</v>
      </c>
      <c r="CC3" s="1">
        <v>0</v>
      </c>
      <c r="CD3" s="1">
        <v>0</v>
      </c>
      <c r="CE3" s="1">
        <v>0</v>
      </c>
      <c r="CF3" s="1">
        <v>0</v>
      </c>
      <c r="CG3" s="1">
        <v>0</v>
      </c>
      <c r="CH3" s="1">
        <v>0</v>
      </c>
      <c r="CI3" s="1">
        <v>0</v>
      </c>
      <c r="CJ3" s="1">
        <v>4</v>
      </c>
      <c r="CK3" s="1">
        <v>4</v>
      </c>
      <c r="CL3" s="1">
        <v>4</v>
      </c>
      <c r="CM3" s="1">
        <v>4</v>
      </c>
      <c r="CN3" s="1">
        <v>4</v>
      </c>
      <c r="CO3" s="1">
        <v>4</v>
      </c>
      <c r="CP3" s="1">
        <v>4</v>
      </c>
      <c r="CU3" s="1">
        <v>1</v>
      </c>
    </row>
    <row r="4" spans="1:99" x14ac:dyDescent="0.35">
      <c r="A4" s="1" t="s">
        <v>3999</v>
      </c>
      <c r="B4" s="1">
        <v>175264003</v>
      </c>
      <c r="C4" s="1">
        <v>0</v>
      </c>
      <c r="D4" s="1">
        <v>0</v>
      </c>
      <c r="E4" s="1">
        <v>0</v>
      </c>
      <c r="F4" s="1">
        <v>0</v>
      </c>
      <c r="G4" s="1">
        <v>0</v>
      </c>
      <c r="H4" s="1">
        <v>0</v>
      </c>
      <c r="I4" s="1">
        <v>1</v>
      </c>
      <c r="J4" s="1">
        <v>0</v>
      </c>
      <c r="K4" s="1">
        <v>0</v>
      </c>
      <c r="L4" s="1">
        <v>0</v>
      </c>
      <c r="M4" s="1">
        <v>0</v>
      </c>
      <c r="N4" s="1">
        <v>0</v>
      </c>
      <c r="O4" s="1">
        <v>0</v>
      </c>
      <c r="P4" s="1">
        <v>15</v>
      </c>
      <c r="Q4" s="1">
        <v>10</v>
      </c>
      <c r="R4" s="1">
        <v>10</v>
      </c>
      <c r="S4" s="1">
        <v>1</v>
      </c>
      <c r="T4" s="1">
        <v>1</v>
      </c>
      <c r="U4" s="1">
        <v>4</v>
      </c>
      <c r="V4" s="1">
        <v>4</v>
      </c>
      <c r="W4" s="1">
        <v>3</v>
      </c>
      <c r="X4" s="1">
        <v>4</v>
      </c>
      <c r="Y4" s="1">
        <v>4</v>
      </c>
      <c r="Z4" s="1">
        <v>4</v>
      </c>
      <c r="AA4" s="1">
        <v>4</v>
      </c>
      <c r="AC4" s="1">
        <v>2</v>
      </c>
      <c r="AE4" s="1">
        <v>6</v>
      </c>
      <c r="AF4" s="3">
        <v>3000000</v>
      </c>
      <c r="AG4" s="1">
        <v>13</v>
      </c>
      <c r="AT4" s="1" t="s">
        <v>86</v>
      </c>
      <c r="BP4" s="1">
        <v>3</v>
      </c>
      <c r="BQ4" s="1" t="s">
        <v>4000</v>
      </c>
      <c r="BR4" s="1" t="s">
        <v>4001</v>
      </c>
      <c r="BS4" s="1" t="s">
        <v>4002</v>
      </c>
      <c r="BT4" s="1" t="s">
        <v>79</v>
      </c>
      <c r="BU4" s="1">
        <v>1</v>
      </c>
      <c r="BV4" s="1">
        <v>2</v>
      </c>
      <c r="BW4" s="1">
        <v>1</v>
      </c>
      <c r="BX4" s="1">
        <v>0</v>
      </c>
      <c r="BY4" s="1">
        <v>0</v>
      </c>
      <c r="BZ4" s="1">
        <v>0</v>
      </c>
      <c r="CA4" s="1">
        <v>0</v>
      </c>
      <c r="CB4" s="1">
        <v>0</v>
      </c>
      <c r="CC4" s="1">
        <v>0</v>
      </c>
      <c r="CD4" s="1">
        <v>0</v>
      </c>
      <c r="CE4" s="1">
        <v>0</v>
      </c>
      <c r="CF4" s="1">
        <v>0</v>
      </c>
      <c r="CG4" s="1">
        <v>0</v>
      </c>
      <c r="CH4" s="1">
        <v>0</v>
      </c>
      <c r="CI4" s="1">
        <v>0</v>
      </c>
      <c r="CJ4" s="1">
        <v>4</v>
      </c>
      <c r="CK4" s="1">
        <v>4</v>
      </c>
      <c r="CL4" s="1">
        <v>3</v>
      </c>
      <c r="CM4" s="1">
        <v>4</v>
      </c>
      <c r="CN4" s="1">
        <v>4</v>
      </c>
      <c r="CO4" s="1">
        <v>4</v>
      </c>
      <c r="CP4" s="1">
        <v>4</v>
      </c>
      <c r="CU4" s="1">
        <v>1</v>
      </c>
    </row>
    <row r="5" spans="1:99" x14ac:dyDescent="0.35">
      <c r="A5" s="1" t="s">
        <v>4003</v>
      </c>
      <c r="B5" s="1">
        <v>175264005</v>
      </c>
      <c r="C5" s="1">
        <v>0</v>
      </c>
      <c r="D5" s="1">
        <v>1</v>
      </c>
      <c r="E5" s="1">
        <v>1</v>
      </c>
      <c r="F5" s="1">
        <v>1</v>
      </c>
      <c r="G5" s="1">
        <v>0</v>
      </c>
      <c r="H5" s="1">
        <v>1</v>
      </c>
      <c r="I5" s="1">
        <v>0</v>
      </c>
      <c r="J5" s="1">
        <v>1</v>
      </c>
      <c r="K5" s="1">
        <v>1</v>
      </c>
      <c r="L5" s="1">
        <v>1</v>
      </c>
      <c r="M5" s="1">
        <v>0</v>
      </c>
      <c r="N5" s="1">
        <v>0</v>
      </c>
      <c r="O5" s="1">
        <v>0</v>
      </c>
      <c r="P5" s="1" t="s">
        <v>3356</v>
      </c>
      <c r="Q5" s="1" t="s">
        <v>4004</v>
      </c>
      <c r="R5" s="1" t="s">
        <v>773</v>
      </c>
      <c r="S5" s="1">
        <v>1</v>
      </c>
      <c r="T5" s="1">
        <v>1</v>
      </c>
      <c r="U5" s="1">
        <v>3</v>
      </c>
      <c r="V5" s="1">
        <v>3</v>
      </c>
      <c r="W5" s="1">
        <v>2</v>
      </c>
      <c r="X5" s="1">
        <v>3</v>
      </c>
      <c r="Y5" s="1">
        <v>3</v>
      </c>
      <c r="Z5" s="1">
        <v>3</v>
      </c>
      <c r="AA5" s="1">
        <v>3</v>
      </c>
      <c r="AC5" s="1">
        <v>2</v>
      </c>
      <c r="AE5" s="1">
        <v>7</v>
      </c>
      <c r="AF5" s="3">
        <v>3125444</v>
      </c>
      <c r="AG5" s="1">
        <v>13</v>
      </c>
      <c r="AT5" s="1" t="s">
        <v>812</v>
      </c>
      <c r="BP5" s="1">
        <v>3</v>
      </c>
      <c r="BQ5" s="1" t="s">
        <v>4005</v>
      </c>
      <c r="BR5" s="1" t="s">
        <v>4006</v>
      </c>
      <c r="BS5" s="1" t="s">
        <v>4007</v>
      </c>
      <c r="BT5" s="1" t="s">
        <v>73</v>
      </c>
      <c r="BU5" s="1">
        <v>2</v>
      </c>
      <c r="BV5" s="1">
        <v>3</v>
      </c>
      <c r="BW5" s="1">
        <v>0</v>
      </c>
      <c r="BX5" s="1">
        <v>1</v>
      </c>
      <c r="BY5" s="1">
        <v>0</v>
      </c>
      <c r="BZ5" s="1">
        <v>0</v>
      </c>
      <c r="CA5" s="1">
        <v>0</v>
      </c>
      <c r="CB5" s="1">
        <v>0</v>
      </c>
      <c r="CC5" s="1">
        <v>1</v>
      </c>
      <c r="CD5" s="1">
        <v>0</v>
      </c>
      <c r="CE5" s="1">
        <v>0</v>
      </c>
      <c r="CF5" s="1">
        <v>0</v>
      </c>
      <c r="CG5" s="1">
        <v>0</v>
      </c>
      <c r="CH5" s="1">
        <v>1</v>
      </c>
      <c r="CI5" s="1">
        <v>0</v>
      </c>
      <c r="CJ5" s="1">
        <v>4</v>
      </c>
      <c r="CK5" s="1">
        <v>3</v>
      </c>
      <c r="CL5" s="1">
        <v>3</v>
      </c>
      <c r="CM5" s="1">
        <v>4</v>
      </c>
      <c r="CN5" s="1">
        <v>4</v>
      </c>
      <c r="CO5" s="1">
        <v>4</v>
      </c>
      <c r="CP5" s="1">
        <v>4</v>
      </c>
      <c r="CU5" s="1">
        <v>4</v>
      </c>
    </row>
    <row r="6" spans="1:99" x14ac:dyDescent="0.35">
      <c r="A6" s="1" t="s">
        <v>4008</v>
      </c>
      <c r="B6" s="1">
        <v>175264006</v>
      </c>
      <c r="S6" s="1">
        <v>3</v>
      </c>
      <c r="T6" s="1">
        <v>1</v>
      </c>
      <c r="U6" s="1">
        <v>4</v>
      </c>
      <c r="V6" s="1">
        <v>3</v>
      </c>
      <c r="W6" s="1">
        <v>3</v>
      </c>
      <c r="X6" s="1">
        <v>3</v>
      </c>
      <c r="Y6" s="1">
        <v>3</v>
      </c>
      <c r="Z6" s="1">
        <v>3</v>
      </c>
      <c r="AA6" s="1">
        <v>3</v>
      </c>
      <c r="AB6" s="1">
        <v>1</v>
      </c>
      <c r="AC6" s="1">
        <v>1</v>
      </c>
      <c r="AD6" s="1">
        <v>1</v>
      </c>
      <c r="AE6" s="1">
        <v>1</v>
      </c>
      <c r="AF6" s="3">
        <v>20000000</v>
      </c>
      <c r="AG6" s="1">
        <v>13</v>
      </c>
      <c r="AT6" s="1" t="s">
        <v>93</v>
      </c>
      <c r="BP6" s="1">
        <v>4</v>
      </c>
      <c r="BQ6" s="1" t="s">
        <v>4009</v>
      </c>
      <c r="BR6" s="1" t="s">
        <v>4010</v>
      </c>
      <c r="BS6" s="1" t="s">
        <v>4011</v>
      </c>
      <c r="BT6" s="1" t="s">
        <v>107</v>
      </c>
      <c r="BU6" s="1">
        <v>1</v>
      </c>
      <c r="BV6" s="1">
        <v>1</v>
      </c>
      <c r="BW6" s="1">
        <v>0</v>
      </c>
      <c r="BX6" s="1">
        <v>0</v>
      </c>
      <c r="BY6" s="1">
        <v>1</v>
      </c>
      <c r="BZ6" s="1">
        <v>1</v>
      </c>
      <c r="CA6" s="1">
        <v>0</v>
      </c>
      <c r="CB6" s="1">
        <v>1</v>
      </c>
      <c r="CC6" s="1">
        <v>0</v>
      </c>
      <c r="CD6" s="1">
        <v>1</v>
      </c>
      <c r="CE6" s="1">
        <v>1</v>
      </c>
      <c r="CF6" s="1">
        <v>1</v>
      </c>
      <c r="CG6" s="1">
        <v>1</v>
      </c>
      <c r="CH6" s="1">
        <v>1</v>
      </c>
      <c r="CI6" s="1">
        <v>0</v>
      </c>
      <c r="CJ6" s="1">
        <v>4</v>
      </c>
      <c r="CK6" s="1">
        <v>3</v>
      </c>
      <c r="CL6" s="1">
        <v>3</v>
      </c>
      <c r="CM6" s="1">
        <v>3</v>
      </c>
      <c r="CN6" s="1">
        <v>3</v>
      </c>
      <c r="CO6" s="1">
        <v>3</v>
      </c>
      <c r="CP6" s="1">
        <v>3</v>
      </c>
      <c r="CU6" s="1">
        <v>1</v>
      </c>
    </row>
    <row r="7" spans="1:99" x14ac:dyDescent="0.35">
      <c r="A7" s="1" t="s">
        <v>4012</v>
      </c>
      <c r="B7" s="1">
        <v>175264007</v>
      </c>
      <c r="C7" s="1">
        <v>0</v>
      </c>
      <c r="D7" s="1">
        <v>1</v>
      </c>
      <c r="E7" s="1">
        <v>0</v>
      </c>
      <c r="F7" s="1">
        <v>0</v>
      </c>
      <c r="G7" s="1">
        <v>0</v>
      </c>
      <c r="H7" s="1">
        <v>0</v>
      </c>
      <c r="I7" s="1">
        <v>0</v>
      </c>
      <c r="J7" s="1">
        <v>1</v>
      </c>
      <c r="K7" s="1">
        <v>1</v>
      </c>
      <c r="L7" s="1">
        <v>0</v>
      </c>
      <c r="M7" s="1">
        <v>0</v>
      </c>
      <c r="N7" s="1">
        <v>0</v>
      </c>
      <c r="O7" s="1">
        <v>0</v>
      </c>
      <c r="P7" s="1" t="s">
        <v>3536</v>
      </c>
      <c r="Q7" s="1" t="s">
        <v>2846</v>
      </c>
      <c r="R7" s="1" t="s">
        <v>2847</v>
      </c>
      <c r="S7" s="1">
        <v>1</v>
      </c>
      <c r="T7" s="1">
        <v>1</v>
      </c>
      <c r="U7" s="1">
        <v>3</v>
      </c>
      <c r="V7" s="1">
        <v>4</v>
      </c>
      <c r="W7" s="1">
        <v>4</v>
      </c>
      <c r="X7" s="1">
        <v>4</v>
      </c>
      <c r="Y7" s="1">
        <v>4</v>
      </c>
      <c r="Z7" s="1">
        <v>4</v>
      </c>
      <c r="AA7" s="1">
        <v>4</v>
      </c>
      <c r="AC7" s="1">
        <v>1</v>
      </c>
      <c r="AD7" s="1">
        <v>5</v>
      </c>
      <c r="AF7" s="3">
        <v>4000000</v>
      </c>
      <c r="AG7" s="1">
        <v>13</v>
      </c>
      <c r="AT7" s="1" t="s">
        <v>86</v>
      </c>
      <c r="BP7" s="1">
        <v>3</v>
      </c>
      <c r="BQ7" s="1" t="s">
        <v>4013</v>
      </c>
      <c r="BR7" s="1" t="s">
        <v>4014</v>
      </c>
      <c r="BS7" s="1" t="s">
        <v>4015</v>
      </c>
      <c r="BT7" s="1" t="s">
        <v>79</v>
      </c>
      <c r="BU7" s="1">
        <v>1</v>
      </c>
      <c r="BV7" s="1">
        <v>2</v>
      </c>
      <c r="BW7" s="1">
        <v>1</v>
      </c>
      <c r="BX7" s="1">
        <v>0</v>
      </c>
      <c r="BY7" s="1">
        <v>0</v>
      </c>
      <c r="BZ7" s="1">
        <v>0</v>
      </c>
      <c r="CA7" s="1">
        <v>0</v>
      </c>
      <c r="CB7" s="1">
        <v>0</v>
      </c>
      <c r="CC7" s="1">
        <v>0</v>
      </c>
      <c r="CD7" s="1">
        <v>0</v>
      </c>
      <c r="CE7" s="1">
        <v>0</v>
      </c>
      <c r="CF7" s="1">
        <v>0</v>
      </c>
      <c r="CG7" s="1">
        <v>0</v>
      </c>
      <c r="CH7" s="1">
        <v>1</v>
      </c>
      <c r="CI7" s="1" t="s">
        <v>1030</v>
      </c>
      <c r="CJ7" s="1">
        <v>4</v>
      </c>
      <c r="CK7" s="1">
        <v>4</v>
      </c>
      <c r="CL7" s="1">
        <v>3</v>
      </c>
      <c r="CM7" s="1">
        <v>4</v>
      </c>
      <c r="CN7" s="1">
        <v>4</v>
      </c>
      <c r="CO7" s="1">
        <v>4</v>
      </c>
      <c r="CP7" s="1">
        <v>4</v>
      </c>
      <c r="CU7" s="1">
        <v>2</v>
      </c>
    </row>
    <row r="8" spans="1:99" x14ac:dyDescent="0.35">
      <c r="A8" s="1" t="s">
        <v>4016</v>
      </c>
      <c r="B8" s="1">
        <v>175264008</v>
      </c>
      <c r="C8" s="1">
        <v>0</v>
      </c>
      <c r="D8" s="1">
        <v>0</v>
      </c>
      <c r="E8" s="1">
        <v>0</v>
      </c>
      <c r="F8" s="1">
        <v>0</v>
      </c>
      <c r="G8" s="1">
        <v>0</v>
      </c>
      <c r="H8" s="1">
        <v>0</v>
      </c>
      <c r="I8" s="1">
        <v>0</v>
      </c>
      <c r="J8" s="1">
        <v>0</v>
      </c>
      <c r="K8" s="1">
        <v>1</v>
      </c>
      <c r="L8" s="1">
        <v>0</v>
      </c>
      <c r="M8" s="1">
        <v>0</v>
      </c>
      <c r="N8" s="1">
        <v>0</v>
      </c>
      <c r="O8" s="1">
        <v>0</v>
      </c>
      <c r="P8" s="1">
        <v>5</v>
      </c>
      <c r="Q8" s="1">
        <v>2</v>
      </c>
      <c r="R8" s="1">
        <v>1</v>
      </c>
      <c r="S8" s="1">
        <v>1</v>
      </c>
      <c r="T8" s="1">
        <v>1</v>
      </c>
      <c r="U8" s="1">
        <v>4</v>
      </c>
      <c r="V8" s="1">
        <v>4</v>
      </c>
      <c r="W8" s="1">
        <v>4</v>
      </c>
      <c r="X8" s="1">
        <v>3</v>
      </c>
      <c r="Y8" s="1">
        <v>3</v>
      </c>
      <c r="Z8" s="1">
        <v>4</v>
      </c>
      <c r="AA8" s="1">
        <v>3</v>
      </c>
      <c r="AC8" s="1">
        <v>1</v>
      </c>
      <c r="AD8" s="1">
        <v>0</v>
      </c>
      <c r="AE8" s="1">
        <v>0</v>
      </c>
      <c r="AF8" s="3">
        <v>3750000</v>
      </c>
      <c r="AG8" s="1">
        <v>13</v>
      </c>
      <c r="AT8" s="1" t="s">
        <v>86</v>
      </c>
      <c r="BP8" s="1">
        <v>3</v>
      </c>
      <c r="BQ8" s="1" t="s">
        <v>4017</v>
      </c>
      <c r="BR8" s="1" t="s">
        <v>4018</v>
      </c>
      <c r="BS8" s="1" t="s">
        <v>3998</v>
      </c>
      <c r="BT8" s="1" t="s">
        <v>79</v>
      </c>
      <c r="BU8" s="1">
        <v>2</v>
      </c>
      <c r="BV8" s="1">
        <v>2</v>
      </c>
      <c r="BW8" s="1">
        <v>1</v>
      </c>
      <c r="BX8" s="1">
        <v>0</v>
      </c>
      <c r="BY8" s="1">
        <v>0</v>
      </c>
      <c r="BZ8" s="1">
        <v>0</v>
      </c>
      <c r="CA8" s="1">
        <v>0</v>
      </c>
      <c r="CB8" s="1">
        <v>0</v>
      </c>
      <c r="CC8" s="1">
        <v>0</v>
      </c>
      <c r="CD8" s="1">
        <v>0</v>
      </c>
      <c r="CE8" s="1">
        <v>0</v>
      </c>
      <c r="CF8" s="1">
        <v>0</v>
      </c>
      <c r="CG8" s="1">
        <v>0</v>
      </c>
      <c r="CH8" s="1">
        <v>0</v>
      </c>
      <c r="CI8" s="1">
        <v>0</v>
      </c>
      <c r="CJ8" s="1">
        <v>4</v>
      </c>
      <c r="CK8" s="1">
        <v>4</v>
      </c>
      <c r="CL8" s="1">
        <v>4</v>
      </c>
      <c r="CM8" s="1">
        <v>4</v>
      </c>
      <c r="CN8" s="1">
        <v>4</v>
      </c>
      <c r="CO8" s="1">
        <v>4</v>
      </c>
      <c r="CP8" s="1">
        <v>4</v>
      </c>
      <c r="CU8" s="1">
        <v>1</v>
      </c>
    </row>
    <row r="9" spans="1:99" x14ac:dyDescent="0.35">
      <c r="A9" s="1" t="s">
        <v>4019</v>
      </c>
      <c r="B9" s="1">
        <v>175264009</v>
      </c>
      <c r="C9" s="1">
        <v>0</v>
      </c>
      <c r="D9" s="1">
        <v>1</v>
      </c>
      <c r="E9" s="1">
        <v>0</v>
      </c>
      <c r="F9" s="1">
        <v>0</v>
      </c>
      <c r="G9" s="1">
        <v>0</v>
      </c>
      <c r="H9" s="1">
        <v>0</v>
      </c>
      <c r="I9" s="1">
        <v>0</v>
      </c>
      <c r="J9" s="1">
        <v>0</v>
      </c>
      <c r="K9" s="1">
        <v>1</v>
      </c>
      <c r="L9" s="1">
        <v>0</v>
      </c>
      <c r="M9" s="1">
        <v>1</v>
      </c>
      <c r="N9" s="1">
        <v>1</v>
      </c>
      <c r="O9" s="1">
        <v>0</v>
      </c>
      <c r="P9" s="1">
        <v>10</v>
      </c>
      <c r="Q9" s="1">
        <v>3</v>
      </c>
      <c r="R9" s="1">
        <v>2</v>
      </c>
      <c r="S9" s="1">
        <v>1</v>
      </c>
      <c r="T9" s="1">
        <v>1</v>
      </c>
      <c r="U9" s="1">
        <v>4</v>
      </c>
      <c r="V9" s="1">
        <v>3</v>
      </c>
      <c r="W9" s="1">
        <v>3</v>
      </c>
      <c r="X9" s="1">
        <v>4</v>
      </c>
      <c r="Y9" s="1">
        <v>3</v>
      </c>
      <c r="Z9" s="1">
        <v>4</v>
      </c>
      <c r="AA9" s="1">
        <v>3</v>
      </c>
      <c r="AC9" s="1">
        <v>1</v>
      </c>
      <c r="AD9" s="1">
        <v>6</v>
      </c>
      <c r="AE9" s="1">
        <v>6</v>
      </c>
      <c r="AF9" s="3">
        <v>1000000</v>
      </c>
      <c r="AG9" s="1">
        <v>13</v>
      </c>
      <c r="AT9" s="1" t="s">
        <v>86</v>
      </c>
      <c r="BP9" s="1">
        <v>4</v>
      </c>
      <c r="BQ9" s="1" t="s">
        <v>4020</v>
      </c>
      <c r="BR9" s="1" t="s">
        <v>4021</v>
      </c>
      <c r="BS9" s="1" t="s">
        <v>4022</v>
      </c>
      <c r="BT9" s="1" t="s">
        <v>79</v>
      </c>
      <c r="BU9" s="1">
        <v>2</v>
      </c>
      <c r="BV9" s="1">
        <v>2</v>
      </c>
      <c r="BW9" s="1">
        <v>1</v>
      </c>
      <c r="BX9" s="1">
        <v>0</v>
      </c>
      <c r="BY9" s="1">
        <v>0</v>
      </c>
      <c r="BZ9" s="1">
        <v>0</v>
      </c>
      <c r="CA9" s="1">
        <v>0</v>
      </c>
      <c r="CB9" s="1">
        <v>0</v>
      </c>
      <c r="CC9" s="1">
        <v>0</v>
      </c>
      <c r="CD9" s="1">
        <v>0</v>
      </c>
      <c r="CE9" s="1">
        <v>0</v>
      </c>
      <c r="CF9" s="1">
        <v>0</v>
      </c>
      <c r="CG9" s="1">
        <v>0</v>
      </c>
      <c r="CH9" s="1">
        <v>0</v>
      </c>
      <c r="CI9" s="1">
        <v>0</v>
      </c>
      <c r="CJ9" s="1">
        <v>4</v>
      </c>
      <c r="CK9" s="1">
        <v>3</v>
      </c>
      <c r="CL9" s="1">
        <v>3</v>
      </c>
      <c r="CM9" s="1">
        <v>3</v>
      </c>
      <c r="CN9" s="1">
        <v>4</v>
      </c>
      <c r="CO9" s="1">
        <v>4</v>
      </c>
      <c r="CP9" s="1">
        <v>4</v>
      </c>
      <c r="CU9" s="1">
        <v>2</v>
      </c>
    </row>
    <row r="10" spans="1:99" x14ac:dyDescent="0.35">
      <c r="A10" s="1" t="s">
        <v>4023</v>
      </c>
      <c r="B10" s="1">
        <v>175264010</v>
      </c>
      <c r="C10" s="1">
        <v>0</v>
      </c>
      <c r="D10" s="1">
        <v>1</v>
      </c>
      <c r="E10" s="1">
        <v>0</v>
      </c>
      <c r="F10" s="1">
        <v>0</v>
      </c>
      <c r="G10" s="1">
        <v>0</v>
      </c>
      <c r="H10" s="1">
        <v>0</v>
      </c>
      <c r="I10" s="1">
        <v>0</v>
      </c>
      <c r="J10" s="1">
        <v>0</v>
      </c>
      <c r="K10" s="1">
        <v>0</v>
      </c>
      <c r="L10" s="1">
        <v>0</v>
      </c>
      <c r="M10" s="1">
        <v>0</v>
      </c>
      <c r="N10" s="1">
        <v>0</v>
      </c>
      <c r="O10" s="1">
        <v>0</v>
      </c>
      <c r="P10" s="1">
        <v>7</v>
      </c>
      <c r="Q10" s="1">
        <v>4</v>
      </c>
      <c r="R10" s="1">
        <v>3</v>
      </c>
      <c r="S10" s="1">
        <v>1</v>
      </c>
      <c r="T10" s="1">
        <v>1</v>
      </c>
      <c r="U10" s="1">
        <v>4</v>
      </c>
      <c r="V10" s="1">
        <v>4</v>
      </c>
      <c r="W10" s="1">
        <v>3</v>
      </c>
      <c r="X10" s="1">
        <v>3</v>
      </c>
      <c r="Y10" s="1">
        <v>4</v>
      </c>
      <c r="Z10" s="1">
        <v>4</v>
      </c>
      <c r="AA10" s="1">
        <v>4</v>
      </c>
      <c r="AC10" s="1">
        <v>1</v>
      </c>
      <c r="AD10" s="1">
        <v>2</v>
      </c>
      <c r="AF10" s="3">
        <v>4200000</v>
      </c>
      <c r="AG10" s="1">
        <v>13</v>
      </c>
      <c r="AT10" s="1" t="s">
        <v>86</v>
      </c>
      <c r="BP10" s="1">
        <v>3</v>
      </c>
      <c r="BQ10" s="1" t="s">
        <v>4024</v>
      </c>
      <c r="BR10" s="1" t="s">
        <v>4025</v>
      </c>
      <c r="BS10" s="1" t="s">
        <v>4026</v>
      </c>
      <c r="BT10" s="1" t="s">
        <v>73</v>
      </c>
      <c r="BU10" s="1">
        <v>2</v>
      </c>
      <c r="BV10" s="1">
        <v>2</v>
      </c>
      <c r="BW10" s="1">
        <v>1</v>
      </c>
      <c r="BX10" s="1">
        <v>0</v>
      </c>
      <c r="BY10" s="1">
        <v>0</v>
      </c>
      <c r="BZ10" s="1">
        <v>0</v>
      </c>
      <c r="CA10" s="1">
        <v>0</v>
      </c>
      <c r="CB10" s="1">
        <v>0</v>
      </c>
      <c r="CC10" s="1">
        <v>0</v>
      </c>
      <c r="CD10" s="1">
        <v>0</v>
      </c>
      <c r="CE10" s="1">
        <v>0</v>
      </c>
      <c r="CF10" s="1">
        <v>0</v>
      </c>
      <c r="CG10" s="1">
        <v>0</v>
      </c>
      <c r="CH10" s="1">
        <v>0</v>
      </c>
      <c r="CI10" s="1">
        <v>0</v>
      </c>
      <c r="CJ10" s="1">
        <v>3</v>
      </c>
      <c r="CK10" s="1">
        <v>1</v>
      </c>
      <c r="CL10" s="1">
        <v>4</v>
      </c>
      <c r="CM10" s="1">
        <v>4</v>
      </c>
      <c r="CN10" s="1">
        <v>4</v>
      </c>
      <c r="CO10" s="1">
        <v>3</v>
      </c>
      <c r="CP10" s="1">
        <v>4</v>
      </c>
      <c r="CU10" s="1">
        <v>1</v>
      </c>
    </row>
    <row r="11" spans="1:99" x14ac:dyDescent="0.35">
      <c r="A11" s="1" t="s">
        <v>4027</v>
      </c>
      <c r="B11" s="1">
        <v>175264011</v>
      </c>
      <c r="C11" s="1">
        <v>0</v>
      </c>
      <c r="D11" s="1">
        <v>0</v>
      </c>
      <c r="E11" s="1">
        <v>0</v>
      </c>
      <c r="F11" s="1">
        <v>0</v>
      </c>
      <c r="G11" s="1">
        <v>0</v>
      </c>
      <c r="H11" s="1">
        <v>0</v>
      </c>
      <c r="I11" s="1">
        <v>0</v>
      </c>
      <c r="J11" s="1">
        <v>0</v>
      </c>
      <c r="K11" s="1">
        <v>0</v>
      </c>
      <c r="L11" s="1">
        <v>0</v>
      </c>
      <c r="M11" s="1">
        <v>1</v>
      </c>
      <c r="N11" s="1">
        <v>0</v>
      </c>
      <c r="O11" s="1">
        <v>0</v>
      </c>
      <c r="P11" s="1">
        <v>7</v>
      </c>
      <c r="Q11" s="1">
        <v>2</v>
      </c>
      <c r="R11" s="1">
        <v>1</v>
      </c>
      <c r="S11" s="1">
        <v>1</v>
      </c>
      <c r="T11" s="1">
        <v>1</v>
      </c>
      <c r="U11" s="1">
        <v>4</v>
      </c>
      <c r="V11" s="1">
        <v>4</v>
      </c>
      <c r="W11" s="1">
        <v>2</v>
      </c>
      <c r="X11" s="1">
        <v>3</v>
      </c>
      <c r="Y11" s="1">
        <v>4</v>
      </c>
      <c r="Z11" s="1">
        <v>4</v>
      </c>
      <c r="AA11" s="1">
        <v>4</v>
      </c>
      <c r="AC11" s="1">
        <v>1</v>
      </c>
      <c r="AD11" s="1">
        <v>1</v>
      </c>
      <c r="AE11" s="1">
        <v>1</v>
      </c>
      <c r="AF11" s="3">
        <v>6000000</v>
      </c>
      <c r="AG11" s="1">
        <v>13</v>
      </c>
      <c r="AT11" s="1" t="s">
        <v>86</v>
      </c>
      <c r="BP11" s="1">
        <v>3</v>
      </c>
      <c r="BQ11" s="1" t="s">
        <v>4028</v>
      </c>
      <c r="BR11" s="1" t="s">
        <v>4029</v>
      </c>
      <c r="BS11" s="1" t="s">
        <v>4030</v>
      </c>
      <c r="BT11" s="1" t="s">
        <v>79</v>
      </c>
      <c r="BU11" s="1">
        <v>1</v>
      </c>
      <c r="BV11" s="1">
        <v>2</v>
      </c>
      <c r="BW11" s="1">
        <v>1</v>
      </c>
      <c r="BX11" s="1">
        <v>0</v>
      </c>
      <c r="BY11" s="1">
        <v>0</v>
      </c>
      <c r="BZ11" s="1">
        <v>0</v>
      </c>
      <c r="CA11" s="1">
        <v>0</v>
      </c>
      <c r="CB11" s="1">
        <v>0</v>
      </c>
      <c r="CC11" s="1">
        <v>0</v>
      </c>
      <c r="CD11" s="1">
        <v>0</v>
      </c>
      <c r="CE11" s="1">
        <v>0</v>
      </c>
      <c r="CF11" s="1">
        <v>0</v>
      </c>
      <c r="CG11" s="1">
        <v>0</v>
      </c>
      <c r="CH11" s="1">
        <v>0</v>
      </c>
      <c r="CI11" s="1">
        <v>0</v>
      </c>
      <c r="CJ11" s="1">
        <v>4</v>
      </c>
      <c r="CK11" s="1">
        <v>4</v>
      </c>
      <c r="CL11" s="1">
        <v>2</v>
      </c>
      <c r="CM11" s="1">
        <v>3</v>
      </c>
      <c r="CN11" s="1">
        <v>4</v>
      </c>
      <c r="CO11" s="1">
        <v>4</v>
      </c>
      <c r="CP11" s="1">
        <v>4</v>
      </c>
      <c r="CU11" s="1">
        <v>4</v>
      </c>
    </row>
    <row r="12" spans="1:99" x14ac:dyDescent="0.35">
      <c r="A12" s="1" t="s">
        <v>4031</v>
      </c>
      <c r="B12" s="1">
        <v>175264012</v>
      </c>
      <c r="C12" s="1">
        <v>0</v>
      </c>
      <c r="D12" s="1">
        <v>1</v>
      </c>
      <c r="E12" s="1">
        <v>0</v>
      </c>
      <c r="F12" s="1">
        <v>0</v>
      </c>
      <c r="G12" s="1">
        <v>0</v>
      </c>
      <c r="H12" s="1">
        <v>0</v>
      </c>
      <c r="I12" s="1">
        <v>0</v>
      </c>
      <c r="J12" s="1">
        <v>0</v>
      </c>
      <c r="K12" s="1">
        <v>0</v>
      </c>
      <c r="L12" s="1">
        <v>0</v>
      </c>
      <c r="M12" s="1">
        <v>0</v>
      </c>
      <c r="N12" s="1">
        <v>0</v>
      </c>
      <c r="O12" s="1">
        <v>0</v>
      </c>
      <c r="P12" s="1">
        <v>9</v>
      </c>
      <c r="Q12" s="1">
        <v>3</v>
      </c>
      <c r="R12" s="1">
        <v>3</v>
      </c>
      <c r="S12" s="1">
        <v>1</v>
      </c>
      <c r="T12" s="1">
        <v>1</v>
      </c>
      <c r="U12" s="1">
        <v>3</v>
      </c>
      <c r="V12" s="1">
        <v>3</v>
      </c>
      <c r="W12" s="1">
        <v>3</v>
      </c>
      <c r="X12" s="1">
        <v>4</v>
      </c>
      <c r="Y12" s="1">
        <v>3</v>
      </c>
      <c r="Z12" s="1">
        <v>3</v>
      </c>
      <c r="AA12" s="1">
        <v>3</v>
      </c>
      <c r="AC12" s="1">
        <v>1</v>
      </c>
      <c r="AD12" s="1">
        <v>0</v>
      </c>
      <c r="AF12" s="3">
        <v>3700000</v>
      </c>
      <c r="AG12" s="1">
        <v>13</v>
      </c>
      <c r="AT12" s="1" t="s">
        <v>427</v>
      </c>
      <c r="BP12" s="1">
        <v>3</v>
      </c>
      <c r="BQ12" s="1" t="s">
        <v>4032</v>
      </c>
      <c r="BR12" s="1" t="s">
        <v>594</v>
      </c>
      <c r="BS12" s="1" t="s">
        <v>594</v>
      </c>
      <c r="BT12" s="1" t="s">
        <v>79</v>
      </c>
      <c r="BU12" s="1">
        <v>1</v>
      </c>
      <c r="BV12" s="1">
        <v>2</v>
      </c>
      <c r="BW12" s="1">
        <v>1</v>
      </c>
      <c r="BX12" s="1">
        <v>0</v>
      </c>
      <c r="BY12" s="1">
        <v>0</v>
      </c>
      <c r="BZ12" s="1">
        <v>0</v>
      </c>
      <c r="CA12" s="1">
        <v>0</v>
      </c>
      <c r="CB12" s="1">
        <v>0</v>
      </c>
      <c r="CC12" s="1">
        <v>0</v>
      </c>
      <c r="CD12" s="1">
        <v>0</v>
      </c>
      <c r="CE12" s="1">
        <v>0</v>
      </c>
      <c r="CF12" s="1">
        <v>0</v>
      </c>
      <c r="CG12" s="1">
        <v>0</v>
      </c>
      <c r="CH12" s="1">
        <v>0</v>
      </c>
      <c r="CI12" s="1">
        <v>0</v>
      </c>
      <c r="CJ12" s="1">
        <v>4</v>
      </c>
      <c r="CK12" s="1">
        <v>4</v>
      </c>
      <c r="CL12" s="1">
        <v>3</v>
      </c>
      <c r="CM12" s="1">
        <v>4</v>
      </c>
      <c r="CN12" s="1">
        <v>4</v>
      </c>
      <c r="CO12" s="1">
        <v>4</v>
      </c>
      <c r="CP12" s="1">
        <v>4</v>
      </c>
      <c r="CU12" s="1">
        <v>1</v>
      </c>
    </row>
    <row r="13" spans="1:99" x14ac:dyDescent="0.35">
      <c r="A13" s="1" t="s">
        <v>4033</v>
      </c>
      <c r="B13" s="1">
        <v>175264014</v>
      </c>
      <c r="C13" s="1">
        <v>0</v>
      </c>
      <c r="D13" s="1">
        <v>1</v>
      </c>
      <c r="E13" s="1">
        <v>0</v>
      </c>
      <c r="F13" s="1">
        <v>0</v>
      </c>
      <c r="G13" s="1">
        <v>0</v>
      </c>
      <c r="H13" s="1">
        <v>0</v>
      </c>
      <c r="I13" s="1">
        <v>0</v>
      </c>
      <c r="J13" s="1">
        <v>0</v>
      </c>
      <c r="K13" s="1">
        <v>1</v>
      </c>
      <c r="L13" s="1">
        <v>0</v>
      </c>
      <c r="M13" s="1">
        <v>1</v>
      </c>
      <c r="N13" s="1">
        <v>0</v>
      </c>
      <c r="O13" s="1">
        <v>0</v>
      </c>
      <c r="P13" s="1" t="s">
        <v>4034</v>
      </c>
      <c r="Q13" s="1">
        <v>6</v>
      </c>
      <c r="R13" s="1">
        <v>2</v>
      </c>
      <c r="S13" s="1">
        <v>1</v>
      </c>
      <c r="T13" s="1">
        <v>1</v>
      </c>
      <c r="U13" s="1">
        <v>4</v>
      </c>
      <c r="V13" s="1">
        <v>4</v>
      </c>
      <c r="W13" s="1">
        <v>3</v>
      </c>
      <c r="X13" s="1">
        <v>3</v>
      </c>
      <c r="Y13" s="1">
        <v>3</v>
      </c>
      <c r="Z13" s="1">
        <v>4</v>
      </c>
      <c r="AA13" s="1">
        <v>4</v>
      </c>
      <c r="AC13" s="1">
        <v>2</v>
      </c>
      <c r="AE13" s="1">
        <v>7</v>
      </c>
      <c r="AF13" s="3">
        <v>2800000</v>
      </c>
      <c r="AG13" s="1">
        <v>13</v>
      </c>
      <c r="AT13" s="1" t="s">
        <v>93</v>
      </c>
      <c r="BP13" s="1">
        <v>3</v>
      </c>
      <c r="BQ13" s="1" t="s">
        <v>4035</v>
      </c>
      <c r="BR13" s="1" t="s">
        <v>4036</v>
      </c>
      <c r="BS13" s="1" t="s">
        <v>4037</v>
      </c>
      <c r="BT13" s="1" t="s">
        <v>79</v>
      </c>
      <c r="BU13" s="1">
        <v>1</v>
      </c>
      <c r="BV13" s="1">
        <v>3</v>
      </c>
      <c r="BW13" s="1">
        <v>1</v>
      </c>
      <c r="BX13" s="1">
        <v>0</v>
      </c>
      <c r="BY13" s="1">
        <v>0</v>
      </c>
      <c r="BZ13" s="1">
        <v>0</v>
      </c>
      <c r="CA13" s="1">
        <v>0</v>
      </c>
      <c r="CB13" s="1">
        <v>0</v>
      </c>
      <c r="CC13" s="1">
        <v>0</v>
      </c>
      <c r="CD13" s="1">
        <v>0</v>
      </c>
      <c r="CE13" s="1">
        <v>0</v>
      </c>
      <c r="CF13" s="1">
        <v>0</v>
      </c>
      <c r="CG13" s="1">
        <v>0</v>
      </c>
      <c r="CH13" s="1">
        <v>0</v>
      </c>
      <c r="CI13" s="1">
        <v>0</v>
      </c>
      <c r="CJ13" s="1">
        <v>4</v>
      </c>
      <c r="CK13" s="1">
        <v>4</v>
      </c>
      <c r="CL13" s="1">
        <v>3</v>
      </c>
      <c r="CM13" s="1">
        <v>4</v>
      </c>
      <c r="CN13" s="1">
        <v>4</v>
      </c>
      <c r="CO13" s="1">
        <v>4</v>
      </c>
      <c r="CP13" s="1">
        <v>4</v>
      </c>
      <c r="CU13" s="1">
        <v>1</v>
      </c>
    </row>
    <row r="14" spans="1:99" x14ac:dyDescent="0.35">
      <c r="A14" s="1" t="s">
        <v>4038</v>
      </c>
      <c r="B14" s="1">
        <v>175264015</v>
      </c>
      <c r="C14" s="1">
        <v>1</v>
      </c>
      <c r="D14" s="1">
        <v>1</v>
      </c>
      <c r="E14" s="1">
        <v>1</v>
      </c>
      <c r="F14" s="1">
        <v>0</v>
      </c>
      <c r="G14" s="1">
        <v>0</v>
      </c>
      <c r="H14" s="1">
        <v>0</v>
      </c>
      <c r="I14" s="1">
        <v>0</v>
      </c>
      <c r="J14" s="1">
        <v>0</v>
      </c>
      <c r="K14" s="1">
        <v>0</v>
      </c>
      <c r="L14" s="1">
        <v>0</v>
      </c>
      <c r="M14" s="1">
        <v>0</v>
      </c>
      <c r="N14" s="1">
        <v>0</v>
      </c>
      <c r="O14" s="1">
        <v>0</v>
      </c>
      <c r="P14" s="1">
        <v>250</v>
      </c>
      <c r="Q14" s="1">
        <v>30</v>
      </c>
      <c r="R14" s="1">
        <v>10</v>
      </c>
      <c r="S14" s="1">
        <v>1</v>
      </c>
      <c r="T14" s="1">
        <v>3</v>
      </c>
      <c r="U14" s="1">
        <v>4</v>
      </c>
      <c r="V14" s="1">
        <v>4</v>
      </c>
      <c r="W14" s="1">
        <v>3</v>
      </c>
      <c r="X14" s="1">
        <v>3</v>
      </c>
      <c r="Y14" s="1">
        <v>4</v>
      </c>
      <c r="Z14" s="1">
        <v>4</v>
      </c>
      <c r="AA14" s="1">
        <v>4</v>
      </c>
      <c r="AC14" s="1">
        <v>2</v>
      </c>
      <c r="AE14" s="1">
        <v>10</v>
      </c>
      <c r="AF14" s="3">
        <v>4600000</v>
      </c>
      <c r="AG14" s="1">
        <v>13</v>
      </c>
      <c r="AT14" s="1" t="s">
        <v>86</v>
      </c>
      <c r="BP14" s="1">
        <v>6</v>
      </c>
      <c r="BQ14" s="1" t="s">
        <v>4039</v>
      </c>
      <c r="BR14" s="1" t="s">
        <v>4040</v>
      </c>
      <c r="BS14" s="1" t="s">
        <v>4041</v>
      </c>
      <c r="BT14" s="1" t="s">
        <v>79</v>
      </c>
      <c r="BU14" s="1">
        <v>2</v>
      </c>
      <c r="BV14" s="1">
        <v>2</v>
      </c>
      <c r="BW14" s="1">
        <v>1</v>
      </c>
      <c r="BX14" s="1">
        <v>0</v>
      </c>
      <c r="BY14" s="1">
        <v>0</v>
      </c>
      <c r="BZ14" s="1">
        <v>0</v>
      </c>
      <c r="CA14" s="1">
        <v>0</v>
      </c>
      <c r="CB14" s="1">
        <v>0</v>
      </c>
      <c r="CC14" s="1">
        <v>0</v>
      </c>
      <c r="CD14" s="1">
        <v>0</v>
      </c>
      <c r="CE14" s="1">
        <v>0</v>
      </c>
      <c r="CF14" s="1">
        <v>0</v>
      </c>
      <c r="CG14" s="1">
        <v>0</v>
      </c>
      <c r="CH14" s="1">
        <v>0</v>
      </c>
      <c r="CI14" s="1">
        <v>0</v>
      </c>
      <c r="CJ14" s="1">
        <v>4</v>
      </c>
      <c r="CK14" s="1">
        <v>4</v>
      </c>
      <c r="CL14" s="1">
        <v>3</v>
      </c>
      <c r="CM14" s="1">
        <v>4</v>
      </c>
      <c r="CN14" s="1">
        <v>4</v>
      </c>
      <c r="CO14" s="1">
        <v>4</v>
      </c>
      <c r="CP14" s="1">
        <v>4</v>
      </c>
      <c r="CU14" s="1">
        <v>1</v>
      </c>
    </row>
    <row r="15" spans="1:99" x14ac:dyDescent="0.35">
      <c r="A15" s="1" t="s">
        <v>4042</v>
      </c>
      <c r="B15" s="1">
        <v>175264016</v>
      </c>
      <c r="C15" s="1">
        <v>0</v>
      </c>
      <c r="D15" s="1">
        <v>1</v>
      </c>
      <c r="E15" s="1">
        <v>0</v>
      </c>
      <c r="F15" s="1">
        <v>0</v>
      </c>
      <c r="G15" s="1">
        <v>0</v>
      </c>
      <c r="H15" s="1">
        <v>0</v>
      </c>
      <c r="I15" s="1">
        <v>0</v>
      </c>
      <c r="J15" s="1">
        <v>0</v>
      </c>
      <c r="K15" s="1">
        <v>1</v>
      </c>
      <c r="L15" s="1">
        <v>0</v>
      </c>
      <c r="M15" s="1">
        <v>0</v>
      </c>
      <c r="N15" s="1">
        <v>0</v>
      </c>
      <c r="O15" s="1">
        <v>0</v>
      </c>
      <c r="P15" s="1">
        <v>50</v>
      </c>
      <c r="Q15" s="1">
        <v>20</v>
      </c>
      <c r="R15" s="1">
        <v>15</v>
      </c>
      <c r="S15" s="1">
        <v>1</v>
      </c>
      <c r="T15" s="1">
        <v>1</v>
      </c>
      <c r="U15" s="1">
        <v>4</v>
      </c>
      <c r="V15" s="1">
        <v>4</v>
      </c>
      <c r="W15" s="1">
        <v>4</v>
      </c>
      <c r="X15" s="1">
        <v>4</v>
      </c>
      <c r="Y15" s="1">
        <v>4</v>
      </c>
      <c r="Z15" s="1">
        <v>4</v>
      </c>
      <c r="AA15" s="1">
        <v>4</v>
      </c>
      <c r="AC15" s="1">
        <v>1</v>
      </c>
      <c r="AD15" s="1">
        <v>1</v>
      </c>
      <c r="AF15" s="3">
        <v>4900000</v>
      </c>
      <c r="AG15" s="1">
        <v>13</v>
      </c>
      <c r="AT15" s="1" t="s">
        <v>86</v>
      </c>
      <c r="BP15" s="1">
        <v>3</v>
      </c>
      <c r="BQ15" s="1" t="s">
        <v>3511</v>
      </c>
      <c r="BR15" s="1" t="s">
        <v>4043</v>
      </c>
      <c r="BS15" s="1" t="s">
        <v>4044</v>
      </c>
      <c r="BT15" s="1" t="s">
        <v>79</v>
      </c>
      <c r="BU15" s="1">
        <v>2</v>
      </c>
      <c r="BV15" s="1">
        <v>2</v>
      </c>
      <c r="BW15" s="1">
        <v>1</v>
      </c>
      <c r="BX15" s="1">
        <v>0</v>
      </c>
      <c r="BY15" s="1">
        <v>0</v>
      </c>
      <c r="BZ15" s="1">
        <v>0</v>
      </c>
      <c r="CA15" s="1">
        <v>0</v>
      </c>
      <c r="CB15" s="1">
        <v>0</v>
      </c>
      <c r="CC15" s="1">
        <v>0</v>
      </c>
      <c r="CD15" s="1">
        <v>0</v>
      </c>
      <c r="CE15" s="1">
        <v>0</v>
      </c>
      <c r="CF15" s="1">
        <v>0</v>
      </c>
      <c r="CG15" s="1">
        <v>0</v>
      </c>
      <c r="CH15" s="1">
        <v>0</v>
      </c>
      <c r="CI15" s="1">
        <v>0</v>
      </c>
      <c r="CJ15" s="1">
        <v>4</v>
      </c>
      <c r="CK15" s="1">
        <v>4</v>
      </c>
      <c r="CL15" s="1">
        <v>4</v>
      </c>
      <c r="CM15" s="1">
        <v>4</v>
      </c>
      <c r="CN15" s="1">
        <v>4</v>
      </c>
      <c r="CO15" s="1">
        <v>4</v>
      </c>
      <c r="CP15" s="1">
        <v>4</v>
      </c>
      <c r="CU15" s="1">
        <v>1</v>
      </c>
    </row>
    <row r="16" spans="1:99" x14ac:dyDescent="0.35">
      <c r="A16" s="1" t="s">
        <v>4045</v>
      </c>
      <c r="B16" s="1">
        <v>175264017</v>
      </c>
      <c r="C16" s="1">
        <v>0</v>
      </c>
      <c r="D16" s="1">
        <v>1</v>
      </c>
      <c r="E16" s="1">
        <v>0</v>
      </c>
      <c r="F16" s="1">
        <v>0</v>
      </c>
      <c r="G16" s="1">
        <v>0</v>
      </c>
      <c r="H16" s="1">
        <v>0</v>
      </c>
      <c r="I16" s="1">
        <v>0</v>
      </c>
      <c r="J16" s="1">
        <v>0</v>
      </c>
      <c r="K16" s="1">
        <v>0</v>
      </c>
      <c r="L16" s="1">
        <v>0</v>
      </c>
      <c r="M16" s="1">
        <v>0</v>
      </c>
      <c r="N16" s="1">
        <v>0</v>
      </c>
      <c r="O16" s="1">
        <v>0</v>
      </c>
      <c r="P16" s="1">
        <v>20</v>
      </c>
      <c r="Q16" s="1">
        <v>20</v>
      </c>
      <c r="R16" s="1">
        <v>1</v>
      </c>
      <c r="S16" s="1">
        <v>1</v>
      </c>
      <c r="T16" s="1">
        <v>1</v>
      </c>
      <c r="U16" s="1">
        <v>4</v>
      </c>
      <c r="V16" s="1">
        <v>4</v>
      </c>
      <c r="W16" s="1">
        <v>4</v>
      </c>
      <c r="X16" s="1">
        <v>3</v>
      </c>
      <c r="Y16" s="1">
        <v>4</v>
      </c>
      <c r="Z16" s="1">
        <v>4</v>
      </c>
      <c r="AA16" s="1">
        <v>4</v>
      </c>
      <c r="AC16" s="1">
        <v>1</v>
      </c>
      <c r="AD16" s="1">
        <v>0</v>
      </c>
      <c r="AF16" s="3">
        <v>3700000</v>
      </c>
      <c r="AG16" s="1">
        <v>13</v>
      </c>
      <c r="AT16" s="1" t="s">
        <v>93</v>
      </c>
      <c r="BP16" s="1">
        <v>3</v>
      </c>
      <c r="BQ16" s="1" t="s">
        <v>4046</v>
      </c>
      <c r="BR16" s="1" t="s">
        <v>4047</v>
      </c>
      <c r="BS16" s="1" t="s">
        <v>1235</v>
      </c>
      <c r="BT16" s="1" t="s">
        <v>73</v>
      </c>
      <c r="BU16" s="1">
        <v>2</v>
      </c>
      <c r="BV16" s="1">
        <v>2</v>
      </c>
      <c r="BW16" s="1">
        <v>0</v>
      </c>
      <c r="BX16" s="1">
        <v>1</v>
      </c>
      <c r="BY16" s="1">
        <v>0</v>
      </c>
      <c r="BZ16" s="1">
        <v>0</v>
      </c>
      <c r="CA16" s="1">
        <v>0</v>
      </c>
      <c r="CB16" s="1">
        <v>0</v>
      </c>
      <c r="CC16" s="1">
        <v>0</v>
      </c>
      <c r="CD16" s="1">
        <v>0</v>
      </c>
      <c r="CE16" s="1">
        <v>0</v>
      </c>
      <c r="CF16" s="1">
        <v>0</v>
      </c>
      <c r="CG16" s="1">
        <v>0</v>
      </c>
      <c r="CH16" s="1">
        <v>0</v>
      </c>
      <c r="CI16" s="1">
        <v>0</v>
      </c>
      <c r="CJ16" s="1">
        <v>4</v>
      </c>
      <c r="CK16" s="1">
        <v>4</v>
      </c>
      <c r="CL16" s="1">
        <v>4</v>
      </c>
      <c r="CM16" s="1">
        <v>4</v>
      </c>
      <c r="CN16" s="1">
        <v>4</v>
      </c>
      <c r="CO16" s="1">
        <v>4</v>
      </c>
      <c r="CP16" s="1">
        <v>4</v>
      </c>
      <c r="CU16" s="1">
        <v>1</v>
      </c>
    </row>
    <row r="17" spans="1:99" x14ac:dyDescent="0.35">
      <c r="A17" s="1" t="s">
        <v>4048</v>
      </c>
      <c r="B17" s="1">
        <v>175264020</v>
      </c>
      <c r="C17" s="1">
        <v>0</v>
      </c>
      <c r="D17" s="1">
        <v>0</v>
      </c>
      <c r="E17" s="1">
        <v>0</v>
      </c>
      <c r="F17" s="1">
        <v>0</v>
      </c>
      <c r="G17" s="1">
        <v>0</v>
      </c>
      <c r="H17" s="1">
        <v>0</v>
      </c>
      <c r="I17" s="1">
        <v>0</v>
      </c>
      <c r="J17" s="1">
        <v>0</v>
      </c>
      <c r="K17" s="1">
        <v>0</v>
      </c>
      <c r="L17" s="1">
        <v>0</v>
      </c>
      <c r="M17" s="1">
        <v>1</v>
      </c>
      <c r="N17" s="1">
        <v>0</v>
      </c>
      <c r="O17" s="1">
        <v>0</v>
      </c>
      <c r="P17" s="1">
        <v>10</v>
      </c>
      <c r="Q17" s="1">
        <v>5</v>
      </c>
      <c r="R17" s="1">
        <v>5</v>
      </c>
      <c r="S17" s="1">
        <v>1</v>
      </c>
      <c r="T17" s="1">
        <v>4</v>
      </c>
      <c r="U17" s="1">
        <v>4</v>
      </c>
      <c r="V17" s="1">
        <v>4</v>
      </c>
      <c r="W17" s="1">
        <v>4</v>
      </c>
      <c r="X17" s="1">
        <v>4</v>
      </c>
      <c r="Y17" s="1">
        <v>4</v>
      </c>
      <c r="Z17" s="1">
        <v>4</v>
      </c>
      <c r="AA17" s="1">
        <v>4</v>
      </c>
      <c r="AC17" s="1">
        <v>1</v>
      </c>
      <c r="AD17" s="1">
        <v>0</v>
      </c>
      <c r="AE17" s="1">
        <v>0</v>
      </c>
      <c r="AF17" s="3">
        <v>5500000</v>
      </c>
      <c r="AG17" s="1">
        <v>13</v>
      </c>
      <c r="AT17" s="1" t="s">
        <v>93</v>
      </c>
      <c r="BP17" s="1">
        <v>3</v>
      </c>
      <c r="BQ17" s="1" t="s">
        <v>4049</v>
      </c>
      <c r="BR17" s="1" t="s">
        <v>4050</v>
      </c>
      <c r="BS17" s="1" t="s">
        <v>4051</v>
      </c>
      <c r="BT17" s="1" t="s">
        <v>79</v>
      </c>
      <c r="BU17" s="1">
        <v>1</v>
      </c>
      <c r="BV17" s="1">
        <v>1</v>
      </c>
      <c r="BW17" s="1">
        <v>1</v>
      </c>
      <c r="BX17" s="1">
        <v>0</v>
      </c>
      <c r="BY17" s="1">
        <v>0</v>
      </c>
      <c r="BZ17" s="1">
        <v>0</v>
      </c>
      <c r="CA17" s="1">
        <v>0</v>
      </c>
      <c r="CB17" s="1">
        <v>0</v>
      </c>
      <c r="CC17" s="1">
        <v>0</v>
      </c>
      <c r="CD17" s="1">
        <v>0</v>
      </c>
      <c r="CE17" s="1">
        <v>0</v>
      </c>
      <c r="CF17" s="1">
        <v>0</v>
      </c>
      <c r="CG17" s="1">
        <v>0</v>
      </c>
      <c r="CH17" s="1">
        <v>0</v>
      </c>
      <c r="CI17" s="1">
        <v>0</v>
      </c>
      <c r="CJ17" s="1">
        <v>4</v>
      </c>
      <c r="CK17" s="1">
        <v>4</v>
      </c>
      <c r="CL17" s="1">
        <v>4</v>
      </c>
      <c r="CM17" s="1">
        <v>4</v>
      </c>
      <c r="CN17" s="1">
        <v>4</v>
      </c>
      <c r="CO17" s="1">
        <v>4</v>
      </c>
      <c r="CP17" s="1">
        <v>4</v>
      </c>
      <c r="CU17" s="1">
        <v>1</v>
      </c>
    </row>
    <row r="18" spans="1:99" x14ac:dyDescent="0.35">
      <c r="A18" s="1" t="s">
        <v>4052</v>
      </c>
      <c r="B18" s="1">
        <v>175264021</v>
      </c>
      <c r="C18" s="1">
        <v>0</v>
      </c>
      <c r="D18" s="1">
        <v>0</v>
      </c>
      <c r="E18" s="1">
        <v>0</v>
      </c>
      <c r="F18" s="1">
        <v>0</v>
      </c>
      <c r="G18" s="1">
        <v>0</v>
      </c>
      <c r="H18" s="1">
        <v>0</v>
      </c>
      <c r="I18" s="1">
        <v>0</v>
      </c>
      <c r="J18" s="1">
        <v>0</v>
      </c>
      <c r="K18" s="1">
        <v>1</v>
      </c>
      <c r="L18" s="1">
        <v>0</v>
      </c>
      <c r="M18" s="1">
        <v>0</v>
      </c>
      <c r="N18" s="1">
        <v>0</v>
      </c>
      <c r="O18" s="1">
        <v>0</v>
      </c>
      <c r="P18" s="1">
        <v>30</v>
      </c>
      <c r="Q18" s="1">
        <v>10</v>
      </c>
      <c r="R18" s="1">
        <v>2</v>
      </c>
      <c r="S18" s="1">
        <v>1</v>
      </c>
      <c r="T18" s="1">
        <v>1</v>
      </c>
      <c r="U18" s="1">
        <v>4</v>
      </c>
      <c r="V18" s="1">
        <v>3</v>
      </c>
      <c r="W18" s="1">
        <v>3</v>
      </c>
      <c r="X18" s="1">
        <v>4</v>
      </c>
      <c r="Y18" s="1">
        <v>4</v>
      </c>
      <c r="Z18" s="1">
        <v>4</v>
      </c>
      <c r="AA18" s="1">
        <v>4</v>
      </c>
      <c r="AC18" s="1">
        <v>2</v>
      </c>
      <c r="AE18" s="1">
        <v>6</v>
      </c>
      <c r="AF18" s="3">
        <v>3500000</v>
      </c>
      <c r="AG18" s="1">
        <v>13</v>
      </c>
      <c r="AT18" s="1" t="s">
        <v>86</v>
      </c>
      <c r="BP18" s="1">
        <v>3</v>
      </c>
      <c r="BQ18" s="1" t="s">
        <v>4053</v>
      </c>
      <c r="BR18" s="1" t="s">
        <v>4054</v>
      </c>
      <c r="BT18" s="1" t="s">
        <v>79</v>
      </c>
      <c r="BU18" s="1">
        <v>4</v>
      </c>
      <c r="BV18" s="1">
        <v>3</v>
      </c>
      <c r="BW18" s="1">
        <v>0</v>
      </c>
      <c r="BX18" s="1">
        <v>1</v>
      </c>
      <c r="BY18" s="1">
        <v>0</v>
      </c>
      <c r="BZ18" s="1">
        <v>0</v>
      </c>
      <c r="CA18" s="1">
        <v>0</v>
      </c>
      <c r="CB18" s="1">
        <v>0</v>
      </c>
      <c r="CC18" s="1">
        <v>0</v>
      </c>
      <c r="CD18" s="1">
        <v>0</v>
      </c>
      <c r="CE18" s="1">
        <v>0</v>
      </c>
      <c r="CF18" s="1">
        <v>0</v>
      </c>
      <c r="CG18" s="1">
        <v>0</v>
      </c>
      <c r="CH18" s="1">
        <v>0</v>
      </c>
      <c r="CI18" s="1">
        <v>0</v>
      </c>
      <c r="CJ18" s="1">
        <v>4</v>
      </c>
      <c r="CK18" s="1">
        <v>3</v>
      </c>
      <c r="CL18" s="1">
        <v>3</v>
      </c>
      <c r="CM18" s="1">
        <v>4</v>
      </c>
      <c r="CN18" s="1">
        <v>4</v>
      </c>
      <c r="CO18" s="1">
        <v>4</v>
      </c>
      <c r="CP18" s="1">
        <v>4</v>
      </c>
    </row>
    <row r="19" spans="1:99" x14ac:dyDescent="0.35">
      <c r="A19" s="1" t="s">
        <v>4055</v>
      </c>
      <c r="B19" s="1">
        <v>175264022</v>
      </c>
      <c r="C19" s="1">
        <v>1</v>
      </c>
      <c r="D19" s="1">
        <v>1</v>
      </c>
      <c r="E19" s="1">
        <v>0</v>
      </c>
      <c r="F19" s="1">
        <v>0</v>
      </c>
      <c r="G19" s="1">
        <v>0</v>
      </c>
      <c r="H19" s="1">
        <v>1</v>
      </c>
      <c r="I19" s="1">
        <v>0</v>
      </c>
      <c r="J19" s="1">
        <v>0</v>
      </c>
      <c r="K19" s="1">
        <v>0</v>
      </c>
      <c r="L19" s="1">
        <v>0</v>
      </c>
      <c r="M19" s="1">
        <v>0</v>
      </c>
      <c r="N19" s="1">
        <v>0</v>
      </c>
      <c r="O19" s="1">
        <v>0</v>
      </c>
      <c r="P19" s="1">
        <v>100</v>
      </c>
      <c r="Q19" s="1">
        <v>12</v>
      </c>
      <c r="R19" s="1">
        <v>8</v>
      </c>
      <c r="S19" s="1">
        <v>1</v>
      </c>
      <c r="T19" s="1">
        <v>1</v>
      </c>
      <c r="U19" s="1">
        <v>4</v>
      </c>
      <c r="V19" s="1">
        <v>3</v>
      </c>
      <c r="W19" s="1">
        <v>4</v>
      </c>
      <c r="X19" s="1">
        <v>4</v>
      </c>
      <c r="Y19" s="1">
        <v>4</v>
      </c>
      <c r="Z19" s="1">
        <v>4</v>
      </c>
      <c r="AA19" s="1">
        <v>4</v>
      </c>
      <c r="AC19" s="1">
        <v>1</v>
      </c>
      <c r="AD19" s="1">
        <v>6</v>
      </c>
      <c r="AF19" s="3">
        <v>3000000</v>
      </c>
      <c r="AG19" s="1">
        <v>13</v>
      </c>
      <c r="AT19" s="1" t="s">
        <v>427</v>
      </c>
      <c r="BP19" s="1">
        <v>3</v>
      </c>
      <c r="BQ19" s="1" t="s">
        <v>4056</v>
      </c>
      <c r="BR19" s="1" t="s">
        <v>4057</v>
      </c>
      <c r="BS19" s="1" t="s">
        <v>4058</v>
      </c>
      <c r="BT19" s="1" t="s">
        <v>79</v>
      </c>
      <c r="BU19" s="1">
        <v>1</v>
      </c>
      <c r="BV19" s="1">
        <v>2</v>
      </c>
      <c r="BW19" s="1">
        <v>1</v>
      </c>
      <c r="BX19" s="1">
        <v>0</v>
      </c>
      <c r="BY19" s="1">
        <v>0</v>
      </c>
      <c r="BZ19" s="1">
        <v>0</v>
      </c>
      <c r="CA19" s="1">
        <v>0</v>
      </c>
      <c r="CB19" s="1">
        <v>0</v>
      </c>
      <c r="CC19" s="1">
        <v>0</v>
      </c>
      <c r="CD19" s="1">
        <v>0</v>
      </c>
      <c r="CE19" s="1">
        <v>0</v>
      </c>
      <c r="CF19" s="1">
        <v>0</v>
      </c>
      <c r="CG19" s="1">
        <v>0</v>
      </c>
      <c r="CH19" s="1">
        <v>0</v>
      </c>
      <c r="CI19" s="1">
        <v>0</v>
      </c>
      <c r="CJ19" s="1">
        <v>4</v>
      </c>
      <c r="CK19" s="1">
        <v>4</v>
      </c>
      <c r="CL19" s="1">
        <v>4</v>
      </c>
      <c r="CM19" s="1">
        <v>4</v>
      </c>
      <c r="CN19" s="1">
        <v>4</v>
      </c>
      <c r="CO19" s="1">
        <v>4</v>
      </c>
      <c r="CP19" s="1">
        <v>4</v>
      </c>
      <c r="CU19" s="1">
        <v>1</v>
      </c>
    </row>
    <row r="20" spans="1:99" x14ac:dyDescent="0.35">
      <c r="A20" s="1" t="s">
        <v>4059</v>
      </c>
      <c r="B20" s="1">
        <v>175264023</v>
      </c>
      <c r="C20" s="1">
        <v>0</v>
      </c>
      <c r="D20" s="1">
        <v>1</v>
      </c>
      <c r="E20" s="1">
        <v>0</v>
      </c>
      <c r="F20" s="1">
        <v>0</v>
      </c>
      <c r="G20" s="1">
        <v>0</v>
      </c>
      <c r="H20" s="1">
        <v>0</v>
      </c>
      <c r="I20" s="1">
        <v>0</v>
      </c>
      <c r="J20" s="1">
        <v>0</v>
      </c>
      <c r="K20" s="1">
        <v>1</v>
      </c>
      <c r="L20" s="1">
        <v>0</v>
      </c>
      <c r="M20" s="1">
        <v>0</v>
      </c>
      <c r="N20" s="1">
        <v>0</v>
      </c>
      <c r="O20" s="1">
        <v>0</v>
      </c>
      <c r="P20" s="1">
        <v>6</v>
      </c>
      <c r="Q20" s="1">
        <v>2</v>
      </c>
      <c r="R20" s="1">
        <v>2</v>
      </c>
      <c r="S20" s="1">
        <v>1</v>
      </c>
      <c r="T20" s="1">
        <v>1</v>
      </c>
      <c r="U20" s="1">
        <v>4</v>
      </c>
      <c r="V20" s="1">
        <v>3</v>
      </c>
      <c r="W20" s="1">
        <v>3</v>
      </c>
      <c r="X20" s="1">
        <v>3</v>
      </c>
      <c r="Y20" s="1">
        <v>3</v>
      </c>
      <c r="Z20" s="1">
        <v>4</v>
      </c>
      <c r="AA20" s="1">
        <v>3</v>
      </c>
      <c r="AC20" s="1">
        <v>1</v>
      </c>
      <c r="AD20" s="1">
        <v>5</v>
      </c>
      <c r="AF20" s="3">
        <v>3500000</v>
      </c>
      <c r="AG20" s="1">
        <v>11</v>
      </c>
      <c r="AR20" s="1" t="s">
        <v>130</v>
      </c>
      <c r="BP20" s="1">
        <v>3</v>
      </c>
      <c r="BQ20" s="1" t="s">
        <v>4060</v>
      </c>
      <c r="BR20" s="1" t="s">
        <v>4061</v>
      </c>
      <c r="BS20" s="1" t="s">
        <v>4062</v>
      </c>
      <c r="BT20" s="1" t="s">
        <v>79</v>
      </c>
      <c r="BU20" s="1">
        <v>3</v>
      </c>
      <c r="BV20" s="1">
        <v>2</v>
      </c>
      <c r="BW20" s="1">
        <v>1</v>
      </c>
      <c r="BX20" s="1">
        <v>0</v>
      </c>
      <c r="BY20" s="1">
        <v>0</v>
      </c>
      <c r="BZ20" s="1">
        <v>0</v>
      </c>
      <c r="CA20" s="1">
        <v>0</v>
      </c>
      <c r="CB20" s="1">
        <v>0</v>
      </c>
      <c r="CC20" s="1">
        <v>0</v>
      </c>
      <c r="CD20" s="1">
        <v>0</v>
      </c>
      <c r="CE20" s="1">
        <v>0</v>
      </c>
      <c r="CF20" s="1">
        <v>0</v>
      </c>
      <c r="CG20" s="1">
        <v>0</v>
      </c>
      <c r="CH20" s="1">
        <v>0</v>
      </c>
      <c r="CI20" s="1">
        <v>0</v>
      </c>
      <c r="CJ20" s="1">
        <v>3</v>
      </c>
      <c r="CK20" s="1">
        <v>3</v>
      </c>
      <c r="CL20" s="1">
        <v>3</v>
      </c>
      <c r="CM20" s="1">
        <v>3</v>
      </c>
      <c r="CN20" s="1">
        <v>3</v>
      </c>
      <c r="CO20" s="1">
        <v>3</v>
      </c>
      <c r="CP20" s="1">
        <v>3</v>
      </c>
      <c r="CU20" s="1">
        <v>1</v>
      </c>
    </row>
    <row r="21" spans="1:99" x14ac:dyDescent="0.35">
      <c r="A21" s="1" t="s">
        <v>4063</v>
      </c>
      <c r="B21" s="1">
        <v>175264025</v>
      </c>
      <c r="C21" s="1">
        <v>0</v>
      </c>
      <c r="D21" s="1">
        <v>1</v>
      </c>
      <c r="E21" s="1">
        <v>0</v>
      </c>
      <c r="F21" s="1">
        <v>0</v>
      </c>
      <c r="G21" s="1">
        <v>0</v>
      </c>
      <c r="H21" s="1">
        <v>0</v>
      </c>
      <c r="I21" s="1">
        <v>0</v>
      </c>
      <c r="J21" s="1">
        <v>0</v>
      </c>
      <c r="K21" s="1">
        <v>1</v>
      </c>
      <c r="L21" s="1">
        <v>0</v>
      </c>
      <c r="M21" s="1">
        <v>0</v>
      </c>
      <c r="N21" s="1">
        <v>0</v>
      </c>
      <c r="O21" s="1">
        <v>0</v>
      </c>
      <c r="P21" s="1">
        <v>1</v>
      </c>
      <c r="Q21" s="1">
        <v>1</v>
      </c>
      <c r="R21" s="1">
        <v>1</v>
      </c>
      <c r="S21" s="1">
        <v>1</v>
      </c>
      <c r="T21" s="1">
        <v>1</v>
      </c>
      <c r="U21" s="1">
        <v>4</v>
      </c>
      <c r="V21" s="1">
        <v>3</v>
      </c>
      <c r="W21" s="1">
        <v>3</v>
      </c>
      <c r="X21" s="1">
        <v>4</v>
      </c>
      <c r="Y21" s="1">
        <v>4</v>
      </c>
      <c r="Z21" s="1">
        <v>4</v>
      </c>
      <c r="AA21" s="1">
        <v>3</v>
      </c>
      <c r="AC21" s="1">
        <v>1</v>
      </c>
      <c r="AD21" s="1">
        <v>0</v>
      </c>
      <c r="AF21" s="3">
        <v>4500000</v>
      </c>
      <c r="AG21" s="1">
        <v>13</v>
      </c>
      <c r="AT21" s="1" t="s">
        <v>86</v>
      </c>
      <c r="BP21" s="1">
        <v>3</v>
      </c>
      <c r="BQ21" s="1" t="s">
        <v>4064</v>
      </c>
      <c r="BR21" s="1" t="s">
        <v>4065</v>
      </c>
      <c r="BS21" s="1" t="s">
        <v>4066</v>
      </c>
      <c r="BT21" s="1" t="s">
        <v>73</v>
      </c>
      <c r="BU21" s="1">
        <v>3</v>
      </c>
      <c r="BV21" s="1">
        <v>3</v>
      </c>
      <c r="BW21" s="1">
        <v>1</v>
      </c>
      <c r="BX21" s="1">
        <v>0</v>
      </c>
      <c r="BY21" s="1">
        <v>0</v>
      </c>
      <c r="BZ21" s="1">
        <v>0</v>
      </c>
      <c r="CA21" s="1">
        <v>0</v>
      </c>
      <c r="CB21" s="1">
        <v>0</v>
      </c>
      <c r="CC21" s="1">
        <v>0</v>
      </c>
      <c r="CD21" s="1">
        <v>0</v>
      </c>
      <c r="CE21" s="1">
        <v>0</v>
      </c>
      <c r="CF21" s="1">
        <v>0</v>
      </c>
      <c r="CG21" s="1">
        <v>0</v>
      </c>
      <c r="CH21" s="1">
        <v>0</v>
      </c>
      <c r="CI21" s="1">
        <v>0</v>
      </c>
      <c r="CJ21" s="1">
        <v>4</v>
      </c>
      <c r="CK21" s="1">
        <v>3</v>
      </c>
      <c r="CL21" s="1">
        <v>4</v>
      </c>
      <c r="CM21" s="1">
        <v>4</v>
      </c>
      <c r="CN21" s="1">
        <v>4</v>
      </c>
      <c r="CO21" s="1">
        <v>4</v>
      </c>
      <c r="CP21" s="1">
        <v>4</v>
      </c>
      <c r="CU21" s="1">
        <v>4</v>
      </c>
    </row>
    <row r="22" spans="1:99" x14ac:dyDescent="0.35">
      <c r="A22" s="1" t="s">
        <v>4067</v>
      </c>
      <c r="B22" s="1">
        <v>175264026</v>
      </c>
      <c r="C22" s="1">
        <v>0</v>
      </c>
      <c r="D22" s="1">
        <v>1</v>
      </c>
      <c r="E22" s="1">
        <v>1</v>
      </c>
      <c r="F22" s="1">
        <v>0</v>
      </c>
      <c r="G22" s="1">
        <v>0</v>
      </c>
      <c r="H22" s="1">
        <v>0</v>
      </c>
      <c r="I22" s="1">
        <v>0</v>
      </c>
      <c r="J22" s="1">
        <v>1</v>
      </c>
      <c r="K22" s="1">
        <v>1</v>
      </c>
      <c r="L22" s="1">
        <v>0</v>
      </c>
      <c r="M22" s="1">
        <v>0</v>
      </c>
      <c r="N22" s="1">
        <v>0</v>
      </c>
      <c r="O22" s="1">
        <v>0</v>
      </c>
      <c r="P22" s="1">
        <v>20</v>
      </c>
      <c r="Q22" s="1">
        <v>10</v>
      </c>
      <c r="R22" s="1">
        <v>3</v>
      </c>
      <c r="S22" s="1">
        <v>1</v>
      </c>
      <c r="T22" s="1">
        <v>1</v>
      </c>
      <c r="U22" s="1">
        <v>4</v>
      </c>
      <c r="V22" s="1">
        <v>3</v>
      </c>
      <c r="W22" s="1">
        <v>3</v>
      </c>
      <c r="X22" s="1">
        <v>3</v>
      </c>
      <c r="Y22" s="1">
        <v>4</v>
      </c>
      <c r="Z22" s="1">
        <v>4</v>
      </c>
      <c r="AA22" s="1">
        <v>4</v>
      </c>
      <c r="AC22" s="1">
        <v>1</v>
      </c>
      <c r="AD22" s="1">
        <v>5</v>
      </c>
      <c r="AE22" s="1">
        <v>5</v>
      </c>
      <c r="AF22" s="3">
        <v>4000000</v>
      </c>
      <c r="AG22" s="1">
        <v>13</v>
      </c>
      <c r="AT22" s="1" t="s">
        <v>93</v>
      </c>
      <c r="BP22" s="1">
        <v>3</v>
      </c>
      <c r="BQ22" s="1" t="s">
        <v>2984</v>
      </c>
      <c r="BR22" s="1" t="s">
        <v>4068</v>
      </c>
      <c r="BS22" s="1" t="s">
        <v>4069</v>
      </c>
      <c r="BT22" s="1" t="s">
        <v>79</v>
      </c>
      <c r="BU22" s="1">
        <v>3</v>
      </c>
      <c r="BV22" s="1">
        <v>2</v>
      </c>
      <c r="BW22" s="1">
        <v>0</v>
      </c>
      <c r="BX22" s="1">
        <v>0</v>
      </c>
      <c r="BY22" s="1">
        <v>1</v>
      </c>
      <c r="BZ22" s="1">
        <v>0</v>
      </c>
      <c r="CA22" s="1">
        <v>1</v>
      </c>
      <c r="CB22" s="1">
        <v>1</v>
      </c>
      <c r="CC22" s="1">
        <v>1</v>
      </c>
      <c r="CD22" s="1">
        <v>1</v>
      </c>
      <c r="CE22" s="1">
        <v>0</v>
      </c>
      <c r="CF22" s="1">
        <v>0</v>
      </c>
      <c r="CG22" s="1">
        <v>0</v>
      </c>
      <c r="CH22" s="1">
        <v>0</v>
      </c>
      <c r="CI22" s="1">
        <v>0</v>
      </c>
      <c r="CJ22" s="1">
        <v>4</v>
      </c>
      <c r="CK22" s="1">
        <v>3</v>
      </c>
      <c r="CL22" s="1">
        <v>3</v>
      </c>
      <c r="CM22" s="1">
        <v>3</v>
      </c>
      <c r="CN22" s="1">
        <v>4</v>
      </c>
      <c r="CO22" s="1">
        <v>4</v>
      </c>
      <c r="CP22" s="1">
        <v>4</v>
      </c>
      <c r="CU22" s="1">
        <v>1</v>
      </c>
    </row>
    <row r="23" spans="1:99" x14ac:dyDescent="0.35">
      <c r="A23" s="1" t="s">
        <v>4070</v>
      </c>
      <c r="B23" s="1">
        <v>175264027</v>
      </c>
      <c r="C23" s="1">
        <v>0</v>
      </c>
      <c r="D23" s="1">
        <v>1</v>
      </c>
      <c r="E23" s="1">
        <v>0</v>
      </c>
      <c r="F23" s="1">
        <v>0</v>
      </c>
      <c r="G23" s="1">
        <v>0</v>
      </c>
      <c r="H23" s="1">
        <v>0</v>
      </c>
      <c r="I23" s="1">
        <v>0</v>
      </c>
      <c r="J23" s="1">
        <v>0</v>
      </c>
      <c r="K23" s="1">
        <v>0</v>
      </c>
      <c r="L23" s="1">
        <v>0</v>
      </c>
      <c r="M23" s="1">
        <v>0</v>
      </c>
      <c r="N23" s="1">
        <v>0</v>
      </c>
      <c r="O23" s="1">
        <v>0</v>
      </c>
      <c r="P23" s="1">
        <v>300</v>
      </c>
      <c r="Q23" s="1">
        <v>20</v>
      </c>
      <c r="R23" s="1">
        <v>15</v>
      </c>
      <c r="S23" s="1">
        <v>1</v>
      </c>
      <c r="T23" s="1">
        <v>1</v>
      </c>
      <c r="U23" s="1">
        <v>3</v>
      </c>
      <c r="V23" s="1">
        <v>3</v>
      </c>
      <c r="W23" s="1">
        <v>2</v>
      </c>
      <c r="X23" s="1">
        <v>3</v>
      </c>
      <c r="Y23" s="1">
        <v>3</v>
      </c>
      <c r="Z23" s="1">
        <v>3</v>
      </c>
      <c r="AA23" s="1">
        <v>3</v>
      </c>
      <c r="AC23" s="1">
        <v>1</v>
      </c>
      <c r="AD23" s="1">
        <v>5</v>
      </c>
      <c r="AF23" s="3">
        <v>3650000</v>
      </c>
      <c r="AG23" s="1">
        <v>13</v>
      </c>
      <c r="AT23" s="1" t="s">
        <v>93</v>
      </c>
      <c r="BP23" s="1">
        <v>3</v>
      </c>
      <c r="BQ23" s="1" t="s">
        <v>4071</v>
      </c>
      <c r="BR23" s="1" t="s">
        <v>4072</v>
      </c>
      <c r="BS23" s="1" t="s">
        <v>4073</v>
      </c>
      <c r="BT23" s="1" t="s">
        <v>79</v>
      </c>
      <c r="BU23" s="1">
        <v>2</v>
      </c>
      <c r="BV23" s="1">
        <v>2</v>
      </c>
      <c r="BW23" s="1">
        <v>0</v>
      </c>
      <c r="BX23" s="1">
        <v>0</v>
      </c>
      <c r="BY23" s="1">
        <v>0</v>
      </c>
      <c r="BZ23" s="1">
        <v>0</v>
      </c>
      <c r="CA23" s="1">
        <v>0</v>
      </c>
      <c r="CB23" s="1">
        <v>0</v>
      </c>
      <c r="CC23" s="1">
        <v>0</v>
      </c>
      <c r="CD23" s="1">
        <v>0</v>
      </c>
      <c r="CE23" s="1">
        <v>0</v>
      </c>
      <c r="CF23" s="1">
        <v>0</v>
      </c>
      <c r="CG23" s="1">
        <v>0</v>
      </c>
      <c r="CH23" s="1">
        <v>0</v>
      </c>
      <c r="CJ23" s="1">
        <v>3</v>
      </c>
      <c r="CK23" s="1">
        <v>4</v>
      </c>
      <c r="CL23" s="1">
        <v>2</v>
      </c>
      <c r="CM23" s="1">
        <v>3</v>
      </c>
      <c r="CN23" s="1">
        <v>4</v>
      </c>
      <c r="CO23" s="1">
        <v>3</v>
      </c>
      <c r="CP23" s="1">
        <v>3</v>
      </c>
      <c r="CU23" s="1">
        <v>1</v>
      </c>
    </row>
    <row r="24" spans="1:99" x14ac:dyDescent="0.35">
      <c r="A24" s="1" t="s">
        <v>4074</v>
      </c>
      <c r="B24" s="1">
        <v>175264028</v>
      </c>
      <c r="C24" s="1">
        <v>1</v>
      </c>
      <c r="D24" s="1">
        <v>1</v>
      </c>
      <c r="E24" s="1">
        <v>0</v>
      </c>
      <c r="F24" s="1">
        <v>0</v>
      </c>
      <c r="G24" s="1">
        <v>0</v>
      </c>
      <c r="H24" s="1">
        <v>1</v>
      </c>
      <c r="I24" s="1">
        <v>0</v>
      </c>
      <c r="J24" s="1">
        <v>1</v>
      </c>
      <c r="K24" s="1">
        <v>0</v>
      </c>
      <c r="L24" s="1">
        <v>0</v>
      </c>
      <c r="M24" s="1">
        <v>0</v>
      </c>
      <c r="N24" s="1">
        <v>0</v>
      </c>
      <c r="O24" s="1">
        <v>0</v>
      </c>
      <c r="P24" s="1">
        <v>50</v>
      </c>
      <c r="Q24" s="1">
        <v>25</v>
      </c>
      <c r="R24" s="1">
        <v>5</v>
      </c>
      <c r="S24" s="1">
        <v>1</v>
      </c>
      <c r="T24" s="1">
        <v>1</v>
      </c>
      <c r="U24" s="1">
        <v>4</v>
      </c>
      <c r="V24" s="1">
        <v>4</v>
      </c>
      <c r="W24" s="1">
        <v>3</v>
      </c>
      <c r="X24" s="1">
        <v>3</v>
      </c>
      <c r="Y24" s="1">
        <v>4</v>
      </c>
      <c r="Z24" s="1">
        <v>4</v>
      </c>
      <c r="AA24" s="1">
        <v>4</v>
      </c>
      <c r="AC24" s="1">
        <v>1</v>
      </c>
      <c r="AD24" s="1">
        <v>6</v>
      </c>
      <c r="AE24" s="1">
        <v>6</v>
      </c>
      <c r="AF24" s="3">
        <v>4000000</v>
      </c>
      <c r="AG24" s="1">
        <v>13</v>
      </c>
      <c r="AT24" s="1" t="s">
        <v>271</v>
      </c>
      <c r="BP24" s="1">
        <v>3</v>
      </c>
      <c r="BQ24" s="1" t="s">
        <v>4075</v>
      </c>
      <c r="BR24" s="1" t="s">
        <v>4076</v>
      </c>
      <c r="BS24" s="1" t="s">
        <v>4077</v>
      </c>
      <c r="BT24" s="1" t="s">
        <v>79</v>
      </c>
      <c r="BU24" s="1">
        <v>1</v>
      </c>
      <c r="BV24" s="1">
        <v>2</v>
      </c>
      <c r="BW24" s="1">
        <v>1</v>
      </c>
      <c r="BX24" s="1">
        <v>0</v>
      </c>
      <c r="BY24" s="1">
        <v>0</v>
      </c>
      <c r="BZ24" s="1">
        <v>0</v>
      </c>
      <c r="CA24" s="1">
        <v>0</v>
      </c>
      <c r="CB24" s="1">
        <v>0</v>
      </c>
      <c r="CC24" s="1">
        <v>0</v>
      </c>
      <c r="CD24" s="1">
        <v>0</v>
      </c>
      <c r="CE24" s="1">
        <v>0</v>
      </c>
      <c r="CF24" s="1">
        <v>0</v>
      </c>
      <c r="CG24" s="1">
        <v>0</v>
      </c>
      <c r="CH24" s="1">
        <v>0</v>
      </c>
      <c r="CI24" s="1">
        <v>0</v>
      </c>
      <c r="CJ24" s="1">
        <v>4</v>
      </c>
      <c r="CK24" s="1">
        <v>4</v>
      </c>
      <c r="CL24" s="1">
        <v>3</v>
      </c>
      <c r="CM24" s="1">
        <v>4</v>
      </c>
      <c r="CN24" s="1">
        <v>4</v>
      </c>
      <c r="CO24" s="1">
        <v>4</v>
      </c>
      <c r="CP24" s="1">
        <v>4</v>
      </c>
      <c r="CU24" s="1">
        <v>4</v>
      </c>
    </row>
    <row r="25" spans="1:99" x14ac:dyDescent="0.35">
      <c r="A25" s="1" t="s">
        <v>4078</v>
      </c>
      <c r="B25" s="1">
        <v>175264029</v>
      </c>
      <c r="C25" s="1">
        <v>1</v>
      </c>
      <c r="D25" s="1">
        <v>1</v>
      </c>
      <c r="E25" s="1">
        <v>1</v>
      </c>
      <c r="F25" s="1">
        <v>0</v>
      </c>
      <c r="G25" s="1">
        <v>0</v>
      </c>
      <c r="H25" s="1">
        <v>0</v>
      </c>
      <c r="I25" s="1">
        <v>0</v>
      </c>
      <c r="J25" s="1">
        <v>0</v>
      </c>
      <c r="K25" s="1">
        <v>1</v>
      </c>
      <c r="L25" s="1">
        <v>0</v>
      </c>
      <c r="M25" s="1">
        <v>1</v>
      </c>
      <c r="N25" s="1">
        <v>0</v>
      </c>
      <c r="O25" s="1">
        <v>0</v>
      </c>
      <c r="P25" s="1">
        <v>100</v>
      </c>
      <c r="Q25" s="1">
        <v>50</v>
      </c>
      <c r="R25" s="1">
        <v>20</v>
      </c>
      <c r="S25" s="1">
        <v>3</v>
      </c>
      <c r="T25" s="1">
        <v>1</v>
      </c>
      <c r="U25" s="1">
        <v>4</v>
      </c>
      <c r="V25" s="1">
        <v>4</v>
      </c>
      <c r="W25" s="1">
        <v>3</v>
      </c>
      <c r="X25" s="1">
        <v>3</v>
      </c>
      <c r="Y25" s="1">
        <v>3</v>
      </c>
      <c r="Z25" s="1">
        <v>3</v>
      </c>
      <c r="AA25" s="1">
        <v>3</v>
      </c>
      <c r="AB25" s="1" t="s">
        <v>4079</v>
      </c>
      <c r="AC25" s="1">
        <v>1</v>
      </c>
      <c r="AD25" s="1">
        <v>4</v>
      </c>
      <c r="AE25" s="1">
        <v>4</v>
      </c>
      <c r="AF25" s="3">
        <v>3800000</v>
      </c>
      <c r="AG25" s="1">
        <v>13</v>
      </c>
      <c r="AT25" s="1" t="s">
        <v>86</v>
      </c>
      <c r="BP25" s="1">
        <v>3</v>
      </c>
      <c r="BQ25" s="1" t="s">
        <v>4080</v>
      </c>
      <c r="BR25" s="1" t="s">
        <v>4081</v>
      </c>
      <c r="BS25" s="1" t="s">
        <v>4082</v>
      </c>
      <c r="BT25" s="1" t="s">
        <v>79</v>
      </c>
      <c r="BU25" s="1">
        <v>2</v>
      </c>
      <c r="BV25" s="1">
        <v>2</v>
      </c>
      <c r="BW25" s="1">
        <v>1</v>
      </c>
      <c r="BX25" s="1">
        <v>0</v>
      </c>
      <c r="BY25" s="1">
        <v>0</v>
      </c>
      <c r="BZ25" s="1">
        <v>0</v>
      </c>
      <c r="CA25" s="1">
        <v>0</v>
      </c>
      <c r="CB25" s="1">
        <v>0</v>
      </c>
      <c r="CC25" s="1">
        <v>0</v>
      </c>
      <c r="CD25" s="1">
        <v>0</v>
      </c>
      <c r="CE25" s="1">
        <v>0</v>
      </c>
      <c r="CF25" s="1">
        <v>0</v>
      </c>
      <c r="CG25" s="1">
        <v>0</v>
      </c>
      <c r="CH25" s="1">
        <v>0</v>
      </c>
      <c r="CI25" s="1">
        <v>0</v>
      </c>
      <c r="CJ25" s="1">
        <v>4</v>
      </c>
      <c r="CK25" s="1">
        <v>4</v>
      </c>
      <c r="CL25" s="1">
        <v>3</v>
      </c>
      <c r="CM25" s="1">
        <v>3</v>
      </c>
      <c r="CN25" s="1">
        <v>4</v>
      </c>
      <c r="CO25" s="1">
        <v>4</v>
      </c>
      <c r="CP25" s="1">
        <v>3</v>
      </c>
      <c r="CU25" s="1">
        <v>4</v>
      </c>
    </row>
    <row r="26" spans="1:99" x14ac:dyDescent="0.35">
      <c r="A26" s="1" t="s">
        <v>4083</v>
      </c>
      <c r="B26" s="1">
        <v>175264030</v>
      </c>
      <c r="C26" s="1">
        <v>1</v>
      </c>
      <c r="D26" s="1">
        <v>1</v>
      </c>
      <c r="E26" s="1">
        <v>0</v>
      </c>
      <c r="F26" s="1">
        <v>0</v>
      </c>
      <c r="G26" s="1">
        <v>0</v>
      </c>
      <c r="H26" s="1">
        <v>0</v>
      </c>
      <c r="I26" s="1">
        <v>0</v>
      </c>
      <c r="J26" s="1">
        <v>0</v>
      </c>
      <c r="K26" s="1">
        <v>1</v>
      </c>
      <c r="L26" s="1">
        <v>0</v>
      </c>
      <c r="M26" s="1">
        <v>0</v>
      </c>
      <c r="N26" s="1">
        <v>0</v>
      </c>
      <c r="O26" s="1">
        <v>0</v>
      </c>
      <c r="P26" s="1" t="s">
        <v>741</v>
      </c>
      <c r="Q26" s="1">
        <v>8</v>
      </c>
      <c r="R26" s="1">
        <v>5</v>
      </c>
      <c r="S26" s="1">
        <v>5</v>
      </c>
      <c r="T26" s="1">
        <v>1</v>
      </c>
      <c r="U26" s="1">
        <v>4</v>
      </c>
      <c r="V26" s="1">
        <v>3</v>
      </c>
      <c r="W26" s="1">
        <v>3</v>
      </c>
      <c r="X26" s="1">
        <v>4</v>
      </c>
      <c r="Y26" s="1">
        <v>4</v>
      </c>
      <c r="Z26" s="1">
        <v>4</v>
      </c>
      <c r="AA26" s="1">
        <v>4</v>
      </c>
      <c r="CU26" s="1">
        <v>4</v>
      </c>
    </row>
    <row r="27" spans="1:99" x14ac:dyDescent="0.35">
      <c r="A27" s="1" t="s">
        <v>4084</v>
      </c>
      <c r="B27" s="1">
        <v>175264031</v>
      </c>
      <c r="C27" s="1">
        <v>0</v>
      </c>
      <c r="D27" s="1">
        <v>1</v>
      </c>
      <c r="E27" s="1">
        <v>0</v>
      </c>
      <c r="F27" s="1">
        <v>0</v>
      </c>
      <c r="G27" s="1">
        <v>0</v>
      </c>
      <c r="H27" s="1">
        <v>0</v>
      </c>
      <c r="I27" s="1">
        <v>0</v>
      </c>
      <c r="J27" s="1">
        <v>0</v>
      </c>
      <c r="K27" s="1">
        <v>0</v>
      </c>
      <c r="L27" s="1">
        <v>0</v>
      </c>
      <c r="M27" s="1">
        <v>0</v>
      </c>
      <c r="N27" s="1">
        <v>0</v>
      </c>
      <c r="O27" s="1">
        <v>0</v>
      </c>
      <c r="P27" s="1">
        <v>15</v>
      </c>
      <c r="Q27" s="1">
        <v>10</v>
      </c>
      <c r="R27" s="1">
        <v>5</v>
      </c>
      <c r="S27" s="1">
        <v>1</v>
      </c>
      <c r="T27" s="1">
        <v>3</v>
      </c>
      <c r="U27" s="1">
        <v>4</v>
      </c>
      <c r="V27" s="1">
        <v>4</v>
      </c>
      <c r="W27" s="1">
        <v>3</v>
      </c>
      <c r="X27" s="1">
        <v>4</v>
      </c>
      <c r="Y27" s="1">
        <v>4</v>
      </c>
      <c r="Z27" s="1">
        <v>4</v>
      </c>
      <c r="AA27" s="1">
        <v>4</v>
      </c>
      <c r="AC27" s="1">
        <v>1</v>
      </c>
      <c r="AD27" s="1">
        <v>1</v>
      </c>
      <c r="AE27" s="1">
        <v>1</v>
      </c>
      <c r="AF27" s="3">
        <v>4000000</v>
      </c>
      <c r="AG27" s="1">
        <v>13</v>
      </c>
      <c r="AT27" s="1" t="s">
        <v>86</v>
      </c>
      <c r="BP27" s="1">
        <v>3</v>
      </c>
      <c r="BQ27" s="1" t="s">
        <v>3952</v>
      </c>
      <c r="BR27" s="1" t="s">
        <v>3953</v>
      </c>
      <c r="BS27" s="1" t="s">
        <v>558</v>
      </c>
      <c r="BT27" s="1" t="s">
        <v>73</v>
      </c>
      <c r="BU27" s="1">
        <v>1</v>
      </c>
      <c r="BV27" s="1">
        <v>2</v>
      </c>
      <c r="BW27" s="1">
        <v>1</v>
      </c>
      <c r="BX27" s="1">
        <v>0</v>
      </c>
      <c r="BY27" s="1">
        <v>0</v>
      </c>
      <c r="BZ27" s="1">
        <v>0</v>
      </c>
      <c r="CA27" s="1">
        <v>0</v>
      </c>
      <c r="CB27" s="1">
        <v>0</v>
      </c>
      <c r="CC27" s="1">
        <v>0</v>
      </c>
      <c r="CD27" s="1">
        <v>0</v>
      </c>
      <c r="CE27" s="1">
        <v>0</v>
      </c>
      <c r="CF27" s="1">
        <v>0</v>
      </c>
      <c r="CG27" s="1">
        <v>0</v>
      </c>
      <c r="CH27" s="1">
        <v>0</v>
      </c>
      <c r="CI27" s="1">
        <v>0</v>
      </c>
      <c r="CJ27" s="1">
        <v>4</v>
      </c>
      <c r="CK27" s="1">
        <v>4</v>
      </c>
      <c r="CL27" s="1">
        <v>4</v>
      </c>
      <c r="CM27" s="1">
        <v>4</v>
      </c>
      <c r="CN27" s="1">
        <v>4</v>
      </c>
      <c r="CO27" s="1">
        <v>4</v>
      </c>
      <c r="CP27" s="1">
        <v>4</v>
      </c>
      <c r="CU27" s="1">
        <v>4</v>
      </c>
    </row>
    <row r="28" spans="1:99" x14ac:dyDescent="0.35">
      <c r="A28" s="1" t="s">
        <v>4085</v>
      </c>
      <c r="B28" s="1">
        <v>175264039</v>
      </c>
      <c r="C28" s="1">
        <v>0</v>
      </c>
      <c r="D28" s="1">
        <v>1</v>
      </c>
      <c r="E28" s="1">
        <v>0</v>
      </c>
      <c r="F28" s="1">
        <v>0</v>
      </c>
      <c r="G28" s="1">
        <v>0</v>
      </c>
      <c r="H28" s="1">
        <v>0</v>
      </c>
      <c r="I28" s="1">
        <v>0</v>
      </c>
      <c r="J28" s="1">
        <v>0</v>
      </c>
      <c r="K28" s="1">
        <v>0</v>
      </c>
      <c r="L28" s="1">
        <v>0</v>
      </c>
      <c r="M28" s="1">
        <v>1</v>
      </c>
      <c r="N28" s="1">
        <v>0</v>
      </c>
      <c r="O28" s="1">
        <v>0</v>
      </c>
      <c r="P28" s="1">
        <v>10</v>
      </c>
      <c r="Q28" s="1">
        <v>3</v>
      </c>
      <c r="R28" s="1">
        <v>3</v>
      </c>
      <c r="S28" s="1">
        <v>1</v>
      </c>
      <c r="T28" s="1">
        <v>1</v>
      </c>
      <c r="U28" s="1">
        <v>4</v>
      </c>
      <c r="V28" s="1">
        <v>4</v>
      </c>
      <c r="W28" s="1">
        <v>3</v>
      </c>
      <c r="X28" s="1">
        <v>4</v>
      </c>
      <c r="Y28" s="1">
        <v>4</v>
      </c>
      <c r="Z28" s="1">
        <v>4</v>
      </c>
      <c r="AA28" s="1">
        <v>4</v>
      </c>
      <c r="AC28" s="1">
        <v>1</v>
      </c>
      <c r="AD28" s="1">
        <v>1</v>
      </c>
      <c r="AE28" s="1">
        <v>1</v>
      </c>
      <c r="AF28" s="3">
        <v>6500000</v>
      </c>
      <c r="AG28" s="1">
        <v>11</v>
      </c>
      <c r="AR28" s="1" t="s">
        <v>130</v>
      </c>
      <c r="BP28" s="1">
        <v>3</v>
      </c>
      <c r="BQ28" s="1" t="s">
        <v>4086</v>
      </c>
      <c r="BR28" s="1" t="s">
        <v>4087</v>
      </c>
      <c r="BS28" s="1" t="s">
        <v>4088</v>
      </c>
      <c r="BT28" s="1" t="s">
        <v>73</v>
      </c>
      <c r="BU28" s="1">
        <v>2</v>
      </c>
      <c r="BV28" s="1">
        <v>2</v>
      </c>
      <c r="BW28" s="1">
        <v>1</v>
      </c>
      <c r="BX28" s="1">
        <v>0</v>
      </c>
      <c r="BY28" s="1">
        <v>0</v>
      </c>
      <c r="BZ28" s="1">
        <v>0</v>
      </c>
      <c r="CA28" s="1">
        <v>0</v>
      </c>
      <c r="CB28" s="1">
        <v>0</v>
      </c>
      <c r="CC28" s="1">
        <v>0</v>
      </c>
      <c r="CD28" s="1">
        <v>0</v>
      </c>
      <c r="CE28" s="1">
        <v>0</v>
      </c>
      <c r="CF28" s="1">
        <v>0</v>
      </c>
      <c r="CG28" s="1">
        <v>0</v>
      </c>
      <c r="CH28" s="1">
        <v>0</v>
      </c>
      <c r="CI28" s="1">
        <v>0</v>
      </c>
      <c r="CJ28" s="1">
        <v>4</v>
      </c>
      <c r="CK28" s="1">
        <v>3</v>
      </c>
      <c r="CL28" s="1">
        <v>4</v>
      </c>
      <c r="CM28" s="1">
        <v>4</v>
      </c>
      <c r="CN28" s="1">
        <v>4</v>
      </c>
      <c r="CO28" s="1">
        <v>4</v>
      </c>
      <c r="CP28" s="1">
        <v>4</v>
      </c>
      <c r="CU28" s="1">
        <v>1</v>
      </c>
    </row>
    <row r="29" spans="1:99" x14ac:dyDescent="0.35">
      <c r="A29" s="1" t="s">
        <v>4089</v>
      </c>
      <c r="B29" s="1">
        <v>175264041</v>
      </c>
      <c r="C29" s="1">
        <v>0</v>
      </c>
      <c r="D29" s="1">
        <v>1</v>
      </c>
      <c r="E29" s="1">
        <v>1</v>
      </c>
      <c r="F29" s="1">
        <v>0</v>
      </c>
      <c r="G29" s="1">
        <v>0</v>
      </c>
      <c r="H29" s="1">
        <v>0</v>
      </c>
      <c r="I29" s="1">
        <v>0</v>
      </c>
      <c r="J29" s="1">
        <v>0</v>
      </c>
      <c r="K29" s="1">
        <v>0</v>
      </c>
      <c r="L29" s="1">
        <v>1</v>
      </c>
      <c r="M29" s="1">
        <v>0</v>
      </c>
      <c r="N29" s="1">
        <v>0</v>
      </c>
      <c r="O29" s="1">
        <v>0</v>
      </c>
      <c r="P29" s="1">
        <v>7</v>
      </c>
      <c r="Q29" s="1">
        <v>2</v>
      </c>
      <c r="R29" s="1">
        <v>2</v>
      </c>
      <c r="S29" s="1">
        <v>5</v>
      </c>
      <c r="T29" s="1">
        <v>1</v>
      </c>
      <c r="U29" s="1">
        <v>4</v>
      </c>
      <c r="V29" s="1">
        <v>3</v>
      </c>
      <c r="W29" s="1">
        <v>3</v>
      </c>
      <c r="X29" s="1">
        <v>3</v>
      </c>
      <c r="Y29" s="1">
        <v>3</v>
      </c>
      <c r="Z29" s="1">
        <v>4</v>
      </c>
      <c r="AA29" s="1">
        <v>4</v>
      </c>
      <c r="CU29" s="1">
        <v>4</v>
      </c>
    </row>
    <row r="30" spans="1:99" x14ac:dyDescent="0.35">
      <c r="A30" s="1" t="s">
        <v>4090</v>
      </c>
      <c r="B30" s="1">
        <v>175264054</v>
      </c>
      <c r="C30" s="1">
        <v>1</v>
      </c>
      <c r="D30" s="1">
        <v>1</v>
      </c>
      <c r="E30" s="1">
        <v>0</v>
      </c>
      <c r="F30" s="1">
        <v>0</v>
      </c>
      <c r="G30" s="1">
        <v>0</v>
      </c>
      <c r="H30" s="1">
        <v>0</v>
      </c>
      <c r="I30" s="1">
        <v>0</v>
      </c>
      <c r="J30" s="1">
        <v>0</v>
      </c>
      <c r="K30" s="1">
        <v>0</v>
      </c>
      <c r="L30" s="1">
        <v>0</v>
      </c>
      <c r="M30" s="1">
        <v>0</v>
      </c>
      <c r="N30" s="1">
        <v>0</v>
      </c>
      <c r="O30" s="1">
        <v>0</v>
      </c>
      <c r="P30" s="1">
        <v>50</v>
      </c>
      <c r="Q30" s="1">
        <v>4</v>
      </c>
      <c r="R30" s="1">
        <v>2</v>
      </c>
      <c r="S30" s="1">
        <v>5</v>
      </c>
      <c r="T30" s="1">
        <v>1</v>
      </c>
      <c r="U30" s="1">
        <v>4</v>
      </c>
      <c r="V30" s="1">
        <v>4</v>
      </c>
      <c r="W30" s="1">
        <v>4</v>
      </c>
      <c r="X30" s="1">
        <v>4</v>
      </c>
      <c r="Y30" s="1">
        <v>4</v>
      </c>
      <c r="Z30" s="1">
        <v>4</v>
      </c>
      <c r="AA30" s="1">
        <v>4</v>
      </c>
      <c r="CU30" s="1">
        <v>4</v>
      </c>
    </row>
    <row r="31" spans="1:99" x14ac:dyDescent="0.35">
      <c r="A31" s="1" t="s">
        <v>4091</v>
      </c>
      <c r="B31" s="1">
        <v>175264055</v>
      </c>
      <c r="C31" s="1">
        <v>1</v>
      </c>
      <c r="D31" s="1">
        <v>1</v>
      </c>
      <c r="E31" s="1">
        <v>0</v>
      </c>
      <c r="F31" s="1">
        <v>0</v>
      </c>
      <c r="G31" s="1">
        <v>0</v>
      </c>
      <c r="H31" s="1">
        <v>0</v>
      </c>
      <c r="I31" s="1">
        <v>0</v>
      </c>
      <c r="J31" s="1">
        <v>1</v>
      </c>
      <c r="K31" s="1">
        <v>1</v>
      </c>
      <c r="L31" s="1">
        <v>1</v>
      </c>
      <c r="M31" s="1">
        <v>0</v>
      </c>
      <c r="N31" s="1">
        <v>0</v>
      </c>
      <c r="O31" s="1">
        <v>0</v>
      </c>
      <c r="P31" s="1" t="s">
        <v>3071</v>
      </c>
      <c r="Q31" s="1" t="s">
        <v>78</v>
      </c>
      <c r="R31" s="1" t="s">
        <v>78</v>
      </c>
      <c r="S31" s="1">
        <v>3</v>
      </c>
      <c r="T31" s="1">
        <v>1</v>
      </c>
      <c r="U31" s="1">
        <v>4</v>
      </c>
      <c r="V31" s="1">
        <v>3</v>
      </c>
      <c r="W31" s="1">
        <v>2</v>
      </c>
      <c r="X31" s="1">
        <v>4</v>
      </c>
      <c r="Y31" s="1">
        <v>4</v>
      </c>
      <c r="Z31" s="1">
        <v>3</v>
      </c>
      <c r="AA31" s="1">
        <v>4</v>
      </c>
      <c r="AB31" s="1">
        <v>1</v>
      </c>
      <c r="AC31" s="1">
        <v>2</v>
      </c>
      <c r="AE31" s="1">
        <v>0</v>
      </c>
      <c r="AF31" s="3">
        <v>4000000</v>
      </c>
      <c r="AG31" s="1">
        <v>13</v>
      </c>
      <c r="AT31" s="1" t="s">
        <v>209</v>
      </c>
      <c r="BP31" s="1">
        <v>4</v>
      </c>
      <c r="BQ31" s="1" t="s">
        <v>4092</v>
      </c>
      <c r="BT31" s="1" t="s">
        <v>107</v>
      </c>
      <c r="BU31" s="1">
        <v>2</v>
      </c>
      <c r="BV31" s="1">
        <v>2</v>
      </c>
      <c r="BW31" s="1">
        <v>0</v>
      </c>
      <c r="BX31" s="1">
        <v>0</v>
      </c>
      <c r="BY31" s="1">
        <v>0</v>
      </c>
      <c r="BZ31" s="1">
        <v>0</v>
      </c>
      <c r="CA31" s="1">
        <v>0</v>
      </c>
      <c r="CB31" s="1">
        <v>0</v>
      </c>
      <c r="CC31" s="1">
        <v>0</v>
      </c>
      <c r="CD31" s="1">
        <v>0</v>
      </c>
      <c r="CE31" s="1">
        <v>0</v>
      </c>
      <c r="CF31" s="1">
        <v>0</v>
      </c>
      <c r="CG31" s="1">
        <v>0</v>
      </c>
      <c r="CH31" s="1">
        <v>0</v>
      </c>
      <c r="CI31" s="1" t="s">
        <v>4093</v>
      </c>
      <c r="CJ31" s="1">
        <v>4</v>
      </c>
      <c r="CK31" s="1">
        <v>4</v>
      </c>
      <c r="CL31" s="1">
        <v>3</v>
      </c>
      <c r="CM31" s="1">
        <v>4</v>
      </c>
      <c r="CN31" s="1">
        <v>4</v>
      </c>
      <c r="CO31" s="1">
        <v>4</v>
      </c>
      <c r="CP31" s="1">
        <v>4</v>
      </c>
      <c r="CU31" s="1">
        <v>2</v>
      </c>
    </row>
    <row r="32" spans="1:99" x14ac:dyDescent="0.35">
      <c r="A32" s="1" t="s">
        <v>4094</v>
      </c>
      <c r="B32" s="1">
        <v>175264063</v>
      </c>
      <c r="C32" s="1">
        <v>0</v>
      </c>
      <c r="D32" s="1">
        <v>1</v>
      </c>
      <c r="E32" s="1">
        <v>0</v>
      </c>
      <c r="F32" s="1">
        <v>0</v>
      </c>
      <c r="G32" s="1">
        <v>0</v>
      </c>
      <c r="H32" s="1">
        <v>0</v>
      </c>
      <c r="I32" s="1">
        <v>0</v>
      </c>
      <c r="J32" s="1">
        <v>1</v>
      </c>
      <c r="K32" s="1">
        <v>1</v>
      </c>
      <c r="L32" s="1">
        <v>0</v>
      </c>
      <c r="M32" s="1">
        <v>1</v>
      </c>
      <c r="N32" s="1">
        <v>0</v>
      </c>
      <c r="O32" s="1">
        <v>0</v>
      </c>
      <c r="P32" s="1">
        <v>5</v>
      </c>
      <c r="Q32" s="1">
        <v>3</v>
      </c>
      <c r="R32" s="1">
        <v>4</v>
      </c>
      <c r="S32" s="1">
        <v>1</v>
      </c>
      <c r="T32" s="1">
        <v>1</v>
      </c>
      <c r="U32" s="1">
        <v>3</v>
      </c>
      <c r="V32" s="1">
        <v>4</v>
      </c>
      <c r="W32" s="1">
        <v>4</v>
      </c>
      <c r="X32" s="1">
        <v>4</v>
      </c>
      <c r="Y32" s="1">
        <v>4</v>
      </c>
      <c r="Z32" s="1">
        <v>4</v>
      </c>
      <c r="AA32" s="1">
        <v>4</v>
      </c>
      <c r="AC32" s="1">
        <v>1</v>
      </c>
      <c r="AD32" s="1">
        <v>0</v>
      </c>
      <c r="AE32" s="1">
        <v>0</v>
      </c>
      <c r="AF32" s="3">
        <v>5600000</v>
      </c>
      <c r="AG32" s="1">
        <v>13</v>
      </c>
      <c r="AT32" s="1" t="s">
        <v>86</v>
      </c>
      <c r="BP32" s="1">
        <v>3</v>
      </c>
      <c r="BQ32" s="1" t="s">
        <v>4095</v>
      </c>
      <c r="BR32" s="1" t="s">
        <v>4096</v>
      </c>
      <c r="BS32" s="1" t="s">
        <v>4097</v>
      </c>
      <c r="BT32" s="1" t="s">
        <v>79</v>
      </c>
      <c r="BU32" s="1">
        <v>3</v>
      </c>
      <c r="BV32" s="1">
        <v>2</v>
      </c>
      <c r="BW32" s="1">
        <v>1</v>
      </c>
      <c r="BX32" s="1">
        <v>0</v>
      </c>
      <c r="BY32" s="1">
        <v>0</v>
      </c>
      <c r="BZ32" s="1">
        <v>0</v>
      </c>
      <c r="CA32" s="1">
        <v>0</v>
      </c>
      <c r="CB32" s="1">
        <v>0</v>
      </c>
      <c r="CC32" s="1">
        <v>0</v>
      </c>
      <c r="CD32" s="1">
        <v>0</v>
      </c>
      <c r="CE32" s="1">
        <v>0</v>
      </c>
      <c r="CF32" s="1">
        <v>0</v>
      </c>
      <c r="CG32" s="1">
        <v>0</v>
      </c>
      <c r="CH32" s="1">
        <v>0</v>
      </c>
      <c r="CI32" s="1">
        <v>0</v>
      </c>
      <c r="CJ32" s="1">
        <v>4</v>
      </c>
      <c r="CK32" s="1">
        <v>4</v>
      </c>
      <c r="CL32" s="1">
        <v>4</v>
      </c>
      <c r="CM32" s="1">
        <v>4</v>
      </c>
      <c r="CN32" s="1">
        <v>4</v>
      </c>
      <c r="CO32" s="1">
        <v>4</v>
      </c>
      <c r="CP32" s="1">
        <v>4</v>
      </c>
      <c r="CU32" s="1">
        <v>1</v>
      </c>
    </row>
    <row r="33" spans="1:2" x14ac:dyDescent="0.35">
      <c r="A33" s="1" t="s">
        <v>4233</v>
      </c>
      <c r="B33" s="1">
        <v>165264022</v>
      </c>
    </row>
    <row r="34" spans="1:2" x14ac:dyDescent="0.35">
      <c r="A34" s="1" t="s">
        <v>4234</v>
      </c>
      <c r="B34" s="1">
        <v>175264004</v>
      </c>
    </row>
    <row r="35" spans="1:2" x14ac:dyDescent="0.35">
      <c r="A35" s="1" t="s">
        <v>4235</v>
      </c>
      <c r="B35" s="1">
        <v>175264018</v>
      </c>
    </row>
    <row r="36" spans="1:2" x14ac:dyDescent="0.35">
      <c r="A36" s="1" t="s">
        <v>4236</v>
      </c>
      <c r="B36" s="1">
        <v>175264024</v>
      </c>
    </row>
    <row r="37" spans="1:2" x14ac:dyDescent="0.35">
      <c r="A37" s="1" t="s">
        <v>4237</v>
      </c>
      <c r="B37" s="1">
        <v>175264032</v>
      </c>
    </row>
    <row r="38" spans="1:2" x14ac:dyDescent="0.35">
      <c r="A38" s="1" t="s">
        <v>4238</v>
      </c>
      <c r="B38" s="1">
        <v>175264033</v>
      </c>
    </row>
    <row r="39" spans="1:2" x14ac:dyDescent="0.35">
      <c r="A39" s="1" t="s">
        <v>4239</v>
      </c>
      <c r="B39" s="1">
        <v>175264034</v>
      </c>
    </row>
    <row r="40" spans="1:2" x14ac:dyDescent="0.35">
      <c r="A40" s="1" t="s">
        <v>4240</v>
      </c>
      <c r="B40" s="1">
        <v>175264035</v>
      </c>
    </row>
    <row r="41" spans="1:2" x14ac:dyDescent="0.35">
      <c r="A41" s="1" t="s">
        <v>4241</v>
      </c>
      <c r="B41" s="1">
        <v>175264036</v>
      </c>
    </row>
    <row r="42" spans="1:2" x14ac:dyDescent="0.35">
      <c r="A42" s="1" t="s">
        <v>4242</v>
      </c>
      <c r="B42" s="1">
        <v>175264037</v>
      </c>
    </row>
    <row r="43" spans="1:2" x14ac:dyDescent="0.35">
      <c r="A43" s="1" t="s">
        <v>4243</v>
      </c>
      <c r="B43" s="1">
        <v>175264038</v>
      </c>
    </row>
    <row r="44" spans="1:2" x14ac:dyDescent="0.35">
      <c r="A44" s="1" t="s">
        <v>4244</v>
      </c>
      <c r="B44" s="1">
        <v>175264040</v>
      </c>
    </row>
    <row r="45" spans="1:2" x14ac:dyDescent="0.35">
      <c r="A45" s="1" t="s">
        <v>4245</v>
      </c>
      <c r="B45" s="1">
        <v>175264042</v>
      </c>
    </row>
    <row r="46" spans="1:2" x14ac:dyDescent="0.35">
      <c r="A46" s="1" t="s">
        <v>4246</v>
      </c>
      <c r="B46" s="1">
        <v>175264043</v>
      </c>
    </row>
    <row r="47" spans="1:2" x14ac:dyDescent="0.35">
      <c r="A47" s="1" t="s">
        <v>4247</v>
      </c>
      <c r="B47" s="1">
        <v>175264044</v>
      </c>
    </row>
    <row r="48" spans="1:2" x14ac:dyDescent="0.35">
      <c r="A48" s="1" t="s">
        <v>4248</v>
      </c>
      <c r="B48" s="1">
        <v>175264045</v>
      </c>
    </row>
    <row r="49" spans="1:2" x14ac:dyDescent="0.35">
      <c r="A49" s="1" t="s">
        <v>4249</v>
      </c>
      <c r="B49" s="1">
        <v>175264046</v>
      </c>
    </row>
    <row r="50" spans="1:2" x14ac:dyDescent="0.35">
      <c r="A50" s="1" t="s">
        <v>4250</v>
      </c>
      <c r="B50" s="1">
        <v>175264047</v>
      </c>
    </row>
    <row r="51" spans="1:2" x14ac:dyDescent="0.35">
      <c r="A51" s="1" t="s">
        <v>4251</v>
      </c>
      <c r="B51" s="1">
        <v>175264048</v>
      </c>
    </row>
    <row r="52" spans="1:2" x14ac:dyDescent="0.35">
      <c r="A52" s="1" t="s">
        <v>4252</v>
      </c>
      <c r="B52" s="1">
        <v>175264049</v>
      </c>
    </row>
    <row r="53" spans="1:2" x14ac:dyDescent="0.35">
      <c r="A53" s="1" t="s">
        <v>4253</v>
      </c>
      <c r="B53" s="1">
        <v>175264050</v>
      </c>
    </row>
    <row r="54" spans="1:2" x14ac:dyDescent="0.35">
      <c r="A54" s="1" t="s">
        <v>4254</v>
      </c>
      <c r="B54" s="1">
        <v>175264051</v>
      </c>
    </row>
    <row r="55" spans="1:2" x14ac:dyDescent="0.35">
      <c r="A55" s="1" t="s">
        <v>4255</v>
      </c>
      <c r="B55" s="1">
        <v>175264052</v>
      </c>
    </row>
    <row r="56" spans="1:2" x14ac:dyDescent="0.35">
      <c r="A56" s="1" t="s">
        <v>4256</v>
      </c>
      <c r="B56" s="1">
        <v>175264056</v>
      </c>
    </row>
    <row r="57" spans="1:2" x14ac:dyDescent="0.35">
      <c r="A57" s="1" t="s">
        <v>4257</v>
      </c>
      <c r="B57" s="1">
        <v>175264057</v>
      </c>
    </row>
    <row r="58" spans="1:2" x14ac:dyDescent="0.35">
      <c r="A58" s="1" t="s">
        <v>4258</v>
      </c>
      <c r="B58" s="1">
        <v>175264058</v>
      </c>
    </row>
    <row r="59" spans="1:2" x14ac:dyDescent="0.35">
      <c r="A59" s="1" t="s">
        <v>4259</v>
      </c>
      <c r="B59" s="1">
        <v>175264059</v>
      </c>
    </row>
    <row r="60" spans="1:2" x14ac:dyDescent="0.35">
      <c r="A60" s="1" t="s">
        <v>4260</v>
      </c>
      <c r="B60" s="1">
        <v>175264061</v>
      </c>
    </row>
    <row r="61" spans="1:2" x14ac:dyDescent="0.35">
      <c r="A61" s="1" t="s">
        <v>4261</v>
      </c>
      <c r="B61" s="1">
        <v>175264062</v>
      </c>
    </row>
    <row r="62" spans="1:2" x14ac:dyDescent="0.35">
      <c r="A62" s="1" t="s">
        <v>4262</v>
      </c>
      <c r="B62" s="1">
        <v>175264064</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AB61CE-8DAA-45F4-9C3A-7462BADB0117}">
  <dimension ref="A1:CU32"/>
  <sheetViews>
    <sheetView topLeftCell="T1" zoomScale="55" zoomScaleNormal="55" workbookViewId="0">
      <pane ySplit="1" topLeftCell="A2" activePane="bottomLeft" state="frozen"/>
      <selection pane="bottomLeft" activeCell="T1" sqref="T1"/>
    </sheetView>
  </sheetViews>
  <sheetFormatPr defaultColWidth="8.90625" defaultRowHeight="14.5" x14ac:dyDescent="0.35"/>
  <cols>
    <col min="1" max="1" width="30.36328125" style="1" bestFit="1" customWidth="1"/>
    <col min="2" max="2" width="10" style="1" customWidth="1"/>
    <col min="3" max="9" width="64.08984375" style="1" bestFit="1" customWidth="1"/>
    <col min="10" max="14" width="65.08984375" style="1" bestFit="1" customWidth="1"/>
    <col min="15" max="15" width="67.54296875" style="1" bestFit="1" customWidth="1"/>
    <col min="16" max="16" width="110" style="1" bestFit="1" customWidth="1"/>
    <col min="17" max="17" width="63.90625" style="1" bestFit="1" customWidth="1"/>
    <col min="18" max="18" width="73" style="1" bestFit="1" customWidth="1"/>
    <col min="19" max="19" width="25" style="1" bestFit="1" customWidth="1"/>
    <col min="20" max="20" width="41.26953125" style="1" bestFit="1" customWidth="1"/>
    <col min="21" max="21" width="67.08984375" style="1" bestFit="1" customWidth="1"/>
    <col min="22" max="22" width="90.453125" style="1" bestFit="1" customWidth="1"/>
    <col min="23" max="23" width="74.90625" style="1" bestFit="1" customWidth="1"/>
    <col min="24" max="24" width="89.36328125" style="1" bestFit="1" customWidth="1"/>
    <col min="25" max="25" width="72.453125" style="1" bestFit="1" customWidth="1"/>
    <col min="26" max="26" width="75.1796875" style="1" bestFit="1" customWidth="1"/>
    <col min="27" max="27" width="79" style="1" bestFit="1" customWidth="1"/>
    <col min="28" max="28" width="43.08984375" style="1" bestFit="1" customWidth="1"/>
    <col min="29" max="29" width="73.1796875" style="1" bestFit="1" customWidth="1"/>
    <col min="30" max="30" width="43.36328125" style="1" bestFit="1" customWidth="1"/>
    <col min="31" max="31" width="50.54296875" style="1" bestFit="1" customWidth="1"/>
    <col min="32" max="32" width="120.26953125" style="1" bestFit="1" customWidth="1"/>
    <col min="33" max="33" width="39.08984375" style="1" bestFit="1" customWidth="1"/>
    <col min="34" max="35" width="45.7265625" style="1" bestFit="1" customWidth="1"/>
    <col min="36" max="37" width="46.1796875" style="1" bestFit="1" customWidth="1"/>
    <col min="38" max="38" width="45.7265625" style="1" bestFit="1" customWidth="1"/>
    <col min="39" max="52" width="46.1796875" style="1" bestFit="1" customWidth="1"/>
    <col min="53" max="55" width="45.7265625" style="1" bestFit="1" customWidth="1"/>
    <col min="56" max="64" width="46.1796875" style="1" bestFit="1" customWidth="1"/>
    <col min="65" max="67" width="45.7265625" style="1" bestFit="1" customWidth="1"/>
    <col min="68" max="68" width="58.90625" style="1" bestFit="1" customWidth="1"/>
    <col min="69" max="69" width="43.26953125" style="1" bestFit="1" customWidth="1"/>
    <col min="70" max="70" width="45.36328125" style="1" bestFit="1" customWidth="1"/>
    <col min="71" max="71" width="45.26953125" style="1" bestFit="1" customWidth="1"/>
    <col min="72" max="72" width="55.453125" style="1" bestFit="1" customWidth="1"/>
    <col min="73" max="73" width="217.453125" style="1" bestFit="1" customWidth="1"/>
    <col min="74" max="74" width="65.08984375" style="1" bestFit="1" customWidth="1"/>
    <col min="75" max="83" width="117.26953125" style="1" bestFit="1" customWidth="1"/>
    <col min="84" max="86" width="118.26953125" style="1" bestFit="1" customWidth="1"/>
    <col min="87" max="87" width="120.7265625" style="1" bestFit="1" customWidth="1"/>
    <col min="88" max="88" width="76.6328125" style="1" bestFit="1" customWidth="1"/>
    <col min="89" max="89" width="100.26953125" style="1" bestFit="1" customWidth="1"/>
    <col min="90" max="90" width="84.36328125" style="1" bestFit="1" customWidth="1"/>
    <col min="91" max="91" width="98.6328125" style="1" bestFit="1" customWidth="1"/>
    <col min="92" max="92" width="81.90625" style="1" bestFit="1" customWidth="1"/>
    <col min="93" max="93" width="84.7265625" style="1" bestFit="1" customWidth="1"/>
    <col min="94" max="94" width="88.54296875" style="1" bestFit="1" customWidth="1"/>
    <col min="95" max="95" width="40.54296875" style="1" bestFit="1" customWidth="1"/>
    <col min="96" max="96" width="53.36328125" style="1" bestFit="1" customWidth="1"/>
    <col min="97" max="97" width="23.90625" style="1" bestFit="1" customWidth="1"/>
    <col min="98" max="98" width="24.7265625" style="1" bestFit="1" customWidth="1"/>
    <col min="99" max="99" width="51.90625" style="1" bestFit="1" customWidth="1"/>
    <col min="100" max="16384" width="8.90625" style="1"/>
  </cols>
  <sheetData>
    <row r="1" spans="1:99" s="6" customFormat="1" x14ac:dyDescent="0.35">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6" t="s">
        <v>15</v>
      </c>
      <c r="Q1" s="6" t="s">
        <v>16</v>
      </c>
      <c r="R1" s="6" t="s">
        <v>17</v>
      </c>
      <c r="S1" s="6" t="s">
        <v>18</v>
      </c>
      <c r="T1" s="6" t="s">
        <v>19</v>
      </c>
      <c r="U1" s="6" t="s">
        <v>20</v>
      </c>
      <c r="V1" s="6" t="s">
        <v>21</v>
      </c>
      <c r="W1" s="6" t="s">
        <v>22</v>
      </c>
      <c r="X1" s="6" t="s">
        <v>23</v>
      </c>
      <c r="Y1" s="6" t="s">
        <v>24</v>
      </c>
      <c r="Z1" s="6" t="s">
        <v>25</v>
      </c>
      <c r="AA1" s="6" t="s">
        <v>26</v>
      </c>
      <c r="AB1" s="6" t="s">
        <v>27</v>
      </c>
      <c r="AC1" s="6" t="s">
        <v>28</v>
      </c>
      <c r="AD1" s="6" t="s">
        <v>29</v>
      </c>
      <c r="AE1" s="6" t="s">
        <v>30</v>
      </c>
      <c r="AF1" s="6" t="s">
        <v>31</v>
      </c>
      <c r="AG1" s="6" t="s">
        <v>32</v>
      </c>
      <c r="AH1" s="6" t="s">
        <v>33</v>
      </c>
      <c r="AI1" s="6" t="s">
        <v>33</v>
      </c>
      <c r="AJ1" s="6" t="s">
        <v>34</v>
      </c>
      <c r="AK1" s="6" t="s">
        <v>34</v>
      </c>
      <c r="AL1" s="6" t="s">
        <v>33</v>
      </c>
      <c r="AM1" s="6" t="s">
        <v>34</v>
      </c>
      <c r="AN1" s="6" t="s">
        <v>34</v>
      </c>
      <c r="AO1" s="6" t="s">
        <v>34</v>
      </c>
      <c r="AP1" s="6" t="s">
        <v>34</v>
      </c>
      <c r="AQ1" s="6" t="s">
        <v>34</v>
      </c>
      <c r="AR1" s="6" t="s">
        <v>34</v>
      </c>
      <c r="AS1" s="6" t="s">
        <v>34</v>
      </c>
      <c r="AT1" s="6" t="s">
        <v>34</v>
      </c>
      <c r="AU1" s="6" t="s">
        <v>34</v>
      </c>
      <c r="AV1" s="6" t="s">
        <v>34</v>
      </c>
      <c r="AW1" s="6" t="s">
        <v>34</v>
      </c>
      <c r="AX1" s="6" t="s">
        <v>34</v>
      </c>
      <c r="AY1" s="6" t="s">
        <v>34</v>
      </c>
      <c r="AZ1" s="6" t="s">
        <v>34</v>
      </c>
      <c r="BA1" s="6" t="s">
        <v>33</v>
      </c>
      <c r="BB1" s="6" t="s">
        <v>33</v>
      </c>
      <c r="BC1" s="6" t="s">
        <v>33</v>
      </c>
      <c r="BD1" s="6" t="s">
        <v>34</v>
      </c>
      <c r="BE1" s="6" t="s">
        <v>34</v>
      </c>
      <c r="BF1" s="6" t="s">
        <v>34</v>
      </c>
      <c r="BG1" s="6" t="s">
        <v>34</v>
      </c>
      <c r="BH1" s="6" t="s">
        <v>34</v>
      </c>
      <c r="BI1" s="6" t="s">
        <v>34</v>
      </c>
      <c r="BJ1" s="6" t="s">
        <v>34</v>
      </c>
      <c r="BK1" s="6" t="s">
        <v>34</v>
      </c>
      <c r="BL1" s="6" t="s">
        <v>34</v>
      </c>
      <c r="BM1" s="6" t="s">
        <v>33</v>
      </c>
      <c r="BN1" s="6" t="s">
        <v>33</v>
      </c>
      <c r="BO1" s="6" t="s">
        <v>33</v>
      </c>
      <c r="BP1" s="6" t="s">
        <v>35</v>
      </c>
      <c r="BQ1" s="6" t="s">
        <v>36</v>
      </c>
      <c r="BR1" s="6" t="s">
        <v>37</v>
      </c>
      <c r="BS1" s="6" t="s">
        <v>38</v>
      </c>
      <c r="BT1" s="6" t="s">
        <v>39</v>
      </c>
      <c r="BU1" s="6" t="s">
        <v>40</v>
      </c>
      <c r="BV1" s="6" t="s">
        <v>41</v>
      </c>
      <c r="BW1" s="6" t="s">
        <v>42</v>
      </c>
      <c r="BX1" s="6" t="s">
        <v>43</v>
      </c>
      <c r="BY1" s="6" t="s">
        <v>44</v>
      </c>
      <c r="BZ1" s="6" t="s">
        <v>45</v>
      </c>
      <c r="CA1" s="6" t="s">
        <v>46</v>
      </c>
      <c r="CB1" s="6" t="s">
        <v>47</v>
      </c>
      <c r="CC1" s="6" t="s">
        <v>48</v>
      </c>
      <c r="CD1" s="6" t="s">
        <v>49</v>
      </c>
      <c r="CE1" s="6" t="s">
        <v>50</v>
      </c>
      <c r="CF1" s="6" t="s">
        <v>51</v>
      </c>
      <c r="CG1" s="6" t="s">
        <v>52</v>
      </c>
      <c r="CH1" s="6" t="s">
        <v>53</v>
      </c>
      <c r="CI1" s="6" t="s">
        <v>54</v>
      </c>
      <c r="CJ1" s="6" t="s">
        <v>55</v>
      </c>
      <c r="CK1" s="6" t="s">
        <v>56</v>
      </c>
      <c r="CL1" s="6" t="s">
        <v>57</v>
      </c>
      <c r="CM1" s="6" t="s">
        <v>58</v>
      </c>
      <c r="CN1" s="6" t="s">
        <v>59</v>
      </c>
      <c r="CO1" s="6" t="s">
        <v>60</v>
      </c>
      <c r="CP1" s="6" t="s">
        <v>61</v>
      </c>
      <c r="CQ1" s="6" t="s">
        <v>62</v>
      </c>
      <c r="CR1" s="6" t="s">
        <v>63</v>
      </c>
      <c r="CS1" s="6" t="s">
        <v>64</v>
      </c>
      <c r="CT1" s="6" t="s">
        <v>65</v>
      </c>
      <c r="CU1" s="6" t="s">
        <v>66</v>
      </c>
    </row>
    <row r="2" spans="1:99" x14ac:dyDescent="0.35">
      <c r="A2" s="1" t="s">
        <v>4098</v>
      </c>
      <c r="B2" s="1">
        <v>185231001</v>
      </c>
      <c r="C2" s="1">
        <v>0</v>
      </c>
      <c r="D2" s="1">
        <v>0</v>
      </c>
      <c r="E2" s="1">
        <v>0</v>
      </c>
      <c r="F2" s="1">
        <v>0</v>
      </c>
      <c r="G2" s="1">
        <v>0</v>
      </c>
      <c r="H2" s="1">
        <v>0</v>
      </c>
      <c r="I2" s="1">
        <v>0</v>
      </c>
      <c r="J2" s="1">
        <v>0</v>
      </c>
      <c r="K2" s="1">
        <v>0</v>
      </c>
      <c r="L2" s="1">
        <v>0</v>
      </c>
      <c r="M2" s="1">
        <v>1</v>
      </c>
      <c r="N2" s="1">
        <v>0</v>
      </c>
      <c r="O2" s="1">
        <v>0</v>
      </c>
      <c r="P2" s="1">
        <v>20</v>
      </c>
      <c r="Q2" s="1">
        <v>5</v>
      </c>
      <c r="R2" s="1">
        <v>5</v>
      </c>
      <c r="S2" s="1">
        <v>1</v>
      </c>
      <c r="T2" s="1">
        <v>1</v>
      </c>
      <c r="U2" s="1">
        <v>3</v>
      </c>
      <c r="V2" s="1">
        <v>4</v>
      </c>
      <c r="W2" s="1">
        <v>3</v>
      </c>
      <c r="X2" s="1">
        <v>3</v>
      </c>
      <c r="Y2" s="1">
        <v>3</v>
      </c>
      <c r="Z2" s="1">
        <v>3</v>
      </c>
      <c r="AA2" s="1">
        <v>3</v>
      </c>
      <c r="AC2" s="1">
        <v>1</v>
      </c>
      <c r="AD2" s="1">
        <v>1</v>
      </c>
      <c r="AF2" s="3">
        <v>7800000</v>
      </c>
      <c r="AG2" s="1">
        <v>11</v>
      </c>
      <c r="AR2" s="1" t="s">
        <v>144</v>
      </c>
      <c r="BP2" s="1">
        <v>3</v>
      </c>
      <c r="BQ2" s="1" t="s">
        <v>4099</v>
      </c>
      <c r="BR2" s="1" t="s">
        <v>4100</v>
      </c>
      <c r="BS2" s="1" t="s">
        <v>4101</v>
      </c>
      <c r="BT2" s="1" t="s">
        <v>79</v>
      </c>
      <c r="BU2" s="1">
        <v>3</v>
      </c>
      <c r="BV2" s="1">
        <v>2</v>
      </c>
      <c r="BW2" s="1">
        <v>0</v>
      </c>
      <c r="BX2" s="1">
        <v>0</v>
      </c>
      <c r="BY2" s="1">
        <v>1</v>
      </c>
      <c r="BZ2" s="1">
        <v>0</v>
      </c>
      <c r="CA2" s="1">
        <v>0</v>
      </c>
      <c r="CB2" s="1">
        <v>0</v>
      </c>
      <c r="CC2" s="1">
        <v>0</v>
      </c>
      <c r="CD2" s="1">
        <v>1</v>
      </c>
      <c r="CE2" s="1">
        <v>1</v>
      </c>
      <c r="CF2" s="1">
        <v>0</v>
      </c>
      <c r="CG2" s="1">
        <v>0</v>
      </c>
      <c r="CH2" s="1">
        <v>0</v>
      </c>
      <c r="CI2" s="1">
        <v>0</v>
      </c>
      <c r="CJ2" s="1">
        <v>3</v>
      </c>
      <c r="CK2" s="1">
        <v>4</v>
      </c>
      <c r="CL2" s="1">
        <v>4</v>
      </c>
      <c r="CM2" s="1">
        <v>3</v>
      </c>
      <c r="CN2" s="1">
        <v>3</v>
      </c>
      <c r="CO2" s="1">
        <v>3</v>
      </c>
      <c r="CP2" s="1">
        <v>3</v>
      </c>
      <c r="CU2" s="1">
        <v>1</v>
      </c>
    </row>
    <row r="3" spans="1:99" x14ac:dyDescent="0.35">
      <c r="A3" s="1" t="s">
        <v>4102</v>
      </c>
      <c r="B3" s="1">
        <v>185231003</v>
      </c>
      <c r="C3" s="1">
        <v>0</v>
      </c>
      <c r="D3" s="1">
        <v>1</v>
      </c>
      <c r="E3" s="1">
        <v>0</v>
      </c>
      <c r="F3" s="1">
        <v>0</v>
      </c>
      <c r="G3" s="1">
        <v>0</v>
      </c>
      <c r="H3" s="1">
        <v>1</v>
      </c>
      <c r="I3" s="1">
        <v>1</v>
      </c>
      <c r="J3" s="1">
        <v>1</v>
      </c>
      <c r="K3" s="1">
        <v>1</v>
      </c>
      <c r="L3" s="1">
        <v>1</v>
      </c>
      <c r="M3" s="1">
        <v>1</v>
      </c>
      <c r="N3" s="1">
        <v>0</v>
      </c>
      <c r="O3" s="1">
        <v>0</v>
      </c>
      <c r="P3" s="1" t="s">
        <v>671</v>
      </c>
      <c r="Q3" s="1">
        <v>10</v>
      </c>
      <c r="R3" s="1">
        <v>5</v>
      </c>
      <c r="S3" s="1">
        <v>4</v>
      </c>
      <c r="T3" s="1">
        <v>1</v>
      </c>
      <c r="U3" s="1">
        <v>4</v>
      </c>
      <c r="V3" s="1">
        <v>4</v>
      </c>
      <c r="W3" s="1">
        <v>2</v>
      </c>
      <c r="X3" s="1">
        <v>4</v>
      </c>
      <c r="Y3" s="1">
        <v>4</v>
      </c>
      <c r="Z3" s="1">
        <v>4</v>
      </c>
      <c r="AA3" s="1">
        <v>4</v>
      </c>
      <c r="CQ3" s="1">
        <v>1</v>
      </c>
      <c r="CR3" s="1" t="s">
        <v>4103</v>
      </c>
      <c r="CS3" s="1" t="s">
        <v>4104</v>
      </c>
      <c r="CT3" s="5">
        <v>44718</v>
      </c>
      <c r="CU3" s="1">
        <v>4</v>
      </c>
    </row>
    <row r="4" spans="1:99" x14ac:dyDescent="0.35">
      <c r="A4" s="1" t="s">
        <v>4105</v>
      </c>
      <c r="B4" s="1">
        <v>185231006</v>
      </c>
      <c r="C4" s="1">
        <v>0</v>
      </c>
      <c r="D4" s="1">
        <v>1</v>
      </c>
      <c r="E4" s="1">
        <v>0</v>
      </c>
      <c r="F4" s="1">
        <v>0</v>
      </c>
      <c r="G4" s="1">
        <v>0</v>
      </c>
      <c r="H4" s="1">
        <v>0</v>
      </c>
      <c r="I4" s="1">
        <v>0</v>
      </c>
      <c r="J4" s="1">
        <v>0</v>
      </c>
      <c r="K4" s="1">
        <v>0</v>
      </c>
      <c r="L4" s="1">
        <v>0</v>
      </c>
      <c r="M4" s="1">
        <v>0</v>
      </c>
      <c r="N4" s="1">
        <v>0</v>
      </c>
      <c r="O4" s="1">
        <v>0</v>
      </c>
      <c r="P4" s="1">
        <v>90</v>
      </c>
      <c r="Q4" s="1">
        <v>40</v>
      </c>
      <c r="R4" s="1">
        <f>-25</f>
        <v>-25</v>
      </c>
      <c r="S4" s="1">
        <v>1</v>
      </c>
      <c r="T4" s="1">
        <v>1</v>
      </c>
      <c r="U4" s="1">
        <v>4</v>
      </c>
      <c r="V4" s="1">
        <v>3</v>
      </c>
      <c r="W4" s="1">
        <v>3</v>
      </c>
      <c r="X4" s="1">
        <v>4</v>
      </c>
      <c r="Y4" s="1">
        <v>3</v>
      </c>
      <c r="Z4" s="1">
        <v>4</v>
      </c>
      <c r="AA4" s="1">
        <v>3</v>
      </c>
      <c r="AC4" s="1">
        <v>2</v>
      </c>
      <c r="AE4" s="1">
        <v>5</v>
      </c>
      <c r="AF4" s="3">
        <v>2500000</v>
      </c>
      <c r="AG4" s="1">
        <v>11</v>
      </c>
      <c r="AR4" s="1" t="s">
        <v>222</v>
      </c>
      <c r="BP4" s="1">
        <v>4</v>
      </c>
      <c r="BQ4" s="1" t="s">
        <v>4106</v>
      </c>
      <c r="BR4" s="1" t="s">
        <v>4107</v>
      </c>
      <c r="BT4" s="1" t="s">
        <v>107</v>
      </c>
      <c r="BU4" s="1">
        <v>2</v>
      </c>
      <c r="BV4" s="1">
        <v>1</v>
      </c>
      <c r="BW4" s="1">
        <v>0</v>
      </c>
      <c r="BX4" s="1">
        <v>0</v>
      </c>
      <c r="BY4" s="1">
        <v>1</v>
      </c>
      <c r="BZ4" s="1">
        <v>0</v>
      </c>
      <c r="CA4" s="1">
        <v>0</v>
      </c>
      <c r="CB4" s="1">
        <v>0</v>
      </c>
      <c r="CC4" s="1">
        <v>0</v>
      </c>
      <c r="CD4" s="1">
        <v>0</v>
      </c>
      <c r="CE4" s="1">
        <v>1</v>
      </c>
      <c r="CF4" s="1">
        <v>0</v>
      </c>
      <c r="CG4" s="1">
        <v>0</v>
      </c>
      <c r="CH4" s="1">
        <v>0</v>
      </c>
      <c r="CI4" s="1">
        <v>0</v>
      </c>
      <c r="CJ4" s="1">
        <v>4</v>
      </c>
      <c r="CK4" s="1">
        <v>4</v>
      </c>
      <c r="CL4" s="1">
        <v>3</v>
      </c>
      <c r="CM4" s="1">
        <v>4</v>
      </c>
      <c r="CN4" s="1">
        <v>3</v>
      </c>
      <c r="CO4" s="1">
        <v>3</v>
      </c>
      <c r="CP4" s="1">
        <v>3</v>
      </c>
      <c r="CU4" s="1">
        <v>4</v>
      </c>
    </row>
    <row r="5" spans="1:99" x14ac:dyDescent="0.35">
      <c r="A5" s="1" t="s">
        <v>4108</v>
      </c>
      <c r="B5" s="1">
        <v>185231008</v>
      </c>
      <c r="C5" s="1">
        <v>0</v>
      </c>
      <c r="D5" s="1">
        <v>1</v>
      </c>
      <c r="E5" s="1">
        <v>1</v>
      </c>
      <c r="F5" s="1">
        <v>0</v>
      </c>
      <c r="G5" s="1">
        <v>0</v>
      </c>
      <c r="H5" s="1">
        <v>1</v>
      </c>
      <c r="I5" s="1">
        <v>0</v>
      </c>
      <c r="J5" s="1">
        <v>1</v>
      </c>
      <c r="K5" s="1">
        <v>1</v>
      </c>
      <c r="L5" s="1">
        <v>1</v>
      </c>
      <c r="M5" s="1">
        <v>1</v>
      </c>
      <c r="N5" s="1">
        <v>0</v>
      </c>
      <c r="O5" s="1">
        <v>0</v>
      </c>
      <c r="P5" s="1">
        <v>10</v>
      </c>
      <c r="Q5" s="1">
        <v>8</v>
      </c>
      <c r="R5" s="1">
        <v>7</v>
      </c>
      <c r="S5" s="1">
        <v>1</v>
      </c>
      <c r="T5" s="1">
        <v>3</v>
      </c>
      <c r="U5" s="1">
        <v>3</v>
      </c>
      <c r="V5" s="1">
        <v>3</v>
      </c>
      <c r="W5" s="1">
        <v>4</v>
      </c>
      <c r="X5" s="1">
        <v>3</v>
      </c>
      <c r="Y5" s="1">
        <v>4</v>
      </c>
      <c r="Z5" s="1">
        <v>3</v>
      </c>
      <c r="AA5" s="1">
        <v>3</v>
      </c>
      <c r="AC5" s="1">
        <v>2</v>
      </c>
      <c r="AE5" s="1">
        <v>6</v>
      </c>
      <c r="AF5" s="3">
        <v>3200000</v>
      </c>
      <c r="AG5" s="1">
        <v>13</v>
      </c>
      <c r="AT5" s="1" t="s">
        <v>209</v>
      </c>
      <c r="BP5" s="1">
        <v>4</v>
      </c>
      <c r="BQ5" s="1" t="s">
        <v>571</v>
      </c>
      <c r="BR5" s="1" t="s">
        <v>623</v>
      </c>
      <c r="BS5" s="1" t="s">
        <v>624</v>
      </c>
      <c r="BT5" s="1" t="s">
        <v>79</v>
      </c>
      <c r="BU5" s="1">
        <v>2</v>
      </c>
      <c r="BV5" s="1">
        <v>2</v>
      </c>
      <c r="BW5" s="1">
        <v>1</v>
      </c>
      <c r="BX5" s="1">
        <v>0</v>
      </c>
      <c r="BY5" s="1">
        <v>0</v>
      </c>
      <c r="BZ5" s="1">
        <v>0</v>
      </c>
      <c r="CA5" s="1">
        <v>0</v>
      </c>
      <c r="CB5" s="1">
        <v>0</v>
      </c>
      <c r="CC5" s="1">
        <v>0</v>
      </c>
      <c r="CD5" s="1">
        <v>0</v>
      </c>
      <c r="CE5" s="1">
        <v>0</v>
      </c>
      <c r="CF5" s="1">
        <v>0</v>
      </c>
      <c r="CG5" s="1">
        <v>0</v>
      </c>
      <c r="CH5" s="1">
        <v>0</v>
      </c>
      <c r="CI5" s="1">
        <v>0</v>
      </c>
      <c r="CJ5" s="1">
        <v>3</v>
      </c>
      <c r="CK5" s="1">
        <v>3</v>
      </c>
      <c r="CL5" s="1">
        <v>3</v>
      </c>
      <c r="CM5" s="1">
        <v>4</v>
      </c>
      <c r="CN5" s="1">
        <v>4</v>
      </c>
      <c r="CO5" s="1">
        <v>4</v>
      </c>
      <c r="CP5" s="1">
        <v>4</v>
      </c>
      <c r="CU5" s="1">
        <v>4</v>
      </c>
    </row>
    <row r="6" spans="1:99" x14ac:dyDescent="0.35">
      <c r="A6" s="1" t="s">
        <v>4109</v>
      </c>
      <c r="B6" s="1">
        <v>185231013</v>
      </c>
      <c r="C6" s="1">
        <v>0</v>
      </c>
      <c r="D6" s="1">
        <v>1</v>
      </c>
      <c r="E6" s="1">
        <v>1</v>
      </c>
      <c r="F6" s="1">
        <v>0</v>
      </c>
      <c r="G6" s="1">
        <v>0</v>
      </c>
      <c r="H6" s="1">
        <v>0</v>
      </c>
      <c r="I6" s="1">
        <v>0</v>
      </c>
      <c r="J6" s="1">
        <v>0</v>
      </c>
      <c r="K6" s="1">
        <v>0</v>
      </c>
      <c r="L6" s="1">
        <v>0</v>
      </c>
      <c r="M6" s="1">
        <v>0</v>
      </c>
      <c r="N6" s="1">
        <v>0</v>
      </c>
      <c r="O6" s="1">
        <v>0</v>
      </c>
      <c r="P6" s="1">
        <v>20</v>
      </c>
      <c r="Q6" s="1">
        <v>7</v>
      </c>
      <c r="R6" s="1">
        <v>7</v>
      </c>
      <c r="S6" s="1">
        <v>1</v>
      </c>
      <c r="T6" s="1">
        <v>1</v>
      </c>
      <c r="U6" s="1">
        <v>3</v>
      </c>
      <c r="V6" s="1">
        <v>3</v>
      </c>
      <c r="W6" s="1">
        <v>4</v>
      </c>
      <c r="X6" s="1">
        <v>4</v>
      </c>
      <c r="Y6" s="1">
        <v>4</v>
      </c>
      <c r="Z6" s="1">
        <v>3</v>
      </c>
      <c r="AA6" s="1">
        <v>3</v>
      </c>
      <c r="AC6" s="1">
        <v>1</v>
      </c>
      <c r="AD6" s="1">
        <v>1</v>
      </c>
      <c r="AF6" s="3">
        <v>5000000</v>
      </c>
      <c r="AG6" s="1">
        <v>11</v>
      </c>
      <c r="AR6" s="1" t="s">
        <v>130</v>
      </c>
      <c r="BP6" s="1">
        <v>3</v>
      </c>
      <c r="BQ6" s="1" t="s">
        <v>4110</v>
      </c>
      <c r="BT6" s="1" t="s">
        <v>107</v>
      </c>
      <c r="BU6" s="1">
        <v>1</v>
      </c>
      <c r="BV6" s="1">
        <v>1</v>
      </c>
      <c r="BW6" s="1">
        <v>1</v>
      </c>
      <c r="BX6" s="1">
        <v>0</v>
      </c>
      <c r="BY6" s="1">
        <v>0</v>
      </c>
      <c r="BZ6" s="1">
        <v>0</v>
      </c>
      <c r="CA6" s="1">
        <v>0</v>
      </c>
      <c r="CB6" s="1">
        <v>0</v>
      </c>
      <c r="CC6" s="1">
        <v>0</v>
      </c>
      <c r="CD6" s="1">
        <v>0</v>
      </c>
      <c r="CE6" s="1">
        <v>0</v>
      </c>
      <c r="CF6" s="1">
        <v>0</v>
      </c>
      <c r="CG6" s="1">
        <v>0</v>
      </c>
      <c r="CH6" s="1">
        <v>0</v>
      </c>
      <c r="CI6" s="1">
        <v>0</v>
      </c>
      <c r="CJ6" s="1">
        <v>4</v>
      </c>
      <c r="CK6" s="1">
        <v>3</v>
      </c>
      <c r="CL6" s="1">
        <v>3</v>
      </c>
      <c r="CM6" s="1">
        <v>4</v>
      </c>
      <c r="CN6" s="1">
        <v>3</v>
      </c>
      <c r="CO6" s="1">
        <v>3</v>
      </c>
      <c r="CP6" s="1">
        <v>3</v>
      </c>
      <c r="CU6" s="1">
        <v>4</v>
      </c>
    </row>
    <row r="7" spans="1:99" x14ac:dyDescent="0.35">
      <c r="A7" s="1" t="s">
        <v>4111</v>
      </c>
      <c r="B7" s="1">
        <v>185231015</v>
      </c>
      <c r="C7" s="1">
        <v>0</v>
      </c>
      <c r="D7" s="1">
        <v>1</v>
      </c>
      <c r="E7" s="1">
        <v>0</v>
      </c>
      <c r="F7" s="1">
        <v>0</v>
      </c>
      <c r="G7" s="1">
        <v>0</v>
      </c>
      <c r="H7" s="1">
        <v>0</v>
      </c>
      <c r="I7" s="1">
        <v>0</v>
      </c>
      <c r="J7" s="1">
        <v>1</v>
      </c>
      <c r="K7" s="1">
        <v>1</v>
      </c>
      <c r="L7" s="1">
        <v>0</v>
      </c>
      <c r="M7" s="1">
        <v>0</v>
      </c>
      <c r="N7" s="1">
        <v>0</v>
      </c>
      <c r="O7" s="1">
        <v>0</v>
      </c>
      <c r="P7" s="1">
        <v>1</v>
      </c>
      <c r="Q7" s="1">
        <v>1</v>
      </c>
      <c r="R7" s="1">
        <v>1</v>
      </c>
      <c r="S7" s="1">
        <v>1</v>
      </c>
      <c r="T7" s="1">
        <v>1</v>
      </c>
      <c r="U7" s="1">
        <v>4</v>
      </c>
      <c r="V7" s="1">
        <v>4</v>
      </c>
      <c r="W7" s="1">
        <v>3</v>
      </c>
      <c r="X7" s="1">
        <v>4</v>
      </c>
      <c r="Y7" s="1">
        <v>3</v>
      </c>
      <c r="Z7" s="1">
        <v>3</v>
      </c>
      <c r="AA7" s="1">
        <v>4</v>
      </c>
      <c r="AC7" s="1">
        <v>1</v>
      </c>
      <c r="AD7" s="1">
        <v>1</v>
      </c>
      <c r="AF7" s="3">
        <v>4600000</v>
      </c>
      <c r="AG7" s="1">
        <v>11</v>
      </c>
      <c r="AR7" s="1" t="s">
        <v>118</v>
      </c>
      <c r="BP7" s="1">
        <v>3</v>
      </c>
      <c r="BQ7" s="1" t="s">
        <v>4112</v>
      </c>
      <c r="BT7" s="1" t="s">
        <v>73</v>
      </c>
      <c r="BU7" s="1">
        <v>1</v>
      </c>
      <c r="BV7" s="1">
        <v>2</v>
      </c>
      <c r="BW7" s="1">
        <v>1</v>
      </c>
      <c r="BX7" s="1">
        <v>0</v>
      </c>
      <c r="BY7" s="1">
        <v>0</v>
      </c>
      <c r="BZ7" s="1">
        <v>0</v>
      </c>
      <c r="CA7" s="1">
        <v>0</v>
      </c>
      <c r="CB7" s="1">
        <v>0</v>
      </c>
      <c r="CC7" s="1">
        <v>0</v>
      </c>
      <c r="CD7" s="1">
        <v>0</v>
      </c>
      <c r="CE7" s="1">
        <v>0</v>
      </c>
      <c r="CF7" s="1">
        <v>0</v>
      </c>
      <c r="CG7" s="1">
        <v>0</v>
      </c>
      <c r="CH7" s="1">
        <v>0</v>
      </c>
      <c r="CI7" s="1">
        <v>0</v>
      </c>
      <c r="CJ7" s="1">
        <v>4</v>
      </c>
      <c r="CK7" s="1">
        <v>4</v>
      </c>
      <c r="CL7" s="1">
        <v>4</v>
      </c>
      <c r="CM7" s="1">
        <v>4</v>
      </c>
      <c r="CN7" s="1">
        <v>4</v>
      </c>
      <c r="CO7" s="1">
        <v>4</v>
      </c>
      <c r="CP7" s="1">
        <v>4</v>
      </c>
      <c r="CU7" s="1">
        <v>1</v>
      </c>
    </row>
    <row r="8" spans="1:99" x14ac:dyDescent="0.35">
      <c r="A8" s="1" t="s">
        <v>4113</v>
      </c>
      <c r="B8" s="1">
        <v>185231016</v>
      </c>
      <c r="C8" s="1">
        <v>0</v>
      </c>
      <c r="D8" s="1">
        <v>1</v>
      </c>
      <c r="E8" s="1">
        <v>0</v>
      </c>
      <c r="F8" s="1">
        <v>0</v>
      </c>
      <c r="G8" s="1">
        <v>0</v>
      </c>
      <c r="H8" s="1">
        <v>0</v>
      </c>
      <c r="I8" s="1">
        <v>0</v>
      </c>
      <c r="J8" s="1">
        <v>0</v>
      </c>
      <c r="K8" s="1">
        <v>0</v>
      </c>
      <c r="L8" s="1">
        <v>0</v>
      </c>
      <c r="M8" s="1">
        <v>0</v>
      </c>
      <c r="N8" s="1">
        <v>0</v>
      </c>
      <c r="O8" s="1">
        <v>0</v>
      </c>
      <c r="P8" s="1">
        <v>3</v>
      </c>
      <c r="Q8" s="1">
        <v>1</v>
      </c>
      <c r="R8" s="1">
        <v>1</v>
      </c>
    </row>
    <row r="9" spans="1:99" x14ac:dyDescent="0.35">
      <c r="A9" s="1" t="s">
        <v>4114</v>
      </c>
      <c r="B9" s="1">
        <v>185231019</v>
      </c>
      <c r="C9" s="1">
        <v>0</v>
      </c>
      <c r="D9" s="1">
        <v>1</v>
      </c>
      <c r="E9" s="1">
        <v>0</v>
      </c>
      <c r="F9" s="1">
        <v>0</v>
      </c>
      <c r="G9" s="1">
        <v>0</v>
      </c>
      <c r="H9" s="1">
        <v>1</v>
      </c>
      <c r="I9" s="1">
        <v>0</v>
      </c>
      <c r="J9" s="1">
        <v>0</v>
      </c>
      <c r="K9" s="1">
        <v>1</v>
      </c>
      <c r="L9" s="1">
        <v>0</v>
      </c>
      <c r="M9" s="1">
        <v>1</v>
      </c>
      <c r="N9" s="1">
        <v>0</v>
      </c>
      <c r="O9" s="1">
        <v>0</v>
      </c>
      <c r="P9" s="1" t="s">
        <v>4115</v>
      </c>
      <c r="Q9" s="1">
        <v>10</v>
      </c>
      <c r="R9" s="1">
        <v>5</v>
      </c>
      <c r="S9" s="1">
        <v>5</v>
      </c>
      <c r="T9" s="1">
        <v>1</v>
      </c>
      <c r="U9" s="1">
        <v>4</v>
      </c>
      <c r="V9" s="1">
        <v>2</v>
      </c>
      <c r="W9" s="1">
        <v>2</v>
      </c>
      <c r="X9" s="1">
        <v>3</v>
      </c>
      <c r="Y9" s="1">
        <v>3</v>
      </c>
      <c r="Z9" s="1">
        <v>4</v>
      </c>
      <c r="AA9" s="1">
        <v>3</v>
      </c>
      <c r="CU9" s="1">
        <v>4</v>
      </c>
    </row>
    <row r="10" spans="1:99" x14ac:dyDescent="0.35">
      <c r="A10" s="1" t="s">
        <v>4116</v>
      </c>
      <c r="B10" s="1">
        <v>185231026</v>
      </c>
      <c r="C10" s="1">
        <v>0</v>
      </c>
      <c r="D10" s="1">
        <v>1</v>
      </c>
      <c r="E10" s="1">
        <v>0</v>
      </c>
      <c r="F10" s="1">
        <v>0</v>
      </c>
      <c r="G10" s="1">
        <v>0</v>
      </c>
      <c r="H10" s="1">
        <v>0</v>
      </c>
      <c r="I10" s="1">
        <v>0</v>
      </c>
      <c r="J10" s="1">
        <v>0</v>
      </c>
      <c r="K10" s="1">
        <v>0</v>
      </c>
      <c r="L10" s="1">
        <v>0</v>
      </c>
      <c r="M10" s="1">
        <v>0</v>
      </c>
      <c r="N10" s="1">
        <v>0</v>
      </c>
      <c r="O10" s="1">
        <v>0</v>
      </c>
      <c r="P10" s="1">
        <v>15</v>
      </c>
      <c r="Q10" s="1">
        <v>4</v>
      </c>
      <c r="R10" s="1">
        <v>2</v>
      </c>
      <c r="S10" s="1">
        <v>4</v>
      </c>
      <c r="T10" s="1">
        <v>1</v>
      </c>
      <c r="U10" s="1">
        <v>4</v>
      </c>
      <c r="V10" s="1">
        <v>3</v>
      </c>
      <c r="W10" s="1">
        <v>4</v>
      </c>
      <c r="X10" s="1">
        <v>4</v>
      </c>
      <c r="Y10" s="1">
        <v>3</v>
      </c>
      <c r="Z10" s="1">
        <v>3</v>
      </c>
      <c r="AA10" s="1">
        <v>3</v>
      </c>
      <c r="CQ10" s="1">
        <v>1</v>
      </c>
      <c r="CR10" s="1" t="s">
        <v>4117</v>
      </c>
      <c r="CS10" s="1" t="s">
        <v>508</v>
      </c>
      <c r="CT10" s="5">
        <v>44808</v>
      </c>
      <c r="CU10" s="1">
        <v>4</v>
      </c>
    </row>
    <row r="11" spans="1:99" x14ac:dyDescent="0.35">
      <c r="A11" s="1" t="s">
        <v>4118</v>
      </c>
      <c r="B11" s="1">
        <v>185231031</v>
      </c>
      <c r="C11" s="1">
        <v>0</v>
      </c>
      <c r="D11" s="1">
        <v>1</v>
      </c>
      <c r="E11" s="1">
        <v>0</v>
      </c>
      <c r="F11" s="1">
        <v>0</v>
      </c>
      <c r="G11" s="1">
        <v>0</v>
      </c>
      <c r="H11" s="1">
        <v>0</v>
      </c>
      <c r="I11" s="1">
        <v>0</v>
      </c>
      <c r="J11" s="1">
        <v>0</v>
      </c>
      <c r="K11" s="1">
        <v>0</v>
      </c>
      <c r="L11" s="1">
        <v>0</v>
      </c>
      <c r="M11" s="1">
        <v>0</v>
      </c>
      <c r="N11" s="1">
        <v>0</v>
      </c>
      <c r="O11" s="1">
        <v>0</v>
      </c>
      <c r="P11" s="1">
        <v>30</v>
      </c>
      <c r="Q11" s="1">
        <v>15</v>
      </c>
      <c r="R11" s="1">
        <v>10</v>
      </c>
    </row>
    <row r="12" spans="1:99" x14ac:dyDescent="0.35">
      <c r="A12" s="1" t="s">
        <v>4119</v>
      </c>
      <c r="B12" s="1">
        <v>185231033</v>
      </c>
      <c r="C12" s="1">
        <v>0</v>
      </c>
      <c r="D12" s="1">
        <v>1</v>
      </c>
      <c r="E12" s="1">
        <v>0</v>
      </c>
      <c r="F12" s="1">
        <v>0</v>
      </c>
      <c r="G12" s="1">
        <v>0</v>
      </c>
      <c r="H12" s="1">
        <v>1</v>
      </c>
      <c r="I12" s="1">
        <v>0</v>
      </c>
      <c r="J12" s="1">
        <v>1</v>
      </c>
      <c r="K12" s="1">
        <v>0</v>
      </c>
      <c r="L12" s="1">
        <v>0</v>
      </c>
      <c r="M12" s="1">
        <v>0</v>
      </c>
      <c r="N12" s="1">
        <v>0</v>
      </c>
      <c r="O12" s="1">
        <v>0</v>
      </c>
      <c r="P12" s="1">
        <v>200</v>
      </c>
      <c r="Q12" s="1">
        <v>100</v>
      </c>
      <c r="R12" s="1">
        <v>30</v>
      </c>
      <c r="S12" s="1">
        <v>1</v>
      </c>
      <c r="T12" s="1">
        <v>1</v>
      </c>
      <c r="U12" s="1">
        <v>4</v>
      </c>
      <c r="V12" s="1">
        <v>4</v>
      </c>
      <c r="W12" s="1">
        <v>3</v>
      </c>
      <c r="X12" s="1">
        <v>3</v>
      </c>
      <c r="Y12" s="1">
        <v>4</v>
      </c>
      <c r="Z12" s="1">
        <v>4</v>
      </c>
      <c r="AA12" s="1">
        <v>4</v>
      </c>
      <c r="AC12" s="1">
        <v>2</v>
      </c>
      <c r="AE12" s="1">
        <v>9</v>
      </c>
      <c r="AF12" s="3">
        <v>7688000</v>
      </c>
      <c r="AG12" s="1">
        <v>13</v>
      </c>
      <c r="AT12" s="1" t="s">
        <v>1414</v>
      </c>
      <c r="BP12" s="1">
        <v>6</v>
      </c>
      <c r="BQ12" s="1" t="s">
        <v>4120</v>
      </c>
      <c r="BR12" s="1" t="s">
        <v>4121</v>
      </c>
      <c r="BT12" s="1" t="s">
        <v>79</v>
      </c>
      <c r="BU12" s="1">
        <v>1</v>
      </c>
      <c r="BV12" s="1">
        <v>1</v>
      </c>
      <c r="BW12" s="1">
        <v>1</v>
      </c>
      <c r="BX12" s="1">
        <v>0</v>
      </c>
      <c r="BY12" s="1">
        <v>0</v>
      </c>
      <c r="BZ12" s="1">
        <v>0</v>
      </c>
      <c r="CA12" s="1">
        <v>0</v>
      </c>
      <c r="CB12" s="1">
        <v>0</v>
      </c>
      <c r="CC12" s="1">
        <v>0</v>
      </c>
      <c r="CD12" s="1">
        <v>0</v>
      </c>
      <c r="CE12" s="1">
        <v>0</v>
      </c>
      <c r="CF12" s="1">
        <v>0</v>
      </c>
      <c r="CG12" s="1">
        <v>0</v>
      </c>
      <c r="CH12" s="1">
        <v>0</v>
      </c>
      <c r="CI12" s="1">
        <v>0</v>
      </c>
      <c r="CJ12" s="1">
        <v>4</v>
      </c>
      <c r="CK12" s="1">
        <v>4</v>
      </c>
      <c r="CL12" s="1">
        <v>4</v>
      </c>
      <c r="CM12" s="1">
        <v>4</v>
      </c>
      <c r="CN12" s="1">
        <v>4</v>
      </c>
      <c r="CO12" s="1">
        <v>4</v>
      </c>
      <c r="CP12" s="1">
        <v>4</v>
      </c>
      <c r="CU12" s="1">
        <v>1</v>
      </c>
    </row>
    <row r="13" spans="1:99" x14ac:dyDescent="0.35">
      <c r="A13" s="1" t="s">
        <v>4263</v>
      </c>
      <c r="B13" s="1">
        <v>185231002</v>
      </c>
    </row>
    <row r="14" spans="1:99" x14ac:dyDescent="0.35">
      <c r="A14" s="1" t="s">
        <v>4264</v>
      </c>
      <c r="B14" s="1">
        <v>185231004</v>
      </c>
    </row>
    <row r="15" spans="1:99" x14ac:dyDescent="0.35">
      <c r="A15" s="1" t="s">
        <v>4265</v>
      </c>
      <c r="B15" s="1">
        <v>185231005</v>
      </c>
    </row>
    <row r="16" spans="1:99" x14ac:dyDescent="0.35">
      <c r="A16" s="1" t="s">
        <v>4266</v>
      </c>
      <c r="B16" s="1">
        <v>185231007</v>
      </c>
    </row>
    <row r="17" spans="1:2" x14ac:dyDescent="0.35">
      <c r="A17" s="1" t="s">
        <v>4267</v>
      </c>
      <c r="B17" s="1">
        <v>185231009</v>
      </c>
    </row>
    <row r="18" spans="1:2" x14ac:dyDescent="0.35">
      <c r="A18" s="1" t="s">
        <v>4268</v>
      </c>
      <c r="B18" s="1">
        <v>185231010</v>
      </c>
    </row>
    <row r="19" spans="1:2" x14ac:dyDescent="0.35">
      <c r="A19" s="1" t="s">
        <v>4269</v>
      </c>
      <c r="B19" s="1">
        <v>185231012</v>
      </c>
    </row>
    <row r="20" spans="1:2" x14ac:dyDescent="0.35">
      <c r="A20" s="1" t="s">
        <v>4270</v>
      </c>
      <c r="B20" s="1">
        <v>185231014</v>
      </c>
    </row>
    <row r="21" spans="1:2" x14ac:dyDescent="0.35">
      <c r="A21" s="1" t="s">
        <v>4271</v>
      </c>
      <c r="B21" s="1">
        <v>185231018</v>
      </c>
    </row>
    <row r="22" spans="1:2" x14ac:dyDescent="0.35">
      <c r="A22" s="1" t="s">
        <v>4272</v>
      </c>
      <c r="B22" s="1">
        <v>185231020</v>
      </c>
    </row>
    <row r="23" spans="1:2" x14ac:dyDescent="0.35">
      <c r="A23" s="1" t="s">
        <v>4273</v>
      </c>
      <c r="B23" s="1">
        <v>185231021</v>
      </c>
    </row>
    <row r="24" spans="1:2" x14ac:dyDescent="0.35">
      <c r="A24" s="1" t="s">
        <v>4274</v>
      </c>
      <c r="B24" s="1">
        <v>185231022</v>
      </c>
    </row>
    <row r="25" spans="1:2" x14ac:dyDescent="0.35">
      <c r="A25" s="1" t="s">
        <v>4275</v>
      </c>
      <c r="B25" s="1">
        <v>185231023</v>
      </c>
    </row>
    <row r="26" spans="1:2" x14ac:dyDescent="0.35">
      <c r="A26" s="1" t="s">
        <v>4276</v>
      </c>
      <c r="B26" s="1">
        <v>185231024</v>
      </c>
    </row>
    <row r="27" spans="1:2" x14ac:dyDescent="0.35">
      <c r="A27" s="1" t="s">
        <v>4277</v>
      </c>
      <c r="B27" s="1">
        <v>185231025</v>
      </c>
    </row>
    <row r="28" spans="1:2" x14ac:dyDescent="0.35">
      <c r="A28" s="1" t="s">
        <v>4278</v>
      </c>
      <c r="B28" s="1">
        <v>185231027</v>
      </c>
    </row>
    <row r="29" spans="1:2" x14ac:dyDescent="0.35">
      <c r="A29" s="1" t="s">
        <v>4279</v>
      </c>
      <c r="B29" s="1">
        <v>185231028</v>
      </c>
    </row>
    <row r="30" spans="1:2" x14ac:dyDescent="0.35">
      <c r="A30" s="1" t="s">
        <v>4280</v>
      </c>
      <c r="B30" s="1">
        <v>185231029</v>
      </c>
    </row>
    <row r="31" spans="1:2" x14ac:dyDescent="0.35">
      <c r="A31" s="1" t="s">
        <v>4281</v>
      </c>
      <c r="B31" s="1">
        <v>185231030</v>
      </c>
    </row>
    <row r="32" spans="1:2" x14ac:dyDescent="0.35">
      <c r="A32" s="1" t="s">
        <v>4282</v>
      </c>
      <c r="B32" s="1">
        <v>185231032</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EB0C8B-6DC0-4E6F-B072-A0AFC38F8734}">
  <dimension ref="A1:CU31"/>
  <sheetViews>
    <sheetView topLeftCell="T1" zoomScale="55" zoomScaleNormal="55" workbookViewId="0">
      <pane ySplit="1" topLeftCell="A2" activePane="bottomLeft" state="frozen"/>
      <selection pane="bottomLeft" activeCell="T25" sqref="T25"/>
    </sheetView>
  </sheetViews>
  <sheetFormatPr defaultColWidth="8.90625" defaultRowHeight="14.5" x14ac:dyDescent="0.35"/>
  <cols>
    <col min="1" max="1" width="35.08984375" style="1" bestFit="1" customWidth="1"/>
    <col min="2" max="2" width="10" style="1" bestFit="1" customWidth="1"/>
    <col min="3" max="9" width="64.08984375" style="1" bestFit="1" customWidth="1"/>
    <col min="10" max="14" width="65.08984375" style="1" bestFit="1" customWidth="1"/>
    <col min="15" max="15" width="67.54296875" style="1" bestFit="1" customWidth="1"/>
    <col min="16" max="16" width="110" style="1" bestFit="1" customWidth="1"/>
    <col min="17" max="17" width="63.90625" style="1" bestFit="1" customWidth="1"/>
    <col min="18" max="18" width="73" style="1" bestFit="1" customWidth="1"/>
    <col min="19" max="19" width="25" style="1" bestFit="1" customWidth="1"/>
    <col min="20" max="20" width="41.26953125" style="1" bestFit="1" customWidth="1"/>
    <col min="21" max="21" width="67.08984375" style="1" bestFit="1" customWidth="1"/>
    <col min="22" max="22" width="90.453125" style="1" bestFit="1" customWidth="1"/>
    <col min="23" max="23" width="74.90625" style="1" bestFit="1" customWidth="1"/>
    <col min="24" max="24" width="89.36328125" style="1" bestFit="1" customWidth="1"/>
    <col min="25" max="25" width="72.453125" style="1" bestFit="1" customWidth="1"/>
    <col min="26" max="26" width="75.1796875" style="1" bestFit="1" customWidth="1"/>
    <col min="27" max="27" width="79" style="1" bestFit="1" customWidth="1"/>
    <col min="28" max="28" width="43.08984375" style="1" bestFit="1" customWidth="1"/>
    <col min="29" max="29" width="73.1796875" style="1" bestFit="1" customWidth="1"/>
    <col min="30" max="30" width="43.36328125" style="1" bestFit="1" customWidth="1"/>
    <col min="31" max="31" width="50.54296875" style="1" bestFit="1" customWidth="1"/>
    <col min="32" max="32" width="120.26953125" style="1" bestFit="1" customWidth="1"/>
    <col min="33" max="33" width="39.08984375" style="1" bestFit="1" customWidth="1"/>
    <col min="34" max="35" width="45.7265625" style="1" bestFit="1" customWidth="1"/>
    <col min="36" max="37" width="46.1796875" style="1" bestFit="1" customWidth="1"/>
    <col min="38" max="38" width="45.7265625" style="1" bestFit="1" customWidth="1"/>
    <col min="39" max="52" width="46.1796875" style="1" bestFit="1" customWidth="1"/>
    <col min="53" max="55" width="45.7265625" style="1" bestFit="1" customWidth="1"/>
    <col min="56" max="64" width="46.1796875" style="1" bestFit="1" customWidth="1"/>
    <col min="65" max="67" width="45.7265625" style="1" bestFit="1" customWidth="1"/>
    <col min="68" max="68" width="58.90625" style="1" bestFit="1" customWidth="1"/>
    <col min="69" max="69" width="43.26953125" style="1" bestFit="1" customWidth="1"/>
    <col min="70" max="70" width="45.36328125" style="1" bestFit="1" customWidth="1"/>
    <col min="71" max="71" width="45.26953125" style="1" bestFit="1" customWidth="1"/>
    <col min="72" max="72" width="55.453125" style="1" bestFit="1" customWidth="1"/>
    <col min="73" max="73" width="217.453125" style="1" bestFit="1" customWidth="1"/>
    <col min="74" max="74" width="65.08984375" style="1" bestFit="1" customWidth="1"/>
    <col min="75" max="83" width="117.26953125" style="1" bestFit="1" customWidth="1"/>
    <col min="84" max="86" width="118.26953125" style="1" bestFit="1" customWidth="1"/>
    <col min="87" max="87" width="120.7265625" style="1" bestFit="1" customWidth="1"/>
    <col min="88" max="88" width="76.6328125" style="1" bestFit="1" customWidth="1"/>
    <col min="89" max="89" width="100.26953125" style="1" bestFit="1" customWidth="1"/>
    <col min="90" max="90" width="84.36328125" style="1" bestFit="1" customWidth="1"/>
    <col min="91" max="91" width="98.6328125" style="1" bestFit="1" customWidth="1"/>
    <col min="92" max="92" width="81.90625" style="1" bestFit="1" customWidth="1"/>
    <col min="93" max="93" width="84.7265625" style="1" bestFit="1" customWidth="1"/>
    <col min="94" max="94" width="88.54296875" style="1" bestFit="1" customWidth="1"/>
    <col min="95" max="95" width="40.54296875" style="1" bestFit="1" customWidth="1"/>
    <col min="96" max="96" width="53.36328125" style="1" bestFit="1" customWidth="1"/>
    <col min="97" max="97" width="56.81640625" style="1" bestFit="1" customWidth="1"/>
    <col min="98" max="98" width="24.7265625" style="1" bestFit="1" customWidth="1"/>
    <col min="99" max="99" width="63.36328125" style="1" bestFit="1" customWidth="1"/>
    <col min="100" max="16384" width="8.90625" style="1"/>
  </cols>
  <sheetData>
    <row r="1" spans="1:99" s="6" customFormat="1" x14ac:dyDescent="0.35">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6" t="s">
        <v>15</v>
      </c>
      <c r="Q1" s="6" t="s">
        <v>16</v>
      </c>
      <c r="R1" s="6" t="s">
        <v>17</v>
      </c>
      <c r="S1" s="6" t="s">
        <v>18</v>
      </c>
      <c r="T1" s="6" t="s">
        <v>19</v>
      </c>
      <c r="U1" s="6" t="s">
        <v>20</v>
      </c>
      <c r="V1" s="6" t="s">
        <v>21</v>
      </c>
      <c r="W1" s="6" t="s">
        <v>22</v>
      </c>
      <c r="X1" s="6" t="s">
        <v>23</v>
      </c>
      <c r="Y1" s="6" t="s">
        <v>24</v>
      </c>
      <c r="Z1" s="6" t="s">
        <v>25</v>
      </c>
      <c r="AA1" s="6" t="s">
        <v>26</v>
      </c>
      <c r="AB1" s="6" t="s">
        <v>27</v>
      </c>
      <c r="AC1" s="6" t="s">
        <v>28</v>
      </c>
      <c r="AD1" s="6" t="s">
        <v>29</v>
      </c>
      <c r="AE1" s="6" t="s">
        <v>30</v>
      </c>
      <c r="AF1" s="6" t="s">
        <v>31</v>
      </c>
      <c r="AG1" s="6" t="s">
        <v>32</v>
      </c>
      <c r="AH1" s="6" t="s">
        <v>33</v>
      </c>
      <c r="AI1" s="6" t="s">
        <v>33</v>
      </c>
      <c r="AJ1" s="6" t="s">
        <v>34</v>
      </c>
      <c r="AK1" s="6" t="s">
        <v>34</v>
      </c>
      <c r="AL1" s="6" t="s">
        <v>33</v>
      </c>
      <c r="AM1" s="6" t="s">
        <v>34</v>
      </c>
      <c r="AN1" s="6" t="s">
        <v>34</v>
      </c>
      <c r="AO1" s="6" t="s">
        <v>34</v>
      </c>
      <c r="AP1" s="6" t="s">
        <v>34</v>
      </c>
      <c r="AQ1" s="6" t="s">
        <v>34</v>
      </c>
      <c r="AR1" s="6" t="s">
        <v>34</v>
      </c>
      <c r="AS1" s="6" t="s">
        <v>34</v>
      </c>
      <c r="AT1" s="6" t="s">
        <v>34</v>
      </c>
      <c r="AU1" s="6" t="s">
        <v>34</v>
      </c>
      <c r="AV1" s="6" t="s">
        <v>34</v>
      </c>
      <c r="AW1" s="6" t="s">
        <v>34</v>
      </c>
      <c r="AX1" s="6" t="s">
        <v>34</v>
      </c>
      <c r="AY1" s="6" t="s">
        <v>34</v>
      </c>
      <c r="AZ1" s="6" t="s">
        <v>34</v>
      </c>
      <c r="BA1" s="6" t="s">
        <v>33</v>
      </c>
      <c r="BB1" s="6" t="s">
        <v>33</v>
      </c>
      <c r="BC1" s="6" t="s">
        <v>33</v>
      </c>
      <c r="BD1" s="6" t="s">
        <v>34</v>
      </c>
      <c r="BE1" s="6" t="s">
        <v>34</v>
      </c>
      <c r="BF1" s="6" t="s">
        <v>34</v>
      </c>
      <c r="BG1" s="6" t="s">
        <v>34</v>
      </c>
      <c r="BH1" s="6" t="s">
        <v>34</v>
      </c>
      <c r="BI1" s="6" t="s">
        <v>34</v>
      </c>
      <c r="BJ1" s="6" t="s">
        <v>34</v>
      </c>
      <c r="BK1" s="6" t="s">
        <v>34</v>
      </c>
      <c r="BL1" s="6" t="s">
        <v>34</v>
      </c>
      <c r="BM1" s="6" t="s">
        <v>33</v>
      </c>
      <c r="BN1" s="6" t="s">
        <v>33</v>
      </c>
      <c r="BO1" s="6" t="s">
        <v>33</v>
      </c>
      <c r="BP1" s="6" t="s">
        <v>35</v>
      </c>
      <c r="BQ1" s="6" t="s">
        <v>36</v>
      </c>
      <c r="BR1" s="6" t="s">
        <v>37</v>
      </c>
      <c r="BS1" s="6" t="s">
        <v>38</v>
      </c>
      <c r="BT1" s="6" t="s">
        <v>39</v>
      </c>
      <c r="BU1" s="6" t="s">
        <v>40</v>
      </c>
      <c r="BV1" s="6" t="s">
        <v>41</v>
      </c>
      <c r="BW1" s="6" t="s">
        <v>42</v>
      </c>
      <c r="BX1" s="6" t="s">
        <v>43</v>
      </c>
      <c r="BY1" s="6" t="s">
        <v>44</v>
      </c>
      <c r="BZ1" s="6" t="s">
        <v>45</v>
      </c>
      <c r="CA1" s="6" t="s">
        <v>46</v>
      </c>
      <c r="CB1" s="6" t="s">
        <v>47</v>
      </c>
      <c r="CC1" s="6" t="s">
        <v>48</v>
      </c>
      <c r="CD1" s="6" t="s">
        <v>49</v>
      </c>
      <c r="CE1" s="6" t="s">
        <v>50</v>
      </c>
      <c r="CF1" s="6" t="s">
        <v>51</v>
      </c>
      <c r="CG1" s="6" t="s">
        <v>52</v>
      </c>
      <c r="CH1" s="6" t="s">
        <v>53</v>
      </c>
      <c r="CI1" s="6" t="s">
        <v>54</v>
      </c>
      <c r="CJ1" s="6" t="s">
        <v>55</v>
      </c>
      <c r="CK1" s="6" t="s">
        <v>56</v>
      </c>
      <c r="CL1" s="6" t="s">
        <v>57</v>
      </c>
      <c r="CM1" s="6" t="s">
        <v>58</v>
      </c>
      <c r="CN1" s="6" t="s">
        <v>59</v>
      </c>
      <c r="CO1" s="6" t="s">
        <v>60</v>
      </c>
      <c r="CP1" s="6" t="s">
        <v>61</v>
      </c>
      <c r="CQ1" s="6" t="s">
        <v>62</v>
      </c>
      <c r="CR1" s="6" t="s">
        <v>63</v>
      </c>
      <c r="CS1" s="6" t="s">
        <v>64</v>
      </c>
      <c r="CT1" s="6" t="s">
        <v>65</v>
      </c>
      <c r="CU1" s="6" t="s">
        <v>66</v>
      </c>
    </row>
    <row r="2" spans="1:99" x14ac:dyDescent="0.35">
      <c r="A2" s="1" t="s">
        <v>2279</v>
      </c>
      <c r="B2" s="1">
        <v>171624001</v>
      </c>
      <c r="C2" s="1">
        <v>0</v>
      </c>
      <c r="D2" s="1">
        <v>0</v>
      </c>
      <c r="E2" s="1">
        <v>1</v>
      </c>
      <c r="F2" s="1">
        <v>0</v>
      </c>
      <c r="G2" s="1">
        <v>0</v>
      </c>
      <c r="H2" s="1">
        <v>0</v>
      </c>
      <c r="I2" s="1">
        <v>0</v>
      </c>
      <c r="J2" s="1">
        <v>0</v>
      </c>
      <c r="K2" s="1">
        <v>0</v>
      </c>
      <c r="L2" s="1">
        <v>0</v>
      </c>
      <c r="M2" s="1">
        <v>0</v>
      </c>
      <c r="N2" s="1">
        <v>1</v>
      </c>
      <c r="O2" s="1">
        <v>0</v>
      </c>
      <c r="P2" s="1">
        <v>1</v>
      </c>
      <c r="Q2" s="1">
        <v>1</v>
      </c>
      <c r="R2" s="1">
        <v>1</v>
      </c>
      <c r="S2" s="1">
        <v>1</v>
      </c>
      <c r="T2" s="1">
        <v>1</v>
      </c>
      <c r="U2" s="1">
        <v>4</v>
      </c>
      <c r="V2" s="1">
        <v>4</v>
      </c>
      <c r="W2" s="1">
        <v>3</v>
      </c>
      <c r="X2" s="1">
        <v>3</v>
      </c>
      <c r="Y2" s="1">
        <v>4</v>
      </c>
      <c r="Z2" s="1">
        <v>4</v>
      </c>
      <c r="AA2" s="1">
        <v>4</v>
      </c>
      <c r="AC2" s="1">
        <v>1</v>
      </c>
      <c r="AD2" s="1">
        <v>5</v>
      </c>
      <c r="AF2" s="3">
        <v>4500000</v>
      </c>
      <c r="AG2" s="1">
        <v>13</v>
      </c>
      <c r="AT2" s="1" t="s">
        <v>83</v>
      </c>
      <c r="BP2" s="1">
        <v>3</v>
      </c>
      <c r="BQ2" s="1" t="s">
        <v>2280</v>
      </c>
      <c r="BR2" s="1" t="s">
        <v>2281</v>
      </c>
      <c r="BS2" s="1" t="s">
        <v>2282</v>
      </c>
      <c r="BT2" s="1" t="s">
        <v>107</v>
      </c>
      <c r="BU2" s="1">
        <v>1</v>
      </c>
      <c r="BV2" s="1">
        <v>2</v>
      </c>
      <c r="BW2" s="1">
        <v>1</v>
      </c>
      <c r="BX2" s="1">
        <v>0</v>
      </c>
      <c r="BY2" s="1">
        <v>0</v>
      </c>
      <c r="BZ2" s="1">
        <v>0</v>
      </c>
      <c r="CA2" s="1">
        <v>0</v>
      </c>
      <c r="CB2" s="1">
        <v>0</v>
      </c>
      <c r="CC2" s="1">
        <v>0</v>
      </c>
      <c r="CD2" s="1">
        <v>0</v>
      </c>
      <c r="CE2" s="1">
        <v>0</v>
      </c>
      <c r="CF2" s="1">
        <v>0</v>
      </c>
      <c r="CG2" s="1">
        <v>0</v>
      </c>
      <c r="CH2" s="1">
        <v>0</v>
      </c>
      <c r="CI2" s="1">
        <v>0</v>
      </c>
      <c r="CJ2" s="1">
        <v>4</v>
      </c>
      <c r="CK2" s="1">
        <v>4</v>
      </c>
      <c r="CL2" s="1">
        <v>3</v>
      </c>
      <c r="CM2" s="1">
        <v>4</v>
      </c>
      <c r="CN2" s="1">
        <v>4</v>
      </c>
      <c r="CO2" s="1">
        <v>4</v>
      </c>
      <c r="CP2" s="1">
        <v>4</v>
      </c>
      <c r="CU2" s="1">
        <v>1</v>
      </c>
    </row>
    <row r="3" spans="1:99" x14ac:dyDescent="0.35">
      <c r="A3" s="1" t="s">
        <v>2283</v>
      </c>
      <c r="B3" s="1">
        <v>171624002</v>
      </c>
      <c r="C3" s="1">
        <v>0</v>
      </c>
      <c r="D3" s="1">
        <v>1</v>
      </c>
      <c r="E3" s="1">
        <v>0</v>
      </c>
      <c r="F3" s="1">
        <v>0</v>
      </c>
      <c r="G3" s="1">
        <v>0</v>
      </c>
      <c r="H3" s="1">
        <v>0</v>
      </c>
      <c r="I3" s="1">
        <v>0</v>
      </c>
      <c r="J3" s="1">
        <v>0</v>
      </c>
      <c r="K3" s="1">
        <v>0</v>
      </c>
      <c r="L3" s="1">
        <v>0</v>
      </c>
      <c r="M3" s="1">
        <v>0</v>
      </c>
      <c r="N3" s="1">
        <v>0</v>
      </c>
      <c r="O3" s="1">
        <v>0</v>
      </c>
      <c r="P3" s="1">
        <v>20</v>
      </c>
      <c r="Q3" s="1">
        <v>10</v>
      </c>
      <c r="R3" s="1">
        <v>3</v>
      </c>
      <c r="S3" s="1">
        <v>1</v>
      </c>
      <c r="T3" s="1">
        <v>1</v>
      </c>
      <c r="U3" s="1">
        <v>3</v>
      </c>
      <c r="V3" s="1">
        <v>3</v>
      </c>
      <c r="W3" s="1">
        <v>3</v>
      </c>
      <c r="X3" s="1">
        <v>4</v>
      </c>
      <c r="Y3" s="1">
        <v>3</v>
      </c>
      <c r="Z3" s="1">
        <v>3</v>
      </c>
      <c r="AA3" s="1">
        <v>3</v>
      </c>
      <c r="AC3" s="1">
        <v>1</v>
      </c>
      <c r="AD3" s="1">
        <v>0</v>
      </c>
      <c r="AE3" s="1">
        <v>2</v>
      </c>
      <c r="AF3" s="3">
        <v>4750000</v>
      </c>
      <c r="AG3" s="1">
        <v>11</v>
      </c>
      <c r="AR3" s="1" t="s">
        <v>239</v>
      </c>
      <c r="BP3" s="1">
        <v>3</v>
      </c>
      <c r="BQ3" s="1" t="s">
        <v>2284</v>
      </c>
      <c r="BR3" s="1" t="s">
        <v>2285</v>
      </c>
      <c r="BS3" s="1" t="s">
        <v>2286</v>
      </c>
      <c r="BT3" s="1" t="s">
        <v>79</v>
      </c>
      <c r="BU3" s="1">
        <v>5</v>
      </c>
      <c r="BV3" s="1">
        <v>2</v>
      </c>
      <c r="BW3" s="1">
        <v>0</v>
      </c>
      <c r="BX3" s="1">
        <v>0</v>
      </c>
      <c r="BY3" s="1">
        <v>0</v>
      </c>
      <c r="BZ3" s="1">
        <v>0</v>
      </c>
      <c r="CA3" s="1">
        <v>0</v>
      </c>
      <c r="CB3" s="1">
        <v>0</v>
      </c>
      <c r="CC3" s="1">
        <v>0</v>
      </c>
      <c r="CD3" s="1">
        <v>0</v>
      </c>
      <c r="CE3" s="1">
        <v>0</v>
      </c>
      <c r="CF3" s="1">
        <v>0</v>
      </c>
      <c r="CG3" s="1">
        <v>1</v>
      </c>
      <c r="CH3" s="1">
        <v>1</v>
      </c>
      <c r="CI3" s="1">
        <v>0</v>
      </c>
      <c r="CJ3" s="1">
        <v>4</v>
      </c>
      <c r="CK3" s="1">
        <v>4</v>
      </c>
      <c r="CL3" s="1">
        <v>4</v>
      </c>
      <c r="CM3" s="1">
        <v>4</v>
      </c>
      <c r="CN3" s="1">
        <v>4</v>
      </c>
      <c r="CO3" s="1">
        <v>4</v>
      </c>
      <c r="CP3" s="1">
        <v>4</v>
      </c>
      <c r="CU3" s="1">
        <v>4</v>
      </c>
    </row>
    <row r="4" spans="1:99" x14ac:dyDescent="0.35">
      <c r="A4" s="1" t="s">
        <v>2287</v>
      </c>
      <c r="B4" s="1">
        <v>171624003</v>
      </c>
      <c r="C4" s="1">
        <v>0</v>
      </c>
      <c r="D4" s="1">
        <v>1</v>
      </c>
      <c r="E4" s="1">
        <v>0</v>
      </c>
      <c r="F4" s="1">
        <v>0</v>
      </c>
      <c r="G4" s="1">
        <v>0</v>
      </c>
      <c r="H4" s="1">
        <v>0</v>
      </c>
      <c r="I4" s="1">
        <v>0</v>
      </c>
      <c r="J4" s="1">
        <v>0</v>
      </c>
      <c r="K4" s="1">
        <v>0</v>
      </c>
      <c r="L4" s="1">
        <v>0</v>
      </c>
      <c r="M4" s="1">
        <v>0</v>
      </c>
      <c r="N4" s="1">
        <v>0</v>
      </c>
      <c r="O4" s="1">
        <v>0</v>
      </c>
      <c r="P4" s="1">
        <v>20</v>
      </c>
      <c r="Q4" s="1">
        <v>10</v>
      </c>
      <c r="R4" s="1">
        <v>8</v>
      </c>
      <c r="S4" s="1">
        <v>1</v>
      </c>
      <c r="T4" s="1">
        <v>3</v>
      </c>
      <c r="U4" s="1">
        <v>4</v>
      </c>
      <c r="V4" s="1">
        <v>3</v>
      </c>
      <c r="W4" s="1">
        <v>3</v>
      </c>
      <c r="X4" s="1">
        <v>4</v>
      </c>
      <c r="Y4" s="1">
        <v>4</v>
      </c>
      <c r="Z4" s="1">
        <v>4</v>
      </c>
      <c r="AA4" s="1">
        <v>4</v>
      </c>
      <c r="AC4" s="1">
        <v>1</v>
      </c>
      <c r="AD4" s="1">
        <v>1</v>
      </c>
      <c r="AF4" s="3">
        <v>5500000</v>
      </c>
      <c r="AG4" s="1">
        <v>13</v>
      </c>
      <c r="AT4" s="1" t="s">
        <v>83</v>
      </c>
      <c r="BP4" s="1">
        <v>3</v>
      </c>
      <c r="BQ4" s="1" t="s">
        <v>2288</v>
      </c>
      <c r="BR4" s="1" t="s">
        <v>2289</v>
      </c>
      <c r="BS4" s="1" t="s">
        <v>2290</v>
      </c>
      <c r="BT4" s="1" t="s">
        <v>107</v>
      </c>
      <c r="BU4" s="1">
        <v>2</v>
      </c>
      <c r="BV4" s="1">
        <v>2</v>
      </c>
      <c r="BW4" s="1">
        <v>0</v>
      </c>
      <c r="BX4" s="1">
        <v>0</v>
      </c>
      <c r="BY4" s="1">
        <v>0</v>
      </c>
      <c r="BZ4" s="1">
        <v>0</v>
      </c>
      <c r="CA4" s="1">
        <v>0</v>
      </c>
      <c r="CB4" s="1">
        <v>0</v>
      </c>
      <c r="CC4" s="1">
        <v>0</v>
      </c>
      <c r="CD4" s="1">
        <v>1</v>
      </c>
      <c r="CE4" s="1">
        <v>0</v>
      </c>
      <c r="CF4" s="1">
        <v>0</v>
      </c>
      <c r="CG4" s="1">
        <v>0</v>
      </c>
      <c r="CH4" s="1">
        <v>1</v>
      </c>
      <c r="CI4" s="1">
        <v>0</v>
      </c>
      <c r="CJ4" s="1">
        <v>4</v>
      </c>
      <c r="CK4" s="1">
        <v>4</v>
      </c>
      <c r="CL4" s="1">
        <v>4</v>
      </c>
      <c r="CM4" s="1">
        <v>4</v>
      </c>
      <c r="CN4" s="1">
        <v>4</v>
      </c>
      <c r="CO4" s="1">
        <v>4</v>
      </c>
      <c r="CP4" s="1">
        <v>4</v>
      </c>
      <c r="CU4" s="1">
        <v>1</v>
      </c>
    </row>
    <row r="5" spans="1:99" x14ac:dyDescent="0.35">
      <c r="A5" s="1" t="s">
        <v>2291</v>
      </c>
      <c r="B5" s="1">
        <v>171624004</v>
      </c>
      <c r="S5" s="1">
        <v>4</v>
      </c>
      <c r="T5" s="1">
        <v>1</v>
      </c>
      <c r="U5" s="1">
        <v>4</v>
      </c>
      <c r="V5" s="1">
        <v>4</v>
      </c>
      <c r="W5" s="1">
        <v>4</v>
      </c>
      <c r="X5" s="1">
        <v>4</v>
      </c>
      <c r="Y5" s="1">
        <v>4</v>
      </c>
      <c r="Z5" s="1">
        <v>4</v>
      </c>
      <c r="AA5" s="1">
        <v>4</v>
      </c>
      <c r="CQ5" s="1">
        <v>2</v>
      </c>
      <c r="CR5" s="1" t="s">
        <v>2292</v>
      </c>
      <c r="CS5" s="1" t="s">
        <v>2293</v>
      </c>
      <c r="CT5" s="5">
        <v>44452</v>
      </c>
      <c r="CU5" s="1" t="s">
        <v>2294</v>
      </c>
    </row>
    <row r="6" spans="1:99" x14ac:dyDescent="0.35">
      <c r="A6" s="1" t="s">
        <v>2295</v>
      </c>
      <c r="B6" s="1">
        <v>171624005</v>
      </c>
      <c r="C6" s="1">
        <v>0</v>
      </c>
      <c r="D6" s="1">
        <v>1</v>
      </c>
      <c r="E6" s="1">
        <v>0</v>
      </c>
      <c r="F6" s="1">
        <v>0</v>
      </c>
      <c r="G6" s="1">
        <v>0</v>
      </c>
      <c r="H6" s="1">
        <v>0</v>
      </c>
      <c r="I6" s="1">
        <v>0</v>
      </c>
      <c r="J6" s="1">
        <v>0</v>
      </c>
      <c r="K6" s="1">
        <v>1</v>
      </c>
      <c r="L6" s="1">
        <v>0</v>
      </c>
      <c r="M6" s="1">
        <v>1</v>
      </c>
      <c r="N6" s="1">
        <v>0</v>
      </c>
      <c r="O6" s="1">
        <v>0</v>
      </c>
      <c r="P6" s="1">
        <v>14</v>
      </c>
      <c r="Q6" s="1">
        <v>7</v>
      </c>
      <c r="R6" s="1">
        <v>4</v>
      </c>
      <c r="S6" s="1">
        <v>1</v>
      </c>
      <c r="T6" s="1">
        <v>1</v>
      </c>
      <c r="U6" s="1">
        <v>4</v>
      </c>
      <c r="V6" s="1">
        <v>3</v>
      </c>
      <c r="W6" s="1">
        <v>3</v>
      </c>
      <c r="X6" s="1">
        <v>3</v>
      </c>
      <c r="Y6" s="1">
        <v>3</v>
      </c>
      <c r="Z6" s="1">
        <v>3</v>
      </c>
      <c r="AA6" s="1">
        <v>3</v>
      </c>
      <c r="AC6" s="1">
        <v>1</v>
      </c>
      <c r="AD6" s="1">
        <v>3</v>
      </c>
      <c r="AF6" s="3">
        <v>6400000</v>
      </c>
      <c r="AG6" s="1">
        <v>13</v>
      </c>
      <c r="AT6" s="1" t="s">
        <v>83</v>
      </c>
      <c r="BP6" s="1">
        <v>3</v>
      </c>
      <c r="BQ6" s="1" t="s">
        <v>2296</v>
      </c>
      <c r="BR6" s="1" t="s">
        <v>2297</v>
      </c>
      <c r="BS6" s="1" t="s">
        <v>2298</v>
      </c>
      <c r="BT6" s="1" t="s">
        <v>73</v>
      </c>
      <c r="BU6" s="1">
        <v>2</v>
      </c>
      <c r="BV6" s="1">
        <v>2</v>
      </c>
      <c r="BW6" s="1">
        <v>1</v>
      </c>
      <c r="BX6" s="1">
        <v>0</v>
      </c>
      <c r="BY6" s="1">
        <v>0</v>
      </c>
      <c r="BZ6" s="1">
        <v>0</v>
      </c>
      <c r="CA6" s="1">
        <v>0</v>
      </c>
      <c r="CB6" s="1">
        <v>0</v>
      </c>
      <c r="CC6" s="1">
        <v>0</v>
      </c>
      <c r="CD6" s="1">
        <v>0</v>
      </c>
      <c r="CE6" s="1">
        <v>0</v>
      </c>
      <c r="CF6" s="1">
        <v>0</v>
      </c>
      <c r="CG6" s="1">
        <v>0</v>
      </c>
      <c r="CH6" s="1">
        <v>0</v>
      </c>
      <c r="CI6" s="1">
        <v>0</v>
      </c>
      <c r="CJ6" s="1">
        <v>4</v>
      </c>
      <c r="CK6" s="1">
        <v>3</v>
      </c>
      <c r="CL6" s="1">
        <v>4</v>
      </c>
      <c r="CM6" s="1">
        <v>3</v>
      </c>
      <c r="CN6" s="1">
        <v>4</v>
      </c>
      <c r="CO6" s="1">
        <v>4</v>
      </c>
      <c r="CP6" s="1">
        <v>3</v>
      </c>
      <c r="CU6" s="1">
        <v>4</v>
      </c>
    </row>
    <row r="7" spans="1:99" x14ac:dyDescent="0.35">
      <c r="A7" s="1" t="s">
        <v>2299</v>
      </c>
      <c r="B7" s="1">
        <v>171624006</v>
      </c>
      <c r="C7" s="1">
        <v>0</v>
      </c>
      <c r="D7" s="1">
        <v>1</v>
      </c>
      <c r="E7" s="1">
        <v>0</v>
      </c>
      <c r="F7" s="1">
        <v>0</v>
      </c>
      <c r="G7" s="1">
        <v>0</v>
      </c>
      <c r="H7" s="1">
        <v>0</v>
      </c>
      <c r="I7" s="1">
        <v>1</v>
      </c>
      <c r="J7" s="1">
        <v>0</v>
      </c>
      <c r="K7" s="1">
        <v>1</v>
      </c>
      <c r="L7" s="1">
        <v>0</v>
      </c>
      <c r="M7" s="1">
        <v>0</v>
      </c>
      <c r="N7" s="1">
        <v>0</v>
      </c>
      <c r="O7" s="1">
        <v>0</v>
      </c>
      <c r="P7" s="1">
        <v>10</v>
      </c>
      <c r="Q7" s="1">
        <v>3</v>
      </c>
      <c r="R7" s="1">
        <v>2</v>
      </c>
      <c r="S7" s="1">
        <v>1</v>
      </c>
      <c r="T7" s="1">
        <v>1</v>
      </c>
      <c r="U7" s="1">
        <v>3</v>
      </c>
      <c r="V7" s="1">
        <v>3</v>
      </c>
      <c r="W7" s="1">
        <v>2</v>
      </c>
      <c r="X7" s="1">
        <v>3</v>
      </c>
      <c r="Y7" s="1">
        <v>3</v>
      </c>
      <c r="Z7" s="1">
        <v>3</v>
      </c>
      <c r="AA7" s="1">
        <v>3</v>
      </c>
      <c r="AC7" s="1">
        <v>1</v>
      </c>
      <c r="AD7" s="1">
        <v>3</v>
      </c>
      <c r="AF7" s="3">
        <v>4400000</v>
      </c>
      <c r="AG7" s="1">
        <v>11</v>
      </c>
      <c r="AR7" s="1" t="s">
        <v>118</v>
      </c>
      <c r="BP7" s="1">
        <v>3</v>
      </c>
      <c r="BQ7" s="1" t="s">
        <v>2300</v>
      </c>
      <c r="BR7" s="1" t="s">
        <v>2301</v>
      </c>
      <c r="BS7" s="1" t="s">
        <v>2302</v>
      </c>
      <c r="BT7" s="1" t="s">
        <v>79</v>
      </c>
      <c r="BU7" s="1">
        <v>1</v>
      </c>
      <c r="BV7" s="1">
        <v>2</v>
      </c>
      <c r="BW7" s="1">
        <v>1</v>
      </c>
      <c r="BX7" s="1">
        <v>0</v>
      </c>
      <c r="BY7" s="1">
        <v>0</v>
      </c>
      <c r="BZ7" s="1">
        <v>0</v>
      </c>
      <c r="CA7" s="1">
        <v>0</v>
      </c>
      <c r="CB7" s="1">
        <v>0</v>
      </c>
      <c r="CC7" s="1">
        <v>0</v>
      </c>
      <c r="CD7" s="1">
        <v>0</v>
      </c>
      <c r="CE7" s="1">
        <v>0</v>
      </c>
      <c r="CF7" s="1">
        <v>0</v>
      </c>
      <c r="CG7" s="1">
        <v>0</v>
      </c>
      <c r="CH7" s="1">
        <v>0</v>
      </c>
      <c r="CI7" s="1">
        <v>0</v>
      </c>
      <c r="CJ7" s="1">
        <v>4</v>
      </c>
      <c r="CK7" s="1">
        <v>4</v>
      </c>
      <c r="CL7" s="1">
        <v>3</v>
      </c>
      <c r="CM7" s="1">
        <v>4</v>
      </c>
      <c r="CN7" s="1">
        <v>4</v>
      </c>
      <c r="CO7" s="1">
        <v>4</v>
      </c>
      <c r="CP7" s="1">
        <v>4</v>
      </c>
      <c r="CU7" s="1">
        <v>1</v>
      </c>
    </row>
    <row r="8" spans="1:99" x14ac:dyDescent="0.35">
      <c r="A8" s="1" t="s">
        <v>2303</v>
      </c>
      <c r="B8" s="1">
        <v>171624007</v>
      </c>
      <c r="C8" s="1">
        <v>0</v>
      </c>
      <c r="D8" s="1">
        <v>0</v>
      </c>
      <c r="E8" s="1">
        <v>0</v>
      </c>
      <c r="F8" s="1">
        <v>0</v>
      </c>
      <c r="G8" s="1">
        <v>0</v>
      </c>
      <c r="H8" s="1">
        <v>0</v>
      </c>
      <c r="I8" s="1">
        <v>0</v>
      </c>
      <c r="J8" s="1">
        <v>0</v>
      </c>
      <c r="K8" s="1">
        <v>1</v>
      </c>
      <c r="L8" s="1">
        <v>0</v>
      </c>
      <c r="M8" s="1">
        <v>0</v>
      </c>
      <c r="N8" s="1">
        <v>0</v>
      </c>
      <c r="O8" s="1">
        <v>0</v>
      </c>
      <c r="P8" s="1" t="s">
        <v>78</v>
      </c>
      <c r="Q8" s="1" t="s">
        <v>601</v>
      </c>
      <c r="R8" s="1" t="s">
        <v>78</v>
      </c>
      <c r="S8" s="1">
        <v>1</v>
      </c>
      <c r="T8" s="1">
        <v>1</v>
      </c>
      <c r="U8" s="1">
        <v>4</v>
      </c>
      <c r="V8" s="1">
        <v>4</v>
      </c>
      <c r="W8" s="1">
        <v>3</v>
      </c>
      <c r="X8" s="1">
        <v>3</v>
      </c>
      <c r="Y8" s="1">
        <v>4</v>
      </c>
      <c r="Z8" s="1">
        <v>4</v>
      </c>
      <c r="AA8" s="1">
        <v>4</v>
      </c>
      <c r="AC8" s="1">
        <v>1</v>
      </c>
      <c r="AD8" s="1">
        <v>1</v>
      </c>
      <c r="AF8" s="3">
        <v>7500000</v>
      </c>
      <c r="AG8" s="1">
        <v>14</v>
      </c>
      <c r="AU8" s="1" t="s">
        <v>2304</v>
      </c>
      <c r="BP8" s="1">
        <v>3</v>
      </c>
      <c r="BQ8" s="1" t="s">
        <v>2305</v>
      </c>
      <c r="BR8" s="1" t="s">
        <v>2306</v>
      </c>
      <c r="BT8" s="1" t="s">
        <v>73</v>
      </c>
      <c r="BU8" s="1">
        <v>5</v>
      </c>
      <c r="BV8" s="1">
        <v>2</v>
      </c>
      <c r="BW8" s="1">
        <v>0</v>
      </c>
      <c r="BX8" s="1">
        <v>1</v>
      </c>
      <c r="BY8" s="1">
        <v>0</v>
      </c>
      <c r="BZ8" s="1">
        <v>0</v>
      </c>
      <c r="CA8" s="1">
        <v>0</v>
      </c>
      <c r="CB8" s="1">
        <v>0</v>
      </c>
      <c r="CC8" s="1">
        <v>0</v>
      </c>
      <c r="CD8" s="1">
        <v>0</v>
      </c>
      <c r="CE8" s="1">
        <v>0</v>
      </c>
      <c r="CF8" s="1">
        <v>0</v>
      </c>
      <c r="CG8" s="1">
        <v>0</v>
      </c>
      <c r="CH8" s="1">
        <v>0</v>
      </c>
      <c r="CI8" s="1" t="s">
        <v>2307</v>
      </c>
      <c r="CJ8" s="1">
        <v>4</v>
      </c>
      <c r="CK8" s="1">
        <v>4</v>
      </c>
      <c r="CL8" s="1">
        <v>3</v>
      </c>
      <c r="CM8" s="1">
        <v>3</v>
      </c>
      <c r="CN8" s="1">
        <v>4</v>
      </c>
      <c r="CO8" s="1">
        <v>4</v>
      </c>
      <c r="CP8" s="1">
        <v>4</v>
      </c>
      <c r="CU8" s="1">
        <v>4</v>
      </c>
    </row>
    <row r="9" spans="1:99" x14ac:dyDescent="0.35">
      <c r="A9" s="1" t="s">
        <v>2308</v>
      </c>
      <c r="B9" s="1">
        <v>171624008</v>
      </c>
      <c r="C9" s="1">
        <v>0</v>
      </c>
      <c r="D9" s="1">
        <v>1</v>
      </c>
      <c r="E9" s="1">
        <v>0</v>
      </c>
      <c r="F9" s="1">
        <v>0</v>
      </c>
      <c r="G9" s="1">
        <v>0</v>
      </c>
      <c r="H9" s="1">
        <v>0</v>
      </c>
      <c r="I9" s="1">
        <v>0</v>
      </c>
      <c r="J9" s="1">
        <v>0</v>
      </c>
      <c r="K9" s="1">
        <v>0</v>
      </c>
      <c r="L9" s="1">
        <v>0</v>
      </c>
      <c r="M9" s="1">
        <v>0</v>
      </c>
      <c r="N9" s="1">
        <v>0</v>
      </c>
      <c r="O9" s="1">
        <v>0</v>
      </c>
      <c r="P9" s="1">
        <v>2</v>
      </c>
      <c r="Q9" s="1">
        <v>2</v>
      </c>
      <c r="R9" s="1">
        <v>2</v>
      </c>
      <c r="S9" s="1">
        <v>1</v>
      </c>
      <c r="T9" s="1">
        <v>1</v>
      </c>
      <c r="U9" s="1">
        <v>4</v>
      </c>
      <c r="V9" s="1">
        <v>4</v>
      </c>
      <c r="W9" s="1">
        <v>3</v>
      </c>
      <c r="X9" s="1">
        <v>3</v>
      </c>
      <c r="Y9" s="1">
        <v>4</v>
      </c>
      <c r="Z9" s="1">
        <v>4</v>
      </c>
      <c r="AA9" s="1">
        <v>4</v>
      </c>
      <c r="AC9" s="1">
        <v>2</v>
      </c>
      <c r="AE9" s="1">
        <v>5</v>
      </c>
      <c r="AF9" s="3">
        <v>6000000</v>
      </c>
      <c r="AG9" s="1">
        <v>11</v>
      </c>
      <c r="AR9" s="1" t="s">
        <v>222</v>
      </c>
      <c r="BP9" s="1">
        <v>3</v>
      </c>
      <c r="BQ9" s="1" t="s">
        <v>2309</v>
      </c>
      <c r="BR9" s="1" t="s">
        <v>2310</v>
      </c>
      <c r="BS9" s="1" t="s">
        <v>2311</v>
      </c>
      <c r="BT9" s="1" t="s">
        <v>73</v>
      </c>
      <c r="BU9" s="1">
        <v>1</v>
      </c>
      <c r="BV9" s="1">
        <v>1</v>
      </c>
      <c r="BW9" s="1">
        <v>1</v>
      </c>
      <c r="BX9" s="1">
        <v>0</v>
      </c>
      <c r="BY9" s="1">
        <v>0</v>
      </c>
      <c r="BZ9" s="1">
        <v>0</v>
      </c>
      <c r="CA9" s="1">
        <v>0</v>
      </c>
      <c r="CB9" s="1">
        <v>0</v>
      </c>
      <c r="CC9" s="1">
        <v>0</v>
      </c>
      <c r="CD9" s="1">
        <v>0</v>
      </c>
      <c r="CE9" s="1">
        <v>0</v>
      </c>
      <c r="CF9" s="1">
        <v>0</v>
      </c>
      <c r="CG9" s="1">
        <v>0</v>
      </c>
      <c r="CH9" s="1">
        <v>0</v>
      </c>
      <c r="CI9" s="1">
        <v>0</v>
      </c>
      <c r="CJ9" s="1">
        <v>4</v>
      </c>
      <c r="CK9" s="1">
        <v>4</v>
      </c>
      <c r="CL9" s="1">
        <v>3</v>
      </c>
      <c r="CM9" s="1">
        <v>4</v>
      </c>
      <c r="CN9" s="1">
        <v>4</v>
      </c>
      <c r="CO9" s="1">
        <v>4</v>
      </c>
      <c r="CP9" s="1">
        <v>4</v>
      </c>
      <c r="CU9" s="1">
        <v>1</v>
      </c>
    </row>
    <row r="10" spans="1:99" x14ac:dyDescent="0.35">
      <c r="A10" s="1" t="s">
        <v>2312</v>
      </c>
      <c r="B10" s="1">
        <v>171624009</v>
      </c>
      <c r="C10" s="1">
        <v>0</v>
      </c>
      <c r="D10" s="1">
        <v>0</v>
      </c>
      <c r="E10" s="1">
        <v>0</v>
      </c>
      <c r="F10" s="1">
        <v>0</v>
      </c>
      <c r="G10" s="1">
        <v>0</v>
      </c>
      <c r="H10" s="1">
        <v>0</v>
      </c>
      <c r="I10" s="1">
        <v>0</v>
      </c>
      <c r="J10" s="1">
        <v>1</v>
      </c>
      <c r="K10" s="1">
        <v>1</v>
      </c>
      <c r="L10" s="1">
        <v>0</v>
      </c>
      <c r="M10" s="1">
        <v>0</v>
      </c>
      <c r="N10" s="1">
        <v>0</v>
      </c>
      <c r="O10" s="1">
        <v>0</v>
      </c>
      <c r="P10" s="1">
        <v>1</v>
      </c>
      <c r="Q10" s="1">
        <v>1</v>
      </c>
      <c r="R10" s="1">
        <v>1</v>
      </c>
      <c r="S10" s="1">
        <v>1</v>
      </c>
      <c r="T10" s="1">
        <v>1</v>
      </c>
      <c r="U10" s="1">
        <v>4</v>
      </c>
      <c r="V10" s="1">
        <v>3</v>
      </c>
      <c r="W10" s="1">
        <v>3</v>
      </c>
      <c r="X10" s="1">
        <v>4</v>
      </c>
      <c r="Y10" s="1">
        <v>3</v>
      </c>
      <c r="Z10" s="1">
        <v>4</v>
      </c>
      <c r="AA10" s="1">
        <v>4</v>
      </c>
      <c r="CU10" s="1">
        <v>1</v>
      </c>
    </row>
    <row r="11" spans="1:99" x14ac:dyDescent="0.35">
      <c r="A11" s="1" t="s">
        <v>2313</v>
      </c>
      <c r="B11" s="1">
        <v>171624010</v>
      </c>
      <c r="S11" s="1">
        <v>3</v>
      </c>
      <c r="T11" s="1">
        <v>1</v>
      </c>
      <c r="U11" s="1">
        <v>3</v>
      </c>
      <c r="V11" s="1">
        <v>3</v>
      </c>
      <c r="W11" s="1">
        <v>3</v>
      </c>
      <c r="X11" s="1">
        <v>3</v>
      </c>
      <c r="Y11" s="1">
        <v>3</v>
      </c>
      <c r="Z11" s="1">
        <v>3</v>
      </c>
      <c r="AA11" s="1">
        <v>3</v>
      </c>
      <c r="AB11" s="1">
        <v>4</v>
      </c>
      <c r="AC11" s="1">
        <v>2</v>
      </c>
      <c r="AE11" s="1">
        <v>1</v>
      </c>
      <c r="AF11" s="3">
        <v>3000000</v>
      </c>
      <c r="AG11" s="1">
        <v>13</v>
      </c>
      <c r="AT11" s="1" t="s">
        <v>86</v>
      </c>
      <c r="BP11" s="1" t="s">
        <v>2314</v>
      </c>
      <c r="BQ11" s="1" t="s">
        <v>2315</v>
      </c>
      <c r="BT11" s="1" t="s">
        <v>79</v>
      </c>
      <c r="BU11" s="1">
        <v>5</v>
      </c>
      <c r="BV11" s="1">
        <v>2</v>
      </c>
      <c r="BW11" s="1">
        <v>0</v>
      </c>
      <c r="BX11" s="1">
        <v>0</v>
      </c>
      <c r="BY11" s="1">
        <v>0</v>
      </c>
      <c r="BZ11" s="1">
        <v>0</v>
      </c>
      <c r="CA11" s="1">
        <v>0</v>
      </c>
      <c r="CB11" s="1">
        <v>0</v>
      </c>
      <c r="CC11" s="1">
        <v>0</v>
      </c>
      <c r="CD11" s="1">
        <v>0</v>
      </c>
      <c r="CE11" s="1">
        <v>0</v>
      </c>
      <c r="CF11" s="1">
        <v>0</v>
      </c>
      <c r="CG11" s="1">
        <v>0</v>
      </c>
      <c r="CH11" s="1">
        <v>0</v>
      </c>
      <c r="CI11" s="1" t="s">
        <v>2316</v>
      </c>
      <c r="CJ11" s="1">
        <v>3</v>
      </c>
      <c r="CK11" s="1">
        <v>2</v>
      </c>
      <c r="CL11" s="1">
        <v>1</v>
      </c>
      <c r="CM11" s="1">
        <v>3</v>
      </c>
      <c r="CN11" s="1">
        <v>3</v>
      </c>
      <c r="CO11" s="1">
        <v>3</v>
      </c>
      <c r="CP11" s="1">
        <v>3</v>
      </c>
      <c r="CU11" s="1">
        <v>1</v>
      </c>
    </row>
    <row r="12" spans="1:99" x14ac:dyDescent="0.35">
      <c r="A12" s="1" t="s">
        <v>2317</v>
      </c>
      <c r="B12" s="1">
        <v>171624011</v>
      </c>
      <c r="C12" s="1">
        <v>0</v>
      </c>
      <c r="D12" s="1">
        <v>0</v>
      </c>
      <c r="E12" s="1">
        <v>0</v>
      </c>
      <c r="F12" s="1">
        <v>0</v>
      </c>
      <c r="G12" s="1">
        <v>0</v>
      </c>
      <c r="H12" s="1">
        <v>0</v>
      </c>
      <c r="I12" s="1">
        <v>0</v>
      </c>
      <c r="J12" s="1">
        <v>0</v>
      </c>
      <c r="K12" s="1">
        <v>1</v>
      </c>
      <c r="L12" s="1">
        <v>0</v>
      </c>
      <c r="M12" s="1">
        <v>0</v>
      </c>
      <c r="N12" s="1">
        <v>0</v>
      </c>
      <c r="O12" s="1">
        <v>0</v>
      </c>
      <c r="P12" s="1">
        <v>5</v>
      </c>
      <c r="Q12" s="1">
        <v>2</v>
      </c>
      <c r="R12" s="1">
        <v>1</v>
      </c>
      <c r="S12" s="1">
        <v>1</v>
      </c>
      <c r="T12" s="1">
        <v>1</v>
      </c>
      <c r="U12" s="1">
        <v>3</v>
      </c>
      <c r="V12" s="1">
        <v>3</v>
      </c>
      <c r="W12" s="1">
        <v>3</v>
      </c>
      <c r="X12" s="1">
        <v>3</v>
      </c>
      <c r="Y12" s="1">
        <v>3</v>
      </c>
      <c r="Z12" s="1">
        <v>3</v>
      </c>
      <c r="AA12" s="1">
        <v>3</v>
      </c>
      <c r="AC12" s="1">
        <v>1</v>
      </c>
      <c r="AD12" s="1">
        <v>1</v>
      </c>
      <c r="AF12" s="3">
        <v>6000000</v>
      </c>
      <c r="AG12" s="1">
        <v>11</v>
      </c>
      <c r="AR12" s="1" t="s">
        <v>118</v>
      </c>
      <c r="BP12" s="1">
        <v>3</v>
      </c>
      <c r="BQ12" s="1" t="s">
        <v>2318</v>
      </c>
      <c r="BR12" s="1" t="s">
        <v>2319</v>
      </c>
      <c r="BS12" s="1" t="s">
        <v>2320</v>
      </c>
      <c r="BT12" s="1" t="s">
        <v>73</v>
      </c>
      <c r="BU12" s="1">
        <v>1</v>
      </c>
      <c r="BV12" s="1">
        <v>2</v>
      </c>
      <c r="BW12" s="1">
        <v>1</v>
      </c>
      <c r="BX12" s="1">
        <v>0</v>
      </c>
      <c r="BY12" s="1">
        <v>0</v>
      </c>
      <c r="BZ12" s="1">
        <v>0</v>
      </c>
      <c r="CA12" s="1">
        <v>0</v>
      </c>
      <c r="CB12" s="1">
        <v>0</v>
      </c>
      <c r="CC12" s="1">
        <v>0</v>
      </c>
      <c r="CD12" s="1">
        <v>0</v>
      </c>
      <c r="CE12" s="1">
        <v>0</v>
      </c>
      <c r="CF12" s="1">
        <v>0</v>
      </c>
      <c r="CG12" s="1">
        <v>0</v>
      </c>
      <c r="CH12" s="1">
        <v>0</v>
      </c>
      <c r="CI12" s="1">
        <v>0</v>
      </c>
      <c r="CJ12" s="1">
        <v>4</v>
      </c>
      <c r="CK12" s="1">
        <v>4</v>
      </c>
      <c r="CL12" s="1">
        <v>4</v>
      </c>
      <c r="CM12" s="1">
        <v>4</v>
      </c>
      <c r="CN12" s="1">
        <v>4</v>
      </c>
      <c r="CO12" s="1">
        <v>4</v>
      </c>
      <c r="CP12" s="1">
        <v>4</v>
      </c>
      <c r="CU12" s="1">
        <v>1</v>
      </c>
    </row>
    <row r="13" spans="1:99" x14ac:dyDescent="0.35">
      <c r="A13" s="1" t="s">
        <v>2321</v>
      </c>
      <c r="B13" s="1">
        <v>171624012</v>
      </c>
      <c r="C13" s="1">
        <v>0</v>
      </c>
      <c r="D13" s="1">
        <v>1</v>
      </c>
      <c r="E13" s="1">
        <v>1</v>
      </c>
      <c r="F13" s="1">
        <v>0</v>
      </c>
      <c r="G13" s="1">
        <v>0</v>
      </c>
      <c r="H13" s="1">
        <v>0</v>
      </c>
      <c r="I13" s="1">
        <v>0</v>
      </c>
      <c r="J13" s="1">
        <v>1</v>
      </c>
      <c r="K13" s="1">
        <v>1</v>
      </c>
      <c r="L13" s="1">
        <v>0</v>
      </c>
      <c r="M13" s="1">
        <v>0</v>
      </c>
      <c r="N13" s="1">
        <v>0</v>
      </c>
      <c r="O13" s="1">
        <v>0</v>
      </c>
      <c r="P13" s="1" t="s">
        <v>2322</v>
      </c>
      <c r="Q13" s="7">
        <v>42278</v>
      </c>
      <c r="R13" s="7">
        <v>42278</v>
      </c>
      <c r="S13" s="1">
        <v>1</v>
      </c>
      <c r="T13" s="1">
        <v>1</v>
      </c>
      <c r="U13" s="1">
        <v>4</v>
      </c>
      <c r="V13" s="1">
        <v>3</v>
      </c>
      <c r="W13" s="1">
        <v>3</v>
      </c>
      <c r="X13" s="1">
        <v>3</v>
      </c>
      <c r="Y13" s="1">
        <v>4</v>
      </c>
      <c r="Z13" s="1">
        <v>3</v>
      </c>
      <c r="AA13" s="1">
        <v>3</v>
      </c>
      <c r="AC13" s="1">
        <v>1</v>
      </c>
      <c r="AD13" s="1">
        <v>2</v>
      </c>
      <c r="AF13" s="3">
        <v>7000000</v>
      </c>
      <c r="AG13" s="1">
        <v>11</v>
      </c>
      <c r="AR13" s="1" t="s">
        <v>130</v>
      </c>
      <c r="BP13" s="1">
        <v>3</v>
      </c>
      <c r="BQ13" s="1" t="s">
        <v>2323</v>
      </c>
      <c r="BR13" s="1" t="s">
        <v>2324</v>
      </c>
      <c r="BS13" s="1" t="s">
        <v>2325</v>
      </c>
      <c r="BT13" s="1" t="s">
        <v>79</v>
      </c>
      <c r="BU13" s="1">
        <v>2</v>
      </c>
      <c r="BV13" s="1">
        <v>2</v>
      </c>
      <c r="BW13" s="1">
        <v>1</v>
      </c>
      <c r="BX13" s="1">
        <v>0</v>
      </c>
      <c r="BY13" s="1">
        <v>1</v>
      </c>
      <c r="BZ13" s="1">
        <v>0</v>
      </c>
      <c r="CA13" s="1">
        <v>0</v>
      </c>
      <c r="CB13" s="1">
        <v>1</v>
      </c>
      <c r="CC13" s="1">
        <v>0</v>
      </c>
      <c r="CD13" s="1">
        <v>1</v>
      </c>
      <c r="CE13" s="1">
        <v>1</v>
      </c>
      <c r="CF13" s="1">
        <v>0</v>
      </c>
      <c r="CG13" s="1">
        <v>0</v>
      </c>
      <c r="CH13" s="1">
        <v>0</v>
      </c>
      <c r="CI13" s="1">
        <v>0</v>
      </c>
      <c r="CJ13" s="1">
        <v>4</v>
      </c>
      <c r="CK13" s="1">
        <v>2</v>
      </c>
      <c r="CL13" s="1">
        <v>3</v>
      </c>
      <c r="CM13" s="1">
        <v>3</v>
      </c>
      <c r="CN13" s="1">
        <v>4</v>
      </c>
      <c r="CO13" s="1">
        <v>3</v>
      </c>
      <c r="CP13" s="1">
        <v>3</v>
      </c>
      <c r="CU13" s="1">
        <v>1</v>
      </c>
    </row>
    <row r="14" spans="1:99" x14ac:dyDescent="0.35">
      <c r="A14" s="1" t="s">
        <v>2326</v>
      </c>
      <c r="B14" s="1">
        <v>171624013</v>
      </c>
      <c r="C14" s="1">
        <v>0</v>
      </c>
      <c r="D14" s="1">
        <v>1</v>
      </c>
      <c r="E14" s="1">
        <v>0</v>
      </c>
      <c r="F14" s="1">
        <v>0</v>
      </c>
      <c r="G14" s="1">
        <v>0</v>
      </c>
      <c r="H14" s="1">
        <v>1</v>
      </c>
      <c r="I14" s="1">
        <v>1</v>
      </c>
      <c r="J14" s="1">
        <v>1</v>
      </c>
      <c r="K14" s="1">
        <v>1</v>
      </c>
      <c r="L14" s="1">
        <v>0</v>
      </c>
      <c r="M14" s="1">
        <v>0</v>
      </c>
      <c r="N14" s="1">
        <v>0</v>
      </c>
      <c r="O14" s="1">
        <v>0</v>
      </c>
      <c r="P14" s="1">
        <v>30</v>
      </c>
      <c r="Q14" s="1">
        <v>10</v>
      </c>
      <c r="R14" s="1">
        <v>7</v>
      </c>
      <c r="S14" s="1">
        <v>1</v>
      </c>
      <c r="T14" s="1">
        <v>1</v>
      </c>
      <c r="U14" s="1">
        <v>3</v>
      </c>
      <c r="V14" s="1">
        <v>3</v>
      </c>
      <c r="W14" s="1">
        <v>3</v>
      </c>
      <c r="X14" s="1">
        <v>4</v>
      </c>
      <c r="Y14" s="1">
        <v>3</v>
      </c>
      <c r="Z14" s="1">
        <v>3</v>
      </c>
      <c r="AA14" s="1">
        <v>3</v>
      </c>
      <c r="AC14" s="1">
        <v>1</v>
      </c>
      <c r="AD14" s="1">
        <v>2</v>
      </c>
      <c r="AF14" s="3">
        <v>5400000</v>
      </c>
      <c r="AG14" s="1">
        <v>11</v>
      </c>
      <c r="AR14" s="1" t="s">
        <v>118</v>
      </c>
      <c r="BP14" s="1">
        <v>3</v>
      </c>
      <c r="BQ14" s="1" t="s">
        <v>2327</v>
      </c>
      <c r="BR14" s="1" t="s">
        <v>2328</v>
      </c>
      <c r="BS14" s="1" t="s">
        <v>2329</v>
      </c>
      <c r="BT14" s="1" t="s">
        <v>79</v>
      </c>
      <c r="BU14" s="1">
        <v>2</v>
      </c>
      <c r="BV14" s="1">
        <v>2</v>
      </c>
      <c r="BW14" s="1">
        <v>1</v>
      </c>
      <c r="BX14" s="1">
        <v>0</v>
      </c>
      <c r="BY14" s="1">
        <v>0</v>
      </c>
      <c r="BZ14" s="1">
        <v>0</v>
      </c>
      <c r="CA14" s="1">
        <v>0</v>
      </c>
      <c r="CB14" s="1">
        <v>0</v>
      </c>
      <c r="CC14" s="1">
        <v>0</v>
      </c>
      <c r="CD14" s="1">
        <v>0</v>
      </c>
      <c r="CE14" s="1">
        <v>0</v>
      </c>
      <c r="CF14" s="1">
        <v>0</v>
      </c>
      <c r="CG14" s="1">
        <v>0</v>
      </c>
      <c r="CH14" s="1">
        <v>0</v>
      </c>
      <c r="CI14" s="1">
        <v>0</v>
      </c>
      <c r="CJ14" s="1">
        <v>4</v>
      </c>
      <c r="CK14" s="1">
        <v>3</v>
      </c>
      <c r="CL14" s="1">
        <v>3</v>
      </c>
      <c r="CM14" s="1">
        <v>4</v>
      </c>
      <c r="CN14" s="1">
        <v>4</v>
      </c>
      <c r="CO14" s="1">
        <v>4</v>
      </c>
      <c r="CP14" s="1">
        <v>4</v>
      </c>
      <c r="CU14" s="1">
        <v>4</v>
      </c>
    </row>
    <row r="15" spans="1:99" x14ac:dyDescent="0.35">
      <c r="A15" s="1" t="s">
        <v>2330</v>
      </c>
      <c r="B15" s="1">
        <v>171624014</v>
      </c>
      <c r="C15" s="1">
        <v>0</v>
      </c>
      <c r="D15" s="1">
        <v>1</v>
      </c>
      <c r="E15" s="1">
        <v>0</v>
      </c>
      <c r="F15" s="1">
        <v>0</v>
      </c>
      <c r="G15" s="1">
        <v>0</v>
      </c>
      <c r="H15" s="1">
        <v>1</v>
      </c>
      <c r="I15" s="1">
        <v>0</v>
      </c>
      <c r="J15" s="1">
        <v>1</v>
      </c>
      <c r="K15" s="1">
        <v>1</v>
      </c>
      <c r="L15" s="1">
        <v>0</v>
      </c>
      <c r="M15" s="1">
        <v>0</v>
      </c>
      <c r="N15" s="1">
        <v>0</v>
      </c>
      <c r="O15" s="1">
        <v>0</v>
      </c>
      <c r="P15" s="1">
        <v>20</v>
      </c>
      <c r="Q15" s="1">
        <v>5</v>
      </c>
      <c r="R15" s="1">
        <v>3</v>
      </c>
      <c r="S15" s="1">
        <v>1</v>
      </c>
      <c r="T15" s="1">
        <v>1</v>
      </c>
      <c r="U15" s="1">
        <v>3</v>
      </c>
      <c r="V15" s="1">
        <v>3</v>
      </c>
      <c r="W15" s="1">
        <v>3</v>
      </c>
      <c r="X15" s="1">
        <v>3</v>
      </c>
      <c r="Y15" s="1">
        <v>3</v>
      </c>
      <c r="Z15" s="1">
        <v>3</v>
      </c>
      <c r="AA15" s="1">
        <v>3</v>
      </c>
      <c r="AC15" s="1">
        <v>1</v>
      </c>
      <c r="AD15" s="1">
        <v>2</v>
      </c>
      <c r="AF15" s="3">
        <v>7600000</v>
      </c>
      <c r="AG15" s="1">
        <v>14</v>
      </c>
      <c r="AU15" s="1" t="s">
        <v>2304</v>
      </c>
      <c r="BP15" s="1">
        <v>3</v>
      </c>
      <c r="BQ15" s="1" t="s">
        <v>2305</v>
      </c>
      <c r="BR15" s="1" t="s">
        <v>2331</v>
      </c>
      <c r="BS15" s="1" t="s">
        <v>2332</v>
      </c>
      <c r="BT15" s="1" t="s">
        <v>73</v>
      </c>
      <c r="BU15" s="1">
        <v>4</v>
      </c>
      <c r="BV15" s="1">
        <v>2</v>
      </c>
      <c r="BW15" s="1">
        <v>0</v>
      </c>
      <c r="BX15" s="1">
        <v>0</v>
      </c>
      <c r="BY15" s="1">
        <v>0</v>
      </c>
      <c r="BZ15" s="1">
        <v>0</v>
      </c>
      <c r="CA15" s="1">
        <v>0</v>
      </c>
      <c r="CB15" s="1">
        <v>1</v>
      </c>
      <c r="CC15" s="1">
        <v>0</v>
      </c>
      <c r="CD15" s="1">
        <v>0</v>
      </c>
      <c r="CE15" s="1">
        <v>0</v>
      </c>
      <c r="CF15" s="1">
        <v>0</v>
      </c>
      <c r="CG15" s="1">
        <v>0</v>
      </c>
      <c r="CH15" s="1">
        <v>0</v>
      </c>
      <c r="CI15" s="1">
        <v>0</v>
      </c>
      <c r="CJ15" s="1">
        <v>3</v>
      </c>
      <c r="CK15" s="1">
        <v>3</v>
      </c>
      <c r="CL15" s="1">
        <v>3</v>
      </c>
      <c r="CM15" s="1">
        <v>3</v>
      </c>
      <c r="CN15" s="1">
        <v>3</v>
      </c>
      <c r="CO15" s="1">
        <v>3</v>
      </c>
      <c r="CP15" s="1">
        <v>3</v>
      </c>
      <c r="CU15" s="1">
        <v>1</v>
      </c>
    </row>
    <row r="16" spans="1:99" x14ac:dyDescent="0.35">
      <c r="A16" s="1" t="s">
        <v>2333</v>
      </c>
      <c r="B16" s="1">
        <v>171624015</v>
      </c>
      <c r="C16" s="1">
        <v>0</v>
      </c>
      <c r="D16" s="1">
        <v>1</v>
      </c>
      <c r="E16" s="1">
        <v>0</v>
      </c>
      <c r="F16" s="1">
        <v>0</v>
      </c>
      <c r="G16" s="1">
        <v>1</v>
      </c>
      <c r="H16" s="1">
        <v>0</v>
      </c>
      <c r="I16" s="1">
        <v>0</v>
      </c>
      <c r="J16" s="1">
        <v>1</v>
      </c>
      <c r="K16" s="1">
        <v>1</v>
      </c>
      <c r="L16" s="1">
        <v>0</v>
      </c>
      <c r="M16" s="1">
        <v>0</v>
      </c>
      <c r="N16" s="1">
        <v>0</v>
      </c>
      <c r="O16" s="1">
        <v>0</v>
      </c>
      <c r="P16" s="1" t="s">
        <v>2334</v>
      </c>
      <c r="Q16" s="1" t="s">
        <v>2335</v>
      </c>
      <c r="R16" s="1" t="s">
        <v>2336</v>
      </c>
      <c r="S16" s="1">
        <v>1</v>
      </c>
      <c r="T16" s="1">
        <v>1</v>
      </c>
      <c r="U16" s="1">
        <v>4</v>
      </c>
      <c r="V16" s="1">
        <v>4</v>
      </c>
      <c r="W16" s="1">
        <v>3</v>
      </c>
      <c r="X16" s="1">
        <v>3</v>
      </c>
      <c r="Y16" s="1">
        <v>4</v>
      </c>
      <c r="Z16" s="1">
        <v>4</v>
      </c>
      <c r="AA16" s="1">
        <v>4</v>
      </c>
      <c r="AC16" s="1">
        <v>2</v>
      </c>
      <c r="AE16" s="1">
        <v>6</v>
      </c>
      <c r="AF16" s="3">
        <v>14000000</v>
      </c>
      <c r="AG16" s="1">
        <v>11</v>
      </c>
      <c r="AR16" s="1" t="s">
        <v>118</v>
      </c>
      <c r="BP16" s="1">
        <v>3</v>
      </c>
      <c r="BQ16" s="1" t="s">
        <v>2337</v>
      </c>
      <c r="BR16" s="1" t="s">
        <v>2338</v>
      </c>
      <c r="BS16" s="1" t="s">
        <v>2339</v>
      </c>
      <c r="BT16" s="1" t="s">
        <v>73</v>
      </c>
      <c r="BU16" s="1">
        <v>1</v>
      </c>
      <c r="BV16" s="1">
        <v>1</v>
      </c>
      <c r="BW16" s="1">
        <v>1</v>
      </c>
      <c r="BX16" s="1">
        <v>0</v>
      </c>
      <c r="BY16" s="1">
        <v>0</v>
      </c>
      <c r="BZ16" s="1">
        <v>0</v>
      </c>
      <c r="CA16" s="1">
        <v>0</v>
      </c>
      <c r="CB16" s="1">
        <v>0</v>
      </c>
      <c r="CC16" s="1">
        <v>0</v>
      </c>
      <c r="CD16" s="1">
        <v>0</v>
      </c>
      <c r="CE16" s="1">
        <v>0</v>
      </c>
      <c r="CF16" s="1">
        <v>0</v>
      </c>
      <c r="CG16" s="1">
        <v>0</v>
      </c>
      <c r="CH16" s="1">
        <v>0</v>
      </c>
      <c r="CI16" s="1">
        <v>0</v>
      </c>
      <c r="CJ16" s="1">
        <v>4</v>
      </c>
      <c r="CK16" s="1">
        <v>4</v>
      </c>
      <c r="CL16" s="1">
        <v>4</v>
      </c>
      <c r="CM16" s="1">
        <v>4</v>
      </c>
      <c r="CN16" s="1">
        <v>4</v>
      </c>
      <c r="CO16" s="1">
        <v>4</v>
      </c>
      <c r="CP16" s="1">
        <v>4</v>
      </c>
      <c r="CU16" s="1">
        <v>4</v>
      </c>
    </row>
    <row r="17" spans="1:99" x14ac:dyDescent="0.35">
      <c r="A17" s="1" t="s">
        <v>2340</v>
      </c>
      <c r="B17" s="1">
        <v>171624016</v>
      </c>
      <c r="C17" s="1">
        <v>0</v>
      </c>
      <c r="D17" s="1">
        <v>0</v>
      </c>
      <c r="E17" s="1">
        <v>0</v>
      </c>
      <c r="F17" s="1">
        <v>0</v>
      </c>
      <c r="G17" s="1">
        <v>0</v>
      </c>
      <c r="H17" s="1">
        <v>0</v>
      </c>
      <c r="I17" s="1">
        <v>0</v>
      </c>
      <c r="J17" s="1">
        <v>0</v>
      </c>
      <c r="K17" s="1">
        <v>1</v>
      </c>
      <c r="L17" s="1">
        <v>0</v>
      </c>
      <c r="M17" s="1">
        <v>0</v>
      </c>
      <c r="N17" s="1">
        <v>0</v>
      </c>
      <c r="O17" s="1">
        <v>0</v>
      </c>
      <c r="P17" s="1">
        <v>10</v>
      </c>
      <c r="Q17" s="1">
        <v>3</v>
      </c>
      <c r="R17" s="1">
        <v>2</v>
      </c>
      <c r="S17" s="1">
        <v>1</v>
      </c>
      <c r="T17" s="1">
        <v>1</v>
      </c>
      <c r="U17" s="1">
        <v>3</v>
      </c>
      <c r="V17" s="1">
        <v>3</v>
      </c>
      <c r="W17" s="1">
        <v>3</v>
      </c>
      <c r="X17" s="1">
        <v>4</v>
      </c>
      <c r="Y17" s="1">
        <v>3</v>
      </c>
      <c r="Z17" s="1">
        <v>4</v>
      </c>
      <c r="AA17" s="1">
        <v>4</v>
      </c>
      <c r="AC17" s="1">
        <v>1</v>
      </c>
      <c r="AD17" s="1">
        <v>2</v>
      </c>
      <c r="AF17" s="3">
        <v>3400000</v>
      </c>
      <c r="AG17" s="1">
        <v>13</v>
      </c>
      <c r="AT17" s="1" t="s">
        <v>86</v>
      </c>
      <c r="BP17" s="1">
        <v>3</v>
      </c>
      <c r="BQ17" s="1" t="s">
        <v>2341</v>
      </c>
      <c r="BR17" s="1" t="s">
        <v>2342</v>
      </c>
      <c r="BS17" s="1" t="s">
        <v>2343</v>
      </c>
      <c r="BT17" s="1" t="s">
        <v>79</v>
      </c>
      <c r="BU17" s="1">
        <v>1</v>
      </c>
      <c r="BV17" s="1">
        <v>3</v>
      </c>
      <c r="BW17" s="1">
        <v>1</v>
      </c>
      <c r="BX17" s="1">
        <v>0</v>
      </c>
      <c r="BY17" s="1">
        <v>0</v>
      </c>
      <c r="BZ17" s="1">
        <v>0</v>
      </c>
      <c r="CA17" s="1">
        <v>0</v>
      </c>
      <c r="CB17" s="1">
        <v>0</v>
      </c>
      <c r="CC17" s="1">
        <v>0</v>
      </c>
      <c r="CD17" s="1">
        <v>0</v>
      </c>
      <c r="CE17" s="1">
        <v>0</v>
      </c>
      <c r="CF17" s="1">
        <v>0</v>
      </c>
      <c r="CG17" s="1">
        <v>0</v>
      </c>
      <c r="CH17" s="1">
        <v>0</v>
      </c>
      <c r="CI17" s="1">
        <v>0</v>
      </c>
      <c r="CJ17" s="1">
        <v>4</v>
      </c>
      <c r="CK17" s="1">
        <v>4</v>
      </c>
      <c r="CL17" s="1">
        <v>3</v>
      </c>
      <c r="CM17" s="1">
        <v>4</v>
      </c>
      <c r="CN17" s="1">
        <v>4</v>
      </c>
      <c r="CO17" s="1">
        <v>4</v>
      </c>
      <c r="CP17" s="1">
        <v>4</v>
      </c>
      <c r="CU17" s="1">
        <v>1</v>
      </c>
    </row>
    <row r="18" spans="1:99" x14ac:dyDescent="0.35">
      <c r="A18" s="1" t="s">
        <v>2344</v>
      </c>
      <c r="B18" s="1">
        <v>171624017</v>
      </c>
      <c r="C18" s="1">
        <v>0</v>
      </c>
      <c r="D18" s="1">
        <v>0</v>
      </c>
      <c r="E18" s="1">
        <v>0</v>
      </c>
      <c r="F18" s="1">
        <v>0</v>
      </c>
      <c r="G18" s="1">
        <v>0</v>
      </c>
      <c r="H18" s="1">
        <v>0</v>
      </c>
      <c r="I18" s="1">
        <v>1</v>
      </c>
      <c r="J18" s="1">
        <v>0</v>
      </c>
      <c r="K18" s="1">
        <v>0</v>
      </c>
      <c r="L18" s="1">
        <v>0</v>
      </c>
      <c r="M18" s="1">
        <v>0</v>
      </c>
      <c r="N18" s="1">
        <v>0</v>
      </c>
      <c r="O18" s="1">
        <v>0</v>
      </c>
      <c r="P18" s="1">
        <v>5</v>
      </c>
      <c r="Q18" s="1">
        <v>5</v>
      </c>
      <c r="R18" s="1">
        <v>5</v>
      </c>
      <c r="S18" s="1">
        <v>1</v>
      </c>
      <c r="T18" s="1">
        <v>1</v>
      </c>
      <c r="U18" s="1">
        <v>4</v>
      </c>
      <c r="V18" s="1">
        <v>3</v>
      </c>
      <c r="X18" s="1">
        <v>3</v>
      </c>
      <c r="Y18" s="1">
        <v>3</v>
      </c>
      <c r="Z18" s="1">
        <v>3</v>
      </c>
      <c r="AA18" s="1">
        <v>4</v>
      </c>
      <c r="AC18" s="1">
        <v>2</v>
      </c>
      <c r="AE18" s="1">
        <v>2</v>
      </c>
      <c r="AF18" s="3">
        <v>4986000</v>
      </c>
      <c r="AG18" s="1">
        <v>12</v>
      </c>
      <c r="AS18" s="1" t="s">
        <v>69</v>
      </c>
      <c r="BP18" s="1">
        <v>3</v>
      </c>
      <c r="BQ18" s="1" t="s">
        <v>2345</v>
      </c>
      <c r="BR18" s="1" t="s">
        <v>2346</v>
      </c>
      <c r="BS18" s="1" t="s">
        <v>2347</v>
      </c>
      <c r="BT18" s="1" t="s">
        <v>79</v>
      </c>
      <c r="BU18" s="1">
        <v>1</v>
      </c>
      <c r="BV18" s="1">
        <v>2</v>
      </c>
      <c r="BW18" s="1">
        <v>1</v>
      </c>
      <c r="BX18" s="1">
        <v>0</v>
      </c>
      <c r="BY18" s="1">
        <v>0</v>
      </c>
      <c r="BZ18" s="1">
        <v>0</v>
      </c>
      <c r="CA18" s="1">
        <v>0</v>
      </c>
      <c r="CB18" s="1">
        <v>0</v>
      </c>
      <c r="CC18" s="1">
        <v>0</v>
      </c>
      <c r="CD18" s="1">
        <v>0</v>
      </c>
      <c r="CE18" s="1">
        <v>0</v>
      </c>
      <c r="CF18" s="1">
        <v>0</v>
      </c>
      <c r="CG18" s="1">
        <v>0</v>
      </c>
      <c r="CH18" s="1">
        <v>0</v>
      </c>
      <c r="CI18" s="1">
        <v>0</v>
      </c>
      <c r="CJ18" s="1">
        <v>3</v>
      </c>
      <c r="CK18" s="1">
        <v>3</v>
      </c>
      <c r="CM18" s="1">
        <v>3</v>
      </c>
      <c r="CN18" s="1">
        <v>3</v>
      </c>
      <c r="CO18" s="1">
        <v>3</v>
      </c>
      <c r="CP18" s="1">
        <v>3</v>
      </c>
      <c r="CU18" s="1">
        <v>1</v>
      </c>
    </row>
    <row r="19" spans="1:99" x14ac:dyDescent="0.35">
      <c r="A19" s="1" t="s">
        <v>2348</v>
      </c>
      <c r="B19" s="1">
        <v>171624018</v>
      </c>
      <c r="C19" s="1">
        <v>0</v>
      </c>
      <c r="D19" s="1">
        <v>1</v>
      </c>
      <c r="E19" s="1">
        <v>1</v>
      </c>
      <c r="F19" s="1">
        <v>0</v>
      </c>
      <c r="G19" s="1">
        <v>0</v>
      </c>
      <c r="H19" s="1">
        <v>0</v>
      </c>
      <c r="I19" s="1">
        <v>1</v>
      </c>
      <c r="J19" s="1">
        <v>1</v>
      </c>
      <c r="K19" s="1">
        <v>0</v>
      </c>
      <c r="L19" s="1">
        <v>0</v>
      </c>
      <c r="M19" s="1">
        <v>0</v>
      </c>
      <c r="N19" s="1">
        <v>0</v>
      </c>
      <c r="O19" s="1">
        <v>0</v>
      </c>
      <c r="P19" s="1">
        <v>5</v>
      </c>
      <c r="Q19" s="1">
        <v>4</v>
      </c>
      <c r="R19" s="1">
        <v>4</v>
      </c>
      <c r="S19" s="1">
        <v>1</v>
      </c>
      <c r="T19" s="1">
        <v>3</v>
      </c>
      <c r="U19" s="1">
        <v>3</v>
      </c>
      <c r="V19" s="1">
        <v>3</v>
      </c>
      <c r="W19" s="1">
        <v>3</v>
      </c>
      <c r="X19" s="1">
        <v>4</v>
      </c>
      <c r="Y19" s="1">
        <v>4</v>
      </c>
      <c r="Z19" s="1">
        <v>3</v>
      </c>
      <c r="AA19" s="1">
        <v>3</v>
      </c>
      <c r="AC19" s="1">
        <v>2</v>
      </c>
      <c r="AE19" s="1">
        <v>2</v>
      </c>
      <c r="AF19" s="3">
        <v>7000000</v>
      </c>
      <c r="AG19" s="1">
        <v>14</v>
      </c>
      <c r="AU19" s="1" t="s">
        <v>2304</v>
      </c>
      <c r="BP19" s="1">
        <v>3</v>
      </c>
      <c r="BQ19" s="1" t="s">
        <v>2349</v>
      </c>
      <c r="BR19" s="1" t="s">
        <v>2350</v>
      </c>
      <c r="BT19" s="1" t="s">
        <v>73</v>
      </c>
      <c r="BU19" s="1">
        <v>2</v>
      </c>
      <c r="BV19" s="1">
        <v>2</v>
      </c>
      <c r="BW19" s="1">
        <v>0</v>
      </c>
      <c r="BX19" s="1">
        <v>1</v>
      </c>
      <c r="BY19" s="1">
        <v>0</v>
      </c>
      <c r="BZ19" s="1">
        <v>0</v>
      </c>
      <c r="CA19" s="1">
        <v>0</v>
      </c>
      <c r="CB19" s="1">
        <v>1</v>
      </c>
      <c r="CC19" s="1">
        <v>0</v>
      </c>
      <c r="CD19" s="1">
        <v>1</v>
      </c>
      <c r="CE19" s="1">
        <v>0</v>
      </c>
      <c r="CF19" s="1">
        <v>0</v>
      </c>
      <c r="CG19" s="1">
        <v>1</v>
      </c>
      <c r="CH19" s="1">
        <v>0</v>
      </c>
      <c r="CI19" s="1">
        <v>0</v>
      </c>
      <c r="CJ19" s="1">
        <v>3</v>
      </c>
      <c r="CK19" s="1">
        <v>3</v>
      </c>
      <c r="CL19" s="1">
        <v>4</v>
      </c>
      <c r="CM19" s="1">
        <v>4</v>
      </c>
      <c r="CN19" s="1">
        <v>4</v>
      </c>
      <c r="CO19" s="1">
        <v>4</v>
      </c>
      <c r="CP19" s="1">
        <v>4</v>
      </c>
      <c r="CU19" s="1">
        <v>4</v>
      </c>
    </row>
    <row r="20" spans="1:99" x14ac:dyDescent="0.35">
      <c r="A20" s="1" t="s">
        <v>2351</v>
      </c>
      <c r="B20" s="1">
        <v>171624020</v>
      </c>
      <c r="C20" s="1">
        <v>0</v>
      </c>
      <c r="D20" s="1">
        <v>1</v>
      </c>
      <c r="E20" s="1">
        <v>0</v>
      </c>
      <c r="F20" s="1">
        <v>0</v>
      </c>
      <c r="G20" s="1">
        <v>0</v>
      </c>
      <c r="H20" s="1">
        <v>0</v>
      </c>
      <c r="I20" s="1">
        <v>0</v>
      </c>
      <c r="J20" s="1">
        <v>0</v>
      </c>
      <c r="K20" s="1">
        <v>1</v>
      </c>
      <c r="L20" s="1">
        <v>0</v>
      </c>
      <c r="M20" s="1">
        <v>0</v>
      </c>
      <c r="N20" s="1">
        <v>0</v>
      </c>
      <c r="O20" s="1">
        <v>0</v>
      </c>
      <c r="P20" s="1">
        <v>12</v>
      </c>
      <c r="Q20" s="1">
        <v>8</v>
      </c>
      <c r="R20" s="1">
        <v>3</v>
      </c>
      <c r="S20" s="1">
        <v>5</v>
      </c>
      <c r="T20" s="1">
        <v>1</v>
      </c>
      <c r="U20" s="1">
        <v>3</v>
      </c>
      <c r="V20" s="1">
        <v>3</v>
      </c>
      <c r="W20" s="1">
        <v>4</v>
      </c>
      <c r="X20" s="1">
        <v>3</v>
      </c>
      <c r="Y20" s="1">
        <v>2</v>
      </c>
      <c r="Z20" s="1">
        <v>3</v>
      </c>
      <c r="AA20" s="1">
        <v>3</v>
      </c>
      <c r="CU20" s="1">
        <v>2</v>
      </c>
    </row>
    <row r="21" spans="1:99" x14ac:dyDescent="0.35">
      <c r="A21" s="1" t="s">
        <v>2352</v>
      </c>
      <c r="B21" s="1">
        <v>171624021</v>
      </c>
      <c r="C21" s="1">
        <v>0</v>
      </c>
      <c r="D21" s="1">
        <v>1</v>
      </c>
      <c r="E21" s="1">
        <v>1</v>
      </c>
      <c r="F21" s="1">
        <v>0</v>
      </c>
      <c r="G21" s="1">
        <v>0</v>
      </c>
      <c r="H21" s="1">
        <v>0</v>
      </c>
      <c r="I21" s="1">
        <v>0</v>
      </c>
      <c r="J21" s="1">
        <v>1</v>
      </c>
      <c r="K21" s="1">
        <v>1</v>
      </c>
      <c r="L21" s="1">
        <v>1</v>
      </c>
      <c r="M21" s="1">
        <v>0</v>
      </c>
      <c r="N21" s="1">
        <v>0</v>
      </c>
      <c r="O21" s="1">
        <v>0</v>
      </c>
      <c r="P21" s="1">
        <v>10</v>
      </c>
      <c r="Q21" s="1">
        <v>10</v>
      </c>
      <c r="R21" s="1">
        <v>10</v>
      </c>
      <c r="S21" s="1">
        <v>4</v>
      </c>
      <c r="T21" s="1">
        <v>3</v>
      </c>
      <c r="U21" s="1">
        <v>4</v>
      </c>
      <c r="V21" s="1">
        <v>4</v>
      </c>
      <c r="W21" s="1">
        <v>3</v>
      </c>
      <c r="X21" s="1">
        <v>4</v>
      </c>
      <c r="Y21" s="1">
        <v>4</v>
      </c>
      <c r="Z21" s="1">
        <v>3</v>
      </c>
      <c r="AA21" s="1">
        <v>4</v>
      </c>
      <c r="CQ21" s="1">
        <v>2</v>
      </c>
      <c r="CR21" s="1" t="s">
        <v>2353</v>
      </c>
      <c r="CS21" s="1" t="s">
        <v>2354</v>
      </c>
      <c r="CT21" s="5">
        <v>44816</v>
      </c>
      <c r="CU21" s="1">
        <v>1</v>
      </c>
    </row>
    <row r="22" spans="1:99" x14ac:dyDescent="0.35">
      <c r="A22" s="1" t="s">
        <v>2355</v>
      </c>
      <c r="B22" s="1">
        <v>171624022</v>
      </c>
      <c r="C22" s="1">
        <v>1</v>
      </c>
      <c r="D22" s="1">
        <v>1</v>
      </c>
      <c r="E22" s="1">
        <v>0</v>
      </c>
      <c r="F22" s="1">
        <v>0</v>
      </c>
      <c r="G22" s="1">
        <v>0</v>
      </c>
      <c r="H22" s="1">
        <v>0</v>
      </c>
      <c r="I22" s="1">
        <v>0</v>
      </c>
      <c r="J22" s="1">
        <v>1</v>
      </c>
      <c r="K22" s="1">
        <v>1</v>
      </c>
      <c r="L22" s="1">
        <v>0</v>
      </c>
      <c r="M22" s="1">
        <v>0</v>
      </c>
      <c r="N22" s="1">
        <v>0</v>
      </c>
      <c r="O22" s="1">
        <v>0</v>
      </c>
      <c r="P22" s="1">
        <v>7</v>
      </c>
      <c r="Q22" s="1">
        <v>5</v>
      </c>
      <c r="R22" s="1">
        <v>5</v>
      </c>
      <c r="S22" s="1">
        <v>5</v>
      </c>
      <c r="T22" s="1">
        <v>1</v>
      </c>
      <c r="U22" s="1">
        <v>4</v>
      </c>
      <c r="V22" s="1">
        <v>3</v>
      </c>
      <c r="W22" s="1">
        <v>3</v>
      </c>
      <c r="X22" s="1">
        <v>4</v>
      </c>
      <c r="Y22" s="1">
        <v>4</v>
      </c>
      <c r="Z22" s="1">
        <v>4</v>
      </c>
      <c r="AA22" s="1">
        <v>4</v>
      </c>
      <c r="CU22" s="1">
        <v>4</v>
      </c>
    </row>
    <row r="23" spans="1:99" x14ac:dyDescent="0.35">
      <c r="A23" s="1" t="s">
        <v>2356</v>
      </c>
      <c r="B23" s="1">
        <v>171624024</v>
      </c>
      <c r="C23" s="1">
        <v>0</v>
      </c>
      <c r="D23" s="1">
        <v>1</v>
      </c>
      <c r="E23" s="1">
        <v>0</v>
      </c>
      <c r="F23" s="1">
        <v>0</v>
      </c>
      <c r="G23" s="1">
        <v>0</v>
      </c>
      <c r="H23" s="1">
        <v>0</v>
      </c>
      <c r="I23" s="1">
        <v>0</v>
      </c>
      <c r="J23" s="1">
        <v>1</v>
      </c>
      <c r="K23" s="1">
        <v>1</v>
      </c>
      <c r="L23" s="1">
        <v>0</v>
      </c>
      <c r="M23" s="1">
        <v>0</v>
      </c>
      <c r="N23" s="1">
        <v>0</v>
      </c>
      <c r="O23" s="1">
        <v>0</v>
      </c>
      <c r="P23" s="1">
        <v>6</v>
      </c>
      <c r="Q23" s="1">
        <v>6</v>
      </c>
      <c r="R23" s="1">
        <v>4</v>
      </c>
      <c r="S23" s="1">
        <v>1</v>
      </c>
      <c r="T23" s="1">
        <v>1</v>
      </c>
      <c r="U23" s="1">
        <v>4</v>
      </c>
      <c r="V23" s="1">
        <v>3</v>
      </c>
      <c r="W23" s="1">
        <v>3</v>
      </c>
      <c r="X23" s="1">
        <v>4</v>
      </c>
      <c r="Y23" s="1">
        <v>3</v>
      </c>
      <c r="Z23" s="1">
        <v>4</v>
      </c>
      <c r="AA23" s="1">
        <v>4</v>
      </c>
      <c r="AC23" s="1">
        <v>2</v>
      </c>
      <c r="AE23" s="1">
        <v>6</v>
      </c>
      <c r="AF23" s="3">
        <v>5000000</v>
      </c>
      <c r="AG23" s="1">
        <v>11</v>
      </c>
      <c r="AR23" s="1" t="s">
        <v>130</v>
      </c>
      <c r="BP23" s="1">
        <v>3</v>
      </c>
      <c r="BQ23" s="1" t="s">
        <v>2357</v>
      </c>
      <c r="BR23" s="1" t="s">
        <v>2358</v>
      </c>
      <c r="BS23" s="1" t="s">
        <v>2359</v>
      </c>
      <c r="BT23" s="1" t="s">
        <v>79</v>
      </c>
      <c r="BU23" s="1">
        <v>1</v>
      </c>
      <c r="BV23" s="1">
        <v>2</v>
      </c>
      <c r="BW23" s="1">
        <v>1</v>
      </c>
      <c r="BX23" s="1">
        <v>0</v>
      </c>
      <c r="BY23" s="1">
        <v>0</v>
      </c>
      <c r="BZ23" s="1">
        <v>0</v>
      </c>
      <c r="CA23" s="1">
        <v>0</v>
      </c>
      <c r="CB23" s="1">
        <v>0</v>
      </c>
      <c r="CC23" s="1">
        <v>0</v>
      </c>
      <c r="CD23" s="1">
        <v>0</v>
      </c>
      <c r="CE23" s="1">
        <v>0</v>
      </c>
      <c r="CF23" s="1">
        <v>0</v>
      </c>
      <c r="CG23" s="1">
        <v>0</v>
      </c>
      <c r="CH23" s="1">
        <v>0</v>
      </c>
      <c r="CI23" s="1">
        <v>0</v>
      </c>
      <c r="CJ23" s="1">
        <v>4</v>
      </c>
      <c r="CK23" s="1">
        <v>4</v>
      </c>
      <c r="CL23" s="1">
        <v>3</v>
      </c>
      <c r="CM23" s="1">
        <v>3</v>
      </c>
      <c r="CN23" s="1">
        <v>4</v>
      </c>
      <c r="CO23" s="1">
        <v>4</v>
      </c>
      <c r="CP23" s="1">
        <v>4</v>
      </c>
      <c r="CU23" s="1">
        <v>1</v>
      </c>
    </row>
    <row r="24" spans="1:99" x14ac:dyDescent="0.35">
      <c r="A24" s="1" t="s">
        <v>2360</v>
      </c>
      <c r="B24" s="1">
        <v>171624025</v>
      </c>
      <c r="S24" s="1">
        <v>1</v>
      </c>
      <c r="T24" s="1">
        <v>1</v>
      </c>
      <c r="U24" s="1">
        <v>4</v>
      </c>
      <c r="V24" s="1">
        <v>3</v>
      </c>
      <c r="W24" s="1">
        <v>3</v>
      </c>
      <c r="X24" s="1">
        <v>3</v>
      </c>
      <c r="Y24" s="1">
        <v>4</v>
      </c>
      <c r="Z24" s="1">
        <v>4</v>
      </c>
      <c r="AA24" s="1">
        <v>4</v>
      </c>
      <c r="AC24" s="1">
        <v>1</v>
      </c>
      <c r="AD24" s="1">
        <v>0</v>
      </c>
      <c r="AF24" s="3">
        <v>3500000</v>
      </c>
      <c r="AG24" s="1">
        <v>13</v>
      </c>
      <c r="AT24" s="1" t="s">
        <v>209</v>
      </c>
      <c r="BP24" s="1">
        <v>3</v>
      </c>
      <c r="BQ24" s="1" t="s">
        <v>2361</v>
      </c>
      <c r="BR24" s="1" t="s">
        <v>2362</v>
      </c>
      <c r="BS24" s="1" t="s">
        <v>2363</v>
      </c>
      <c r="BT24" s="1" t="s">
        <v>107</v>
      </c>
      <c r="BU24" s="1">
        <v>1</v>
      </c>
      <c r="BV24" s="1">
        <v>2</v>
      </c>
      <c r="BW24" s="1">
        <v>1</v>
      </c>
      <c r="BX24" s="1">
        <v>0</v>
      </c>
      <c r="BY24" s="1">
        <v>0</v>
      </c>
      <c r="BZ24" s="1">
        <v>0</v>
      </c>
      <c r="CA24" s="1">
        <v>0</v>
      </c>
      <c r="CB24" s="1">
        <v>0</v>
      </c>
      <c r="CC24" s="1">
        <v>0</v>
      </c>
      <c r="CD24" s="1">
        <v>0</v>
      </c>
      <c r="CE24" s="1">
        <v>0</v>
      </c>
      <c r="CF24" s="1">
        <v>0</v>
      </c>
      <c r="CG24" s="1">
        <v>0</v>
      </c>
      <c r="CH24" s="1">
        <v>0</v>
      </c>
      <c r="CI24" s="1">
        <v>0</v>
      </c>
      <c r="CJ24" s="1">
        <v>4</v>
      </c>
      <c r="CK24" s="1">
        <v>4</v>
      </c>
      <c r="CL24" s="1">
        <v>3</v>
      </c>
      <c r="CM24" s="1">
        <v>2</v>
      </c>
      <c r="CN24" s="1">
        <v>4</v>
      </c>
      <c r="CO24" s="1">
        <v>4</v>
      </c>
      <c r="CP24" s="1">
        <v>4</v>
      </c>
      <c r="CU24" s="1">
        <v>1</v>
      </c>
    </row>
    <row r="25" spans="1:99" x14ac:dyDescent="0.35">
      <c r="A25" s="1" t="s">
        <v>2364</v>
      </c>
      <c r="B25" s="1">
        <v>171624026</v>
      </c>
      <c r="C25" s="1">
        <v>0</v>
      </c>
      <c r="D25" s="1">
        <v>1</v>
      </c>
      <c r="E25" s="1">
        <v>1</v>
      </c>
      <c r="F25" s="1">
        <v>0</v>
      </c>
      <c r="G25" s="1">
        <v>0</v>
      </c>
      <c r="H25" s="1">
        <v>1</v>
      </c>
      <c r="I25" s="1">
        <v>0</v>
      </c>
      <c r="J25" s="1">
        <v>1</v>
      </c>
      <c r="K25" s="1">
        <v>1</v>
      </c>
      <c r="L25" s="1">
        <v>0</v>
      </c>
      <c r="M25" s="1">
        <v>0</v>
      </c>
      <c r="N25" s="1">
        <v>0</v>
      </c>
      <c r="O25" s="1">
        <v>0</v>
      </c>
      <c r="P25" s="1">
        <v>19</v>
      </c>
      <c r="Q25" s="1">
        <v>8</v>
      </c>
      <c r="R25" s="1">
        <v>6</v>
      </c>
      <c r="S25" s="1">
        <v>1</v>
      </c>
      <c r="T25" s="1">
        <v>1</v>
      </c>
      <c r="U25" s="1">
        <v>3</v>
      </c>
      <c r="V25" s="1">
        <v>4</v>
      </c>
      <c r="W25" s="1">
        <v>2</v>
      </c>
      <c r="X25" s="1">
        <v>4</v>
      </c>
      <c r="Y25" s="1">
        <v>3</v>
      </c>
      <c r="Z25" s="1">
        <v>3</v>
      </c>
      <c r="AA25" s="1">
        <v>3</v>
      </c>
      <c r="AC25" s="1">
        <v>1</v>
      </c>
      <c r="AD25" s="1">
        <v>2</v>
      </c>
      <c r="AF25" s="3">
        <v>4400000</v>
      </c>
      <c r="AG25" s="1">
        <v>11</v>
      </c>
      <c r="AR25" s="1" t="s">
        <v>118</v>
      </c>
      <c r="BP25" s="1">
        <v>3</v>
      </c>
      <c r="BQ25" s="1" t="s">
        <v>2300</v>
      </c>
      <c r="BR25" s="1" t="s">
        <v>2301</v>
      </c>
      <c r="BS25" s="1" t="s">
        <v>2302</v>
      </c>
      <c r="BT25" s="1" t="s">
        <v>79</v>
      </c>
      <c r="BU25" s="1">
        <v>1</v>
      </c>
      <c r="BV25" s="1">
        <v>2</v>
      </c>
      <c r="BW25" s="1">
        <v>1</v>
      </c>
      <c r="BX25" s="1">
        <v>0</v>
      </c>
      <c r="BY25" s="1">
        <v>0</v>
      </c>
      <c r="BZ25" s="1">
        <v>0</v>
      </c>
      <c r="CA25" s="1">
        <v>0</v>
      </c>
      <c r="CB25" s="1">
        <v>0</v>
      </c>
      <c r="CC25" s="1">
        <v>0</v>
      </c>
      <c r="CD25" s="1">
        <v>0</v>
      </c>
      <c r="CE25" s="1">
        <v>0</v>
      </c>
      <c r="CF25" s="1">
        <v>0</v>
      </c>
      <c r="CG25" s="1">
        <v>0</v>
      </c>
      <c r="CH25" s="1">
        <v>0</v>
      </c>
      <c r="CI25" s="1">
        <v>0</v>
      </c>
      <c r="CJ25" s="1">
        <v>4</v>
      </c>
      <c r="CK25" s="1">
        <v>4</v>
      </c>
      <c r="CL25" s="1">
        <v>3</v>
      </c>
      <c r="CM25" s="1">
        <v>4</v>
      </c>
      <c r="CN25" s="1">
        <v>4</v>
      </c>
      <c r="CO25" s="1">
        <v>4</v>
      </c>
      <c r="CP25" s="1">
        <v>4</v>
      </c>
      <c r="CU25" s="1">
        <v>1</v>
      </c>
    </row>
    <row r="26" spans="1:99" x14ac:dyDescent="0.35">
      <c r="A26" s="1" t="s">
        <v>2365</v>
      </c>
      <c r="B26" s="1">
        <v>171624027</v>
      </c>
      <c r="C26" s="1">
        <v>0</v>
      </c>
      <c r="D26" s="1">
        <v>1</v>
      </c>
      <c r="E26" s="1">
        <v>0</v>
      </c>
      <c r="F26" s="1">
        <v>0</v>
      </c>
      <c r="G26" s="1">
        <v>0</v>
      </c>
      <c r="H26" s="1">
        <v>1</v>
      </c>
      <c r="I26" s="1">
        <v>0</v>
      </c>
      <c r="J26" s="1">
        <v>0</v>
      </c>
      <c r="K26" s="1">
        <v>1</v>
      </c>
      <c r="L26" s="1">
        <v>0</v>
      </c>
      <c r="M26" s="1">
        <v>0</v>
      </c>
      <c r="N26" s="1">
        <v>0</v>
      </c>
      <c r="O26" s="1">
        <v>0</v>
      </c>
      <c r="P26" s="1">
        <v>3</v>
      </c>
      <c r="Q26" s="1">
        <v>2</v>
      </c>
      <c r="R26" s="1">
        <v>2</v>
      </c>
      <c r="S26" s="1">
        <v>1</v>
      </c>
      <c r="T26" s="1">
        <v>1</v>
      </c>
      <c r="U26" s="1">
        <v>4</v>
      </c>
      <c r="V26" s="1">
        <v>4</v>
      </c>
      <c r="W26" s="1">
        <v>3</v>
      </c>
      <c r="X26" s="1">
        <v>4</v>
      </c>
      <c r="Y26" s="1">
        <v>4</v>
      </c>
      <c r="Z26" s="1">
        <v>4</v>
      </c>
      <c r="AA26" s="1">
        <v>4</v>
      </c>
      <c r="AC26" s="1">
        <v>2</v>
      </c>
      <c r="AE26" s="1">
        <v>1</v>
      </c>
      <c r="AF26" s="3">
        <v>4300000</v>
      </c>
      <c r="AG26" s="1">
        <v>13</v>
      </c>
      <c r="AT26" s="1" t="s">
        <v>402</v>
      </c>
      <c r="BP26" s="1">
        <v>3</v>
      </c>
      <c r="BQ26" s="1" t="s">
        <v>2366</v>
      </c>
      <c r="BR26" s="1" t="s">
        <v>2367</v>
      </c>
      <c r="BS26" s="1" t="s">
        <v>4344</v>
      </c>
      <c r="BT26" s="1" t="s">
        <v>107</v>
      </c>
      <c r="BU26" s="1">
        <v>1</v>
      </c>
      <c r="BV26" s="1">
        <v>2</v>
      </c>
      <c r="BW26" s="1">
        <v>1</v>
      </c>
      <c r="BX26" s="1">
        <v>0</v>
      </c>
      <c r="BY26" s="1">
        <v>0</v>
      </c>
      <c r="BZ26" s="1">
        <v>0</v>
      </c>
      <c r="CA26" s="1">
        <v>0</v>
      </c>
      <c r="CB26" s="1">
        <v>0</v>
      </c>
      <c r="CC26" s="1">
        <v>0</v>
      </c>
      <c r="CD26" s="1">
        <v>0</v>
      </c>
      <c r="CE26" s="1">
        <v>0</v>
      </c>
      <c r="CF26" s="1">
        <v>0</v>
      </c>
      <c r="CG26" s="1">
        <v>0</v>
      </c>
      <c r="CH26" s="1">
        <v>0</v>
      </c>
      <c r="CI26" s="1">
        <v>0</v>
      </c>
      <c r="CJ26" s="1">
        <v>4</v>
      </c>
      <c r="CK26" s="1">
        <v>4</v>
      </c>
      <c r="CL26" s="1">
        <v>4</v>
      </c>
      <c r="CM26" s="1">
        <v>4</v>
      </c>
      <c r="CN26" s="1">
        <v>4</v>
      </c>
      <c r="CO26" s="1">
        <v>4</v>
      </c>
      <c r="CP26" s="1">
        <v>4</v>
      </c>
      <c r="CU26" s="1">
        <v>1</v>
      </c>
    </row>
    <row r="27" spans="1:99" x14ac:dyDescent="0.35">
      <c r="A27" s="1" t="s">
        <v>2368</v>
      </c>
      <c r="B27" s="1">
        <v>171624028</v>
      </c>
      <c r="C27" s="1">
        <v>0</v>
      </c>
      <c r="D27" s="1">
        <v>0</v>
      </c>
      <c r="E27" s="1">
        <v>0</v>
      </c>
      <c r="F27" s="1">
        <v>0</v>
      </c>
      <c r="G27" s="1">
        <v>0</v>
      </c>
      <c r="H27" s="1">
        <v>0</v>
      </c>
      <c r="I27" s="1">
        <v>0</v>
      </c>
      <c r="J27" s="1">
        <v>0</v>
      </c>
      <c r="K27" s="1">
        <v>0</v>
      </c>
      <c r="L27" s="1">
        <v>0</v>
      </c>
      <c r="M27" s="1">
        <v>1</v>
      </c>
      <c r="N27" s="1">
        <v>0</v>
      </c>
      <c r="O27" s="1">
        <v>0</v>
      </c>
      <c r="P27" s="1">
        <v>0</v>
      </c>
      <c r="Q27" s="1">
        <v>2</v>
      </c>
      <c r="R27" s="1">
        <v>1</v>
      </c>
      <c r="S27" s="1">
        <v>1</v>
      </c>
      <c r="T27" s="1">
        <v>1</v>
      </c>
      <c r="U27" s="1">
        <v>4</v>
      </c>
      <c r="V27" s="1">
        <v>4</v>
      </c>
      <c r="W27" s="1">
        <v>2</v>
      </c>
      <c r="X27" s="1">
        <v>4</v>
      </c>
      <c r="Y27" s="1">
        <v>4</v>
      </c>
      <c r="Z27" s="1">
        <v>4</v>
      </c>
      <c r="AA27" s="1">
        <v>4</v>
      </c>
      <c r="AC27" s="1">
        <v>1</v>
      </c>
      <c r="AD27" s="1">
        <v>0</v>
      </c>
      <c r="AE27" s="1">
        <v>0</v>
      </c>
      <c r="AF27" s="3">
        <v>5000000</v>
      </c>
      <c r="AG27" s="1">
        <v>11</v>
      </c>
      <c r="AR27" s="1" t="s">
        <v>130</v>
      </c>
      <c r="BP27" s="1">
        <v>3</v>
      </c>
      <c r="BQ27" s="1" t="s">
        <v>2369</v>
      </c>
      <c r="BR27" s="1" t="s">
        <v>2370</v>
      </c>
      <c r="BS27" s="1" t="s">
        <v>2371</v>
      </c>
      <c r="BT27" s="1" t="s">
        <v>79</v>
      </c>
      <c r="BU27" s="1">
        <v>1</v>
      </c>
      <c r="BV27" s="1">
        <v>2</v>
      </c>
      <c r="BW27" s="1">
        <v>0</v>
      </c>
      <c r="BX27" s="1">
        <v>0</v>
      </c>
      <c r="BY27" s="1">
        <v>0</v>
      </c>
      <c r="BZ27" s="1">
        <v>0</v>
      </c>
      <c r="CA27" s="1">
        <v>0</v>
      </c>
      <c r="CB27" s="1">
        <v>0</v>
      </c>
      <c r="CC27" s="1">
        <v>0</v>
      </c>
      <c r="CD27" s="1">
        <v>0</v>
      </c>
      <c r="CE27" s="1">
        <v>0</v>
      </c>
      <c r="CF27" s="1">
        <v>0</v>
      </c>
      <c r="CG27" s="1">
        <v>0</v>
      </c>
      <c r="CH27" s="1">
        <v>0</v>
      </c>
      <c r="CI27" s="1" t="s">
        <v>78</v>
      </c>
      <c r="CJ27" s="1">
        <v>4</v>
      </c>
      <c r="CK27" s="1">
        <v>4</v>
      </c>
      <c r="CL27" s="1">
        <v>4</v>
      </c>
      <c r="CM27" s="1">
        <v>4</v>
      </c>
      <c r="CN27" s="1">
        <v>4</v>
      </c>
      <c r="CO27" s="1">
        <v>4</v>
      </c>
      <c r="CP27" s="1">
        <v>4</v>
      </c>
      <c r="CU27" s="1">
        <v>4</v>
      </c>
    </row>
    <row r="28" spans="1:99" x14ac:dyDescent="0.35">
      <c r="A28" s="1" t="s">
        <v>2372</v>
      </c>
      <c r="B28" s="1">
        <v>171624029</v>
      </c>
      <c r="C28" s="1">
        <v>0</v>
      </c>
      <c r="D28" s="1">
        <v>1</v>
      </c>
      <c r="E28" s="1">
        <v>0</v>
      </c>
      <c r="F28" s="1">
        <v>0</v>
      </c>
      <c r="G28" s="1">
        <v>0</v>
      </c>
      <c r="H28" s="1">
        <v>0</v>
      </c>
      <c r="I28" s="1">
        <v>0</v>
      </c>
      <c r="J28" s="1">
        <v>1</v>
      </c>
      <c r="K28" s="1">
        <v>0</v>
      </c>
      <c r="L28" s="1">
        <v>0</v>
      </c>
      <c r="M28" s="1">
        <v>0</v>
      </c>
      <c r="N28" s="1">
        <v>0</v>
      </c>
      <c r="O28" s="1">
        <v>0</v>
      </c>
      <c r="P28" s="1">
        <v>15</v>
      </c>
      <c r="Q28" s="1">
        <v>5</v>
      </c>
      <c r="R28" s="1">
        <v>2</v>
      </c>
      <c r="S28" s="1">
        <v>1</v>
      </c>
      <c r="T28" s="1">
        <v>1</v>
      </c>
      <c r="U28" s="1">
        <v>4</v>
      </c>
      <c r="V28" s="1">
        <v>3</v>
      </c>
      <c r="W28" s="1">
        <v>3</v>
      </c>
      <c r="X28" s="1">
        <v>3</v>
      </c>
      <c r="Y28" s="1">
        <v>3</v>
      </c>
      <c r="Z28" s="1">
        <v>3</v>
      </c>
      <c r="AA28" s="1">
        <v>3</v>
      </c>
      <c r="AC28" s="1">
        <v>1</v>
      </c>
      <c r="AD28" s="1">
        <v>0</v>
      </c>
      <c r="AF28" s="3">
        <v>7600000</v>
      </c>
      <c r="AG28" s="1">
        <v>14</v>
      </c>
      <c r="AU28" s="1" t="s">
        <v>2304</v>
      </c>
      <c r="BP28" s="1">
        <v>3</v>
      </c>
      <c r="BQ28" s="1" t="s">
        <v>2305</v>
      </c>
      <c r="BR28" s="1" t="s">
        <v>2331</v>
      </c>
      <c r="BS28" s="1" t="s">
        <v>2332</v>
      </c>
      <c r="BT28" s="1" t="s">
        <v>73</v>
      </c>
      <c r="BU28" s="1">
        <v>4</v>
      </c>
      <c r="BV28" s="1">
        <v>2</v>
      </c>
      <c r="BW28" s="1">
        <v>0</v>
      </c>
      <c r="BX28" s="1">
        <v>0</v>
      </c>
      <c r="BY28" s="1">
        <v>0</v>
      </c>
      <c r="BZ28" s="1">
        <v>0</v>
      </c>
      <c r="CA28" s="1">
        <v>0</v>
      </c>
      <c r="CB28" s="1">
        <v>1</v>
      </c>
      <c r="CC28" s="1">
        <v>0</v>
      </c>
      <c r="CD28" s="1">
        <v>0</v>
      </c>
      <c r="CE28" s="1">
        <v>0</v>
      </c>
      <c r="CF28" s="1">
        <v>0</v>
      </c>
      <c r="CG28" s="1">
        <v>0</v>
      </c>
      <c r="CH28" s="1">
        <v>1</v>
      </c>
      <c r="CI28" s="1">
        <v>0</v>
      </c>
      <c r="CJ28" s="1">
        <v>4</v>
      </c>
      <c r="CK28" s="1">
        <v>2</v>
      </c>
      <c r="CL28" s="1">
        <v>3</v>
      </c>
      <c r="CM28" s="1">
        <v>3</v>
      </c>
      <c r="CN28" s="1">
        <v>4</v>
      </c>
      <c r="CO28" s="1">
        <v>3</v>
      </c>
      <c r="CP28" s="1">
        <v>4</v>
      </c>
      <c r="CU28" s="1">
        <v>1</v>
      </c>
    </row>
    <row r="29" spans="1:99" x14ac:dyDescent="0.35">
      <c r="A29" s="1" t="s">
        <v>2373</v>
      </c>
      <c r="B29" s="1">
        <v>171624030</v>
      </c>
      <c r="C29" s="1">
        <v>0</v>
      </c>
      <c r="D29" s="1">
        <v>0</v>
      </c>
      <c r="E29" s="1">
        <v>0</v>
      </c>
      <c r="F29" s="1">
        <v>0</v>
      </c>
      <c r="G29" s="1">
        <v>0</v>
      </c>
      <c r="H29" s="1">
        <v>0</v>
      </c>
      <c r="I29" s="1">
        <v>0</v>
      </c>
      <c r="J29" s="1">
        <v>0</v>
      </c>
      <c r="K29" s="1">
        <v>1</v>
      </c>
      <c r="L29" s="1">
        <v>0</v>
      </c>
      <c r="M29" s="1">
        <v>0</v>
      </c>
      <c r="N29" s="1">
        <v>0</v>
      </c>
      <c r="O29" s="1">
        <v>0</v>
      </c>
      <c r="P29" s="1">
        <v>3</v>
      </c>
      <c r="Q29" s="1">
        <v>1</v>
      </c>
      <c r="R29" s="1">
        <v>1</v>
      </c>
      <c r="S29" s="1">
        <v>5</v>
      </c>
      <c r="T29" s="1">
        <v>1</v>
      </c>
      <c r="U29" s="1">
        <v>3</v>
      </c>
      <c r="V29" s="1">
        <v>3</v>
      </c>
      <c r="W29" s="1">
        <v>3</v>
      </c>
      <c r="X29" s="1">
        <v>4</v>
      </c>
      <c r="Y29" s="1">
        <v>3</v>
      </c>
      <c r="Z29" s="1">
        <v>3</v>
      </c>
      <c r="AA29" s="1">
        <v>3</v>
      </c>
      <c r="CU29" s="1">
        <v>4</v>
      </c>
    </row>
    <row r="30" spans="1:99" x14ac:dyDescent="0.35">
      <c r="A30" s="1" t="s">
        <v>2374</v>
      </c>
      <c r="B30" s="1">
        <v>171624031</v>
      </c>
      <c r="C30" s="1">
        <v>0</v>
      </c>
      <c r="D30" s="1">
        <v>0</v>
      </c>
      <c r="E30" s="1">
        <v>1</v>
      </c>
      <c r="F30" s="1">
        <v>0</v>
      </c>
      <c r="G30" s="1">
        <v>0</v>
      </c>
      <c r="H30" s="1">
        <v>0</v>
      </c>
      <c r="I30" s="1">
        <v>0</v>
      </c>
      <c r="J30" s="1">
        <v>0</v>
      </c>
      <c r="K30" s="1">
        <v>0</v>
      </c>
      <c r="L30" s="1">
        <v>0</v>
      </c>
      <c r="M30" s="1">
        <v>0</v>
      </c>
      <c r="N30" s="1">
        <v>0</v>
      </c>
      <c r="O30" s="1">
        <v>0</v>
      </c>
      <c r="P30" s="1">
        <v>20</v>
      </c>
      <c r="Q30" s="1">
        <v>5</v>
      </c>
      <c r="R30" s="1">
        <v>4</v>
      </c>
      <c r="S30" s="1">
        <v>1</v>
      </c>
      <c r="T30" s="1">
        <v>1</v>
      </c>
      <c r="U30" s="1">
        <v>3</v>
      </c>
      <c r="V30" s="1">
        <v>3</v>
      </c>
      <c r="W30" s="1">
        <v>3</v>
      </c>
      <c r="X30" s="1">
        <v>3</v>
      </c>
      <c r="Y30" s="1">
        <v>3</v>
      </c>
      <c r="Z30" s="1">
        <v>3</v>
      </c>
      <c r="AA30" s="1">
        <v>3</v>
      </c>
      <c r="AC30" s="1">
        <v>1</v>
      </c>
      <c r="AD30" s="1">
        <v>2</v>
      </c>
      <c r="AF30" s="3">
        <v>8000000</v>
      </c>
      <c r="AG30" s="1">
        <v>11</v>
      </c>
      <c r="AR30" s="1" t="s">
        <v>118</v>
      </c>
      <c r="BP30" s="1">
        <v>3</v>
      </c>
      <c r="BQ30" s="1" t="s">
        <v>2375</v>
      </c>
      <c r="BR30" s="1" t="s">
        <v>2376</v>
      </c>
      <c r="BS30" s="1" t="s">
        <v>2377</v>
      </c>
      <c r="BT30" s="1" t="s">
        <v>73</v>
      </c>
      <c r="BU30" s="1">
        <v>1</v>
      </c>
      <c r="BV30" s="1">
        <v>2</v>
      </c>
      <c r="BW30" s="1">
        <v>1</v>
      </c>
      <c r="BX30" s="1">
        <v>0</v>
      </c>
      <c r="BY30" s="1">
        <v>0</v>
      </c>
      <c r="BZ30" s="1">
        <v>0</v>
      </c>
      <c r="CA30" s="1">
        <v>0</v>
      </c>
      <c r="CB30" s="1">
        <v>0</v>
      </c>
      <c r="CC30" s="1">
        <v>0</v>
      </c>
      <c r="CD30" s="1">
        <v>0</v>
      </c>
      <c r="CE30" s="1">
        <v>0</v>
      </c>
      <c r="CF30" s="1">
        <v>0</v>
      </c>
      <c r="CG30" s="1">
        <v>0</v>
      </c>
      <c r="CH30" s="1">
        <v>0</v>
      </c>
      <c r="CI30" s="1">
        <v>0</v>
      </c>
      <c r="CJ30" s="1">
        <v>4</v>
      </c>
      <c r="CK30" s="1">
        <v>4</v>
      </c>
      <c r="CL30" s="1">
        <v>4</v>
      </c>
      <c r="CM30" s="1">
        <v>3</v>
      </c>
      <c r="CN30" s="1">
        <v>4</v>
      </c>
      <c r="CO30" s="1">
        <v>4</v>
      </c>
      <c r="CP30" s="1">
        <v>4</v>
      </c>
      <c r="CU30" s="1">
        <v>1</v>
      </c>
    </row>
    <row r="31" spans="1:99" x14ac:dyDescent="0.35">
      <c r="A31" s="1" t="s">
        <v>2378</v>
      </c>
      <c r="B31" s="1">
        <v>171624032</v>
      </c>
      <c r="C31" s="1">
        <v>0</v>
      </c>
      <c r="D31" s="1">
        <v>1</v>
      </c>
      <c r="E31" s="1">
        <v>0</v>
      </c>
      <c r="F31" s="1">
        <v>1</v>
      </c>
      <c r="G31" s="1">
        <v>0</v>
      </c>
      <c r="H31" s="1">
        <v>0</v>
      </c>
      <c r="I31" s="1">
        <v>0</v>
      </c>
      <c r="J31" s="1">
        <v>1</v>
      </c>
      <c r="K31" s="1">
        <v>1</v>
      </c>
      <c r="L31" s="1">
        <v>0</v>
      </c>
      <c r="M31" s="1">
        <v>0</v>
      </c>
      <c r="N31" s="1">
        <v>0</v>
      </c>
      <c r="O31" s="1">
        <v>0</v>
      </c>
      <c r="P31" s="1">
        <v>25</v>
      </c>
      <c r="Q31" s="1">
        <v>6</v>
      </c>
      <c r="R31" s="1">
        <v>4</v>
      </c>
      <c r="S31" s="1">
        <v>5</v>
      </c>
      <c r="T31" s="1">
        <v>1</v>
      </c>
      <c r="U31" s="1">
        <v>4</v>
      </c>
      <c r="V31" s="1">
        <v>3</v>
      </c>
      <c r="W31" s="1">
        <v>3</v>
      </c>
      <c r="X31" s="1">
        <v>3</v>
      </c>
      <c r="Y31" s="1">
        <v>4</v>
      </c>
      <c r="Z31" s="1">
        <v>4</v>
      </c>
      <c r="AA31" s="1">
        <v>4</v>
      </c>
      <c r="CU31" s="1">
        <v>4</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A3F46A-11DC-4FF2-9DF0-E500EB014E41}">
  <dimension ref="A1:CU59"/>
  <sheetViews>
    <sheetView topLeftCell="T1" zoomScale="50" zoomScaleNormal="50" workbookViewId="0">
      <pane ySplit="1" topLeftCell="A35" activePane="bottomLeft" state="frozen"/>
      <selection pane="bottomLeft" activeCell="T1" sqref="T1"/>
    </sheetView>
  </sheetViews>
  <sheetFormatPr defaultColWidth="8.90625" defaultRowHeight="14.5" x14ac:dyDescent="0.35"/>
  <cols>
    <col min="1" max="1" width="39.1796875" style="1" bestFit="1" customWidth="1"/>
    <col min="2" max="2" width="11" style="1" bestFit="1" customWidth="1"/>
    <col min="3" max="9" width="77" style="1" bestFit="1" customWidth="1"/>
    <col min="10" max="10" width="77.7265625" style="1" bestFit="1" customWidth="1"/>
    <col min="11" max="11" width="77.36328125" style="1" bestFit="1" customWidth="1"/>
    <col min="12" max="14" width="77.7265625" style="1" bestFit="1" customWidth="1"/>
    <col min="15" max="15" width="80.81640625" style="1" bestFit="1" customWidth="1"/>
    <col min="16" max="16" width="130.81640625" style="1" bestFit="1" customWidth="1"/>
    <col min="17" max="17" width="76.6328125" style="1" bestFit="1" customWidth="1"/>
    <col min="18" max="18" width="88.26953125" style="1" bestFit="1" customWidth="1"/>
    <col min="19" max="19" width="30.453125" style="1" bestFit="1" customWidth="1"/>
    <col min="20" max="20" width="50.26953125" style="1" bestFit="1" customWidth="1"/>
    <col min="21" max="21" width="81.54296875" style="1" bestFit="1" customWidth="1"/>
    <col min="22" max="22" width="110.81640625" style="1" bestFit="1" customWidth="1"/>
    <col min="23" max="23" width="91.7265625" style="1" bestFit="1" customWidth="1"/>
    <col min="24" max="24" width="109.90625" style="1" bestFit="1" customWidth="1"/>
    <col min="25" max="25" width="88.453125" style="1" bestFit="1" customWidth="1"/>
    <col min="26" max="26" width="91.1796875" style="1" bestFit="1" customWidth="1"/>
    <col min="27" max="27" width="96.6328125" style="1" bestFit="1" customWidth="1"/>
    <col min="28" max="28" width="50.453125" style="1" bestFit="1" customWidth="1"/>
    <col min="29" max="29" width="88.453125" style="1" bestFit="1" customWidth="1"/>
    <col min="30" max="30" width="52.08984375" style="1" bestFit="1" customWidth="1"/>
    <col min="31" max="31" width="60.08984375" style="1" bestFit="1" customWidth="1"/>
    <col min="32" max="32" width="144.6328125" style="1" bestFit="1" customWidth="1"/>
    <col min="33" max="33" width="47" style="1" bestFit="1" customWidth="1"/>
    <col min="34" max="35" width="54.08984375" style="1" bestFit="1" customWidth="1"/>
    <col min="36" max="37" width="54.6328125" style="1" bestFit="1" customWidth="1"/>
    <col min="38" max="38" width="54.08984375" style="1" bestFit="1" customWidth="1"/>
    <col min="39" max="52" width="54.6328125" style="1" bestFit="1" customWidth="1"/>
    <col min="53" max="55" width="54.08984375" style="1" bestFit="1" customWidth="1"/>
    <col min="56" max="64" width="54.6328125" style="1" bestFit="1" customWidth="1"/>
    <col min="65" max="67" width="54.08984375" style="1" bestFit="1" customWidth="1"/>
    <col min="68" max="68" width="69.90625" style="1" bestFit="1" customWidth="1"/>
    <col min="69" max="69" width="51.54296875" style="1" bestFit="1" customWidth="1"/>
    <col min="70" max="70" width="55.90625" style="1" bestFit="1" customWidth="1"/>
    <col min="71" max="71" width="56.08984375" style="1" bestFit="1" customWidth="1"/>
    <col min="72" max="72" width="66.453125" style="1" bestFit="1" customWidth="1"/>
    <col min="73" max="73" width="255.6328125" style="1" bestFit="1" customWidth="1"/>
    <col min="74" max="74" width="79.36328125" style="1" bestFit="1" customWidth="1"/>
    <col min="75" max="75" width="143" style="1" bestFit="1" customWidth="1"/>
    <col min="76" max="83" width="143.36328125" style="1" bestFit="1" customWidth="1"/>
    <col min="84" max="84" width="144.08984375" style="1" bestFit="1" customWidth="1"/>
    <col min="85" max="85" width="143.7265625" style="1" bestFit="1" customWidth="1"/>
    <col min="86" max="86" width="144.08984375" style="1" bestFit="1" customWidth="1"/>
    <col min="87" max="87" width="147.1796875" style="1" bestFit="1" customWidth="1"/>
    <col min="88" max="88" width="92.453125" style="1" bestFit="1" customWidth="1"/>
    <col min="89" max="89" width="121.54296875" style="1" bestFit="1" customWidth="1"/>
    <col min="90" max="90" width="102.453125" style="1" bestFit="1" customWidth="1"/>
    <col min="91" max="91" width="120.6328125" style="1" bestFit="1" customWidth="1"/>
    <col min="92" max="92" width="99.1796875" style="1" bestFit="1" customWidth="1"/>
    <col min="93" max="93" width="102.08984375" style="1" bestFit="1" customWidth="1"/>
    <col min="94" max="94" width="107.36328125" style="1" bestFit="1" customWidth="1"/>
    <col min="95" max="95" width="48.6328125" style="1" bestFit="1" customWidth="1"/>
    <col min="96" max="96" width="65.7265625" style="1" bestFit="1" customWidth="1"/>
    <col min="97" max="97" width="29.7265625" style="1" bestFit="1" customWidth="1"/>
    <col min="98" max="98" width="31.36328125" style="1" bestFit="1" customWidth="1"/>
    <col min="99" max="99" width="63.36328125" style="1" bestFit="1" customWidth="1"/>
    <col min="100" max="16384" width="8.90625" style="1"/>
  </cols>
  <sheetData>
    <row r="1" spans="1:99" s="6" customFormat="1" x14ac:dyDescent="0.35">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6" t="s">
        <v>15</v>
      </c>
      <c r="Q1" s="6" t="s">
        <v>16</v>
      </c>
      <c r="R1" s="6" t="s">
        <v>17</v>
      </c>
      <c r="S1" s="6" t="s">
        <v>18</v>
      </c>
      <c r="T1" s="6" t="s">
        <v>19</v>
      </c>
      <c r="U1" s="6" t="s">
        <v>20</v>
      </c>
      <c r="V1" s="6" t="s">
        <v>21</v>
      </c>
      <c r="W1" s="6" t="s">
        <v>22</v>
      </c>
      <c r="X1" s="6" t="s">
        <v>23</v>
      </c>
      <c r="Y1" s="6" t="s">
        <v>24</v>
      </c>
      <c r="Z1" s="6" t="s">
        <v>25</v>
      </c>
      <c r="AA1" s="6" t="s">
        <v>26</v>
      </c>
      <c r="AB1" s="6" t="s">
        <v>27</v>
      </c>
      <c r="AC1" s="6" t="s">
        <v>28</v>
      </c>
      <c r="AD1" s="6" t="s">
        <v>29</v>
      </c>
      <c r="AE1" s="6" t="s">
        <v>30</v>
      </c>
      <c r="AF1" s="6" t="s">
        <v>31</v>
      </c>
      <c r="AG1" s="6" t="s">
        <v>32</v>
      </c>
      <c r="AH1" s="6" t="s">
        <v>33</v>
      </c>
      <c r="AI1" s="6" t="s">
        <v>33</v>
      </c>
      <c r="AJ1" s="6" t="s">
        <v>34</v>
      </c>
      <c r="AK1" s="6" t="s">
        <v>34</v>
      </c>
      <c r="AL1" s="6" t="s">
        <v>33</v>
      </c>
      <c r="AM1" s="6" t="s">
        <v>34</v>
      </c>
      <c r="AN1" s="6" t="s">
        <v>34</v>
      </c>
      <c r="AO1" s="6" t="s">
        <v>34</v>
      </c>
      <c r="AP1" s="6" t="s">
        <v>34</v>
      </c>
      <c r="AQ1" s="6" t="s">
        <v>34</v>
      </c>
      <c r="AR1" s="6" t="s">
        <v>34</v>
      </c>
      <c r="AS1" s="6" t="s">
        <v>34</v>
      </c>
      <c r="AT1" s="6" t="s">
        <v>34</v>
      </c>
      <c r="AU1" s="6" t="s">
        <v>34</v>
      </c>
      <c r="AV1" s="6" t="s">
        <v>34</v>
      </c>
      <c r="AW1" s="6" t="s">
        <v>34</v>
      </c>
      <c r="AX1" s="6" t="s">
        <v>34</v>
      </c>
      <c r="AY1" s="6" t="s">
        <v>34</v>
      </c>
      <c r="AZ1" s="6" t="s">
        <v>34</v>
      </c>
      <c r="BA1" s="6" t="s">
        <v>33</v>
      </c>
      <c r="BB1" s="6" t="s">
        <v>33</v>
      </c>
      <c r="BC1" s="6" t="s">
        <v>33</v>
      </c>
      <c r="BD1" s="6" t="s">
        <v>34</v>
      </c>
      <c r="BE1" s="6" t="s">
        <v>34</v>
      </c>
      <c r="BF1" s="6" t="s">
        <v>34</v>
      </c>
      <c r="BG1" s="6" t="s">
        <v>34</v>
      </c>
      <c r="BH1" s="6" t="s">
        <v>34</v>
      </c>
      <c r="BI1" s="6" t="s">
        <v>34</v>
      </c>
      <c r="BJ1" s="6" t="s">
        <v>34</v>
      </c>
      <c r="BK1" s="6" t="s">
        <v>34</v>
      </c>
      <c r="BL1" s="6" t="s">
        <v>34</v>
      </c>
      <c r="BM1" s="6" t="s">
        <v>33</v>
      </c>
      <c r="BN1" s="6" t="s">
        <v>33</v>
      </c>
      <c r="BO1" s="6" t="s">
        <v>33</v>
      </c>
      <c r="BP1" s="6" t="s">
        <v>35</v>
      </c>
      <c r="BQ1" s="6" t="s">
        <v>36</v>
      </c>
      <c r="BR1" s="6" t="s">
        <v>37</v>
      </c>
      <c r="BS1" s="6" t="s">
        <v>38</v>
      </c>
      <c r="BT1" s="6" t="s">
        <v>39</v>
      </c>
      <c r="BU1" s="6" t="s">
        <v>40</v>
      </c>
      <c r="BV1" s="6" t="s">
        <v>41</v>
      </c>
      <c r="BW1" s="6" t="s">
        <v>42</v>
      </c>
      <c r="BX1" s="6" t="s">
        <v>43</v>
      </c>
      <c r="BY1" s="6" t="s">
        <v>44</v>
      </c>
      <c r="BZ1" s="6" t="s">
        <v>45</v>
      </c>
      <c r="CA1" s="6" t="s">
        <v>46</v>
      </c>
      <c r="CB1" s="6" t="s">
        <v>47</v>
      </c>
      <c r="CC1" s="6" t="s">
        <v>48</v>
      </c>
      <c r="CD1" s="6" t="s">
        <v>49</v>
      </c>
      <c r="CE1" s="6" t="s">
        <v>50</v>
      </c>
      <c r="CF1" s="6" t="s">
        <v>51</v>
      </c>
      <c r="CG1" s="6" t="s">
        <v>52</v>
      </c>
      <c r="CH1" s="6" t="s">
        <v>53</v>
      </c>
      <c r="CI1" s="6" t="s">
        <v>54</v>
      </c>
      <c r="CJ1" s="6" t="s">
        <v>55</v>
      </c>
      <c r="CK1" s="6" t="s">
        <v>56</v>
      </c>
      <c r="CL1" s="6" t="s">
        <v>57</v>
      </c>
      <c r="CM1" s="6" t="s">
        <v>58</v>
      </c>
      <c r="CN1" s="6" t="s">
        <v>59</v>
      </c>
      <c r="CO1" s="6" t="s">
        <v>60</v>
      </c>
      <c r="CP1" s="6" t="s">
        <v>61</v>
      </c>
      <c r="CQ1" s="6" t="s">
        <v>62</v>
      </c>
      <c r="CR1" s="6" t="s">
        <v>63</v>
      </c>
      <c r="CS1" s="6" t="s">
        <v>64</v>
      </c>
      <c r="CT1" s="6" t="s">
        <v>65</v>
      </c>
      <c r="CU1" s="6" t="s">
        <v>66</v>
      </c>
    </row>
    <row r="2" spans="1:99" x14ac:dyDescent="0.35">
      <c r="A2" s="1" t="s">
        <v>1633</v>
      </c>
      <c r="B2" s="1">
        <v>181111001</v>
      </c>
      <c r="C2" s="1">
        <v>0</v>
      </c>
      <c r="D2" s="1">
        <v>0</v>
      </c>
      <c r="E2" s="1">
        <v>0</v>
      </c>
      <c r="F2" s="1">
        <v>0</v>
      </c>
      <c r="G2" s="1">
        <v>0</v>
      </c>
      <c r="H2" s="1">
        <v>0</v>
      </c>
      <c r="I2" s="1">
        <v>0</v>
      </c>
      <c r="J2" s="1">
        <v>1</v>
      </c>
      <c r="K2" s="1">
        <v>1</v>
      </c>
      <c r="L2" s="1">
        <v>0</v>
      </c>
      <c r="M2" s="1">
        <v>1</v>
      </c>
      <c r="N2" s="1">
        <v>0</v>
      </c>
      <c r="O2" s="1">
        <v>0</v>
      </c>
      <c r="P2" s="1">
        <v>0</v>
      </c>
      <c r="Q2" s="1">
        <v>0</v>
      </c>
      <c r="R2" s="1">
        <v>0</v>
      </c>
      <c r="S2" s="1">
        <v>1</v>
      </c>
      <c r="T2" s="1">
        <v>1</v>
      </c>
      <c r="U2" s="1">
        <v>4</v>
      </c>
      <c r="V2" s="1">
        <v>3</v>
      </c>
      <c r="W2" s="1">
        <v>2</v>
      </c>
      <c r="X2" s="1">
        <v>3</v>
      </c>
      <c r="Y2" s="1">
        <v>3</v>
      </c>
      <c r="Z2" s="1">
        <v>3</v>
      </c>
      <c r="AA2" s="1">
        <v>3</v>
      </c>
      <c r="AC2" s="1">
        <v>2</v>
      </c>
      <c r="AE2" s="1">
        <v>3</v>
      </c>
      <c r="AF2" s="3">
        <v>5000000</v>
      </c>
      <c r="AG2" s="1">
        <v>13</v>
      </c>
      <c r="AT2" s="1" t="s">
        <v>83</v>
      </c>
      <c r="BP2" s="1">
        <v>3</v>
      </c>
      <c r="BQ2" s="1" t="s">
        <v>1634</v>
      </c>
      <c r="BR2" s="1" t="s">
        <v>1635</v>
      </c>
      <c r="BT2" s="1" t="s">
        <v>107</v>
      </c>
      <c r="BU2" s="1">
        <v>1</v>
      </c>
      <c r="BV2" s="1">
        <v>2</v>
      </c>
      <c r="BW2" s="1">
        <v>1</v>
      </c>
      <c r="BX2" s="1">
        <v>0</v>
      </c>
      <c r="BY2" s="1">
        <v>0</v>
      </c>
      <c r="BZ2" s="1">
        <v>0</v>
      </c>
      <c r="CA2" s="1">
        <v>0</v>
      </c>
      <c r="CB2" s="1">
        <v>0</v>
      </c>
      <c r="CC2" s="1">
        <v>0</v>
      </c>
      <c r="CD2" s="1">
        <v>0</v>
      </c>
      <c r="CE2" s="1">
        <v>0</v>
      </c>
      <c r="CF2" s="1">
        <v>0</v>
      </c>
      <c r="CG2" s="1">
        <v>0</v>
      </c>
      <c r="CH2" s="1">
        <v>0</v>
      </c>
      <c r="CI2" s="1">
        <v>0</v>
      </c>
      <c r="CJ2" s="1">
        <v>4</v>
      </c>
      <c r="CK2" s="1">
        <v>3</v>
      </c>
      <c r="CL2" s="1">
        <v>3</v>
      </c>
      <c r="CM2" s="1">
        <v>3</v>
      </c>
      <c r="CN2" s="1">
        <v>4</v>
      </c>
      <c r="CO2" s="1">
        <v>4</v>
      </c>
      <c r="CP2" s="1">
        <v>3</v>
      </c>
    </row>
    <row r="3" spans="1:99" x14ac:dyDescent="0.35">
      <c r="A3" s="1" t="s">
        <v>1636</v>
      </c>
      <c r="B3" s="1">
        <v>181111002</v>
      </c>
      <c r="C3" s="1">
        <v>1</v>
      </c>
      <c r="D3" s="1">
        <v>1</v>
      </c>
      <c r="E3" s="1">
        <v>0</v>
      </c>
      <c r="F3" s="1">
        <v>0</v>
      </c>
      <c r="G3" s="1">
        <v>0</v>
      </c>
      <c r="H3" s="1">
        <v>1</v>
      </c>
      <c r="I3" s="1">
        <v>1</v>
      </c>
      <c r="J3" s="1">
        <v>1</v>
      </c>
      <c r="K3" s="1">
        <v>1</v>
      </c>
      <c r="L3" s="1">
        <v>0</v>
      </c>
      <c r="M3" s="1">
        <v>0</v>
      </c>
      <c r="N3" s="1">
        <v>0</v>
      </c>
      <c r="O3" s="1">
        <v>0</v>
      </c>
      <c r="P3" s="1">
        <v>60</v>
      </c>
      <c r="Q3" s="1">
        <v>4</v>
      </c>
      <c r="R3" s="1">
        <v>1</v>
      </c>
      <c r="S3" s="1">
        <v>1</v>
      </c>
      <c r="T3" s="1">
        <v>1</v>
      </c>
      <c r="U3" s="1">
        <v>4</v>
      </c>
      <c r="V3" s="1">
        <v>4</v>
      </c>
      <c r="W3" s="1">
        <v>3</v>
      </c>
      <c r="X3" s="1">
        <v>4</v>
      </c>
      <c r="Y3" s="1">
        <v>3</v>
      </c>
      <c r="Z3" s="1">
        <v>4</v>
      </c>
      <c r="AA3" s="1">
        <v>4</v>
      </c>
      <c r="AC3" s="1">
        <v>2</v>
      </c>
      <c r="AE3" s="1">
        <v>6</v>
      </c>
      <c r="AF3" s="3">
        <v>4000000</v>
      </c>
      <c r="AG3" s="1">
        <v>11</v>
      </c>
      <c r="AR3" s="1" t="s">
        <v>239</v>
      </c>
      <c r="BP3" s="1">
        <v>3</v>
      </c>
      <c r="BQ3" s="1" t="s">
        <v>1637</v>
      </c>
      <c r="BR3" s="1" t="s">
        <v>1638</v>
      </c>
      <c r="BT3" s="1" t="s">
        <v>79</v>
      </c>
      <c r="BU3" s="1">
        <v>1</v>
      </c>
      <c r="BV3" s="1">
        <v>2</v>
      </c>
      <c r="BW3" s="1">
        <v>1</v>
      </c>
      <c r="BX3" s="1">
        <v>0</v>
      </c>
      <c r="BY3" s="1">
        <v>0</v>
      </c>
      <c r="BZ3" s="1">
        <v>0</v>
      </c>
      <c r="CA3" s="1">
        <v>0</v>
      </c>
      <c r="CB3" s="1">
        <v>0</v>
      </c>
      <c r="CC3" s="1">
        <v>0</v>
      </c>
      <c r="CD3" s="1">
        <v>0</v>
      </c>
      <c r="CE3" s="1">
        <v>0</v>
      </c>
      <c r="CF3" s="1">
        <v>0</v>
      </c>
      <c r="CG3" s="1">
        <v>0</v>
      </c>
      <c r="CH3" s="1">
        <v>0</v>
      </c>
      <c r="CI3" s="1">
        <v>0</v>
      </c>
      <c r="CJ3" s="1">
        <v>4</v>
      </c>
      <c r="CK3" s="1">
        <v>4</v>
      </c>
      <c r="CL3" s="1">
        <v>4</v>
      </c>
      <c r="CM3" s="1">
        <v>4</v>
      </c>
      <c r="CN3" s="1">
        <v>4</v>
      </c>
      <c r="CO3" s="1">
        <v>4</v>
      </c>
      <c r="CP3" s="1">
        <v>4</v>
      </c>
      <c r="CU3" s="1">
        <v>2</v>
      </c>
    </row>
    <row r="4" spans="1:99" x14ac:dyDescent="0.35">
      <c r="A4" s="1" t="s">
        <v>1639</v>
      </c>
      <c r="B4" s="1">
        <v>181111003</v>
      </c>
      <c r="S4" s="1">
        <v>3</v>
      </c>
      <c r="T4" s="1">
        <v>1</v>
      </c>
      <c r="U4" s="1">
        <v>3</v>
      </c>
      <c r="V4" s="1">
        <v>3</v>
      </c>
      <c r="W4" s="1">
        <v>3</v>
      </c>
      <c r="X4" s="1">
        <v>3</v>
      </c>
      <c r="Y4" s="1">
        <v>3</v>
      </c>
      <c r="Z4" s="1">
        <v>3</v>
      </c>
      <c r="AA4" s="1">
        <v>3</v>
      </c>
      <c r="AB4" s="1">
        <v>2</v>
      </c>
      <c r="AC4" s="1">
        <v>2</v>
      </c>
      <c r="AE4" s="1">
        <v>0</v>
      </c>
      <c r="AF4" s="3">
        <v>5000000</v>
      </c>
      <c r="AG4" s="1">
        <v>13</v>
      </c>
      <c r="AT4" s="1" t="s">
        <v>1640</v>
      </c>
      <c r="BP4" s="1">
        <v>4</v>
      </c>
      <c r="BQ4" s="1" t="s">
        <v>1641</v>
      </c>
      <c r="BR4" s="1" t="s">
        <v>1642</v>
      </c>
      <c r="BT4" s="1" t="s">
        <v>107</v>
      </c>
      <c r="BU4" s="1">
        <v>5</v>
      </c>
      <c r="BV4" s="1">
        <v>1</v>
      </c>
      <c r="BW4" s="1">
        <v>0</v>
      </c>
      <c r="BX4" s="1">
        <v>0</v>
      </c>
      <c r="BY4" s="1">
        <v>0</v>
      </c>
      <c r="BZ4" s="1">
        <v>0</v>
      </c>
      <c r="CA4" s="1">
        <v>0</v>
      </c>
      <c r="CB4" s="1">
        <v>0</v>
      </c>
      <c r="CC4" s="1">
        <v>0</v>
      </c>
      <c r="CD4" s="1">
        <v>0</v>
      </c>
      <c r="CE4" s="1">
        <v>0</v>
      </c>
      <c r="CF4" s="1">
        <v>1</v>
      </c>
      <c r="CG4" s="1">
        <v>0</v>
      </c>
      <c r="CH4" s="1">
        <v>0</v>
      </c>
      <c r="CI4" s="1">
        <v>0</v>
      </c>
      <c r="CJ4" s="1">
        <v>4</v>
      </c>
      <c r="CK4" s="1">
        <v>4</v>
      </c>
      <c r="CL4" s="1">
        <v>4</v>
      </c>
      <c r="CM4" s="1">
        <v>4</v>
      </c>
      <c r="CN4" s="1">
        <v>4</v>
      </c>
      <c r="CO4" s="1">
        <v>4</v>
      </c>
      <c r="CP4" s="1">
        <v>4</v>
      </c>
      <c r="CU4" s="1">
        <v>1</v>
      </c>
    </row>
    <row r="5" spans="1:99" x14ac:dyDescent="0.35">
      <c r="A5" s="1" t="s">
        <v>1643</v>
      </c>
      <c r="B5" s="1">
        <v>181111004</v>
      </c>
      <c r="C5" s="1">
        <v>1</v>
      </c>
      <c r="D5" s="1">
        <v>1</v>
      </c>
      <c r="E5" s="1">
        <v>0</v>
      </c>
      <c r="F5" s="1">
        <v>0</v>
      </c>
      <c r="G5" s="1">
        <v>0</v>
      </c>
      <c r="H5" s="1">
        <v>1</v>
      </c>
      <c r="I5" s="1">
        <v>1</v>
      </c>
      <c r="J5" s="1">
        <v>1</v>
      </c>
      <c r="K5" s="1">
        <v>1</v>
      </c>
      <c r="L5" s="1">
        <v>1</v>
      </c>
      <c r="M5" s="1">
        <v>1</v>
      </c>
      <c r="N5" s="1">
        <v>0</v>
      </c>
      <c r="O5" s="1">
        <v>0</v>
      </c>
      <c r="P5" s="1" t="s">
        <v>705</v>
      </c>
      <c r="Q5" s="1" t="s">
        <v>1644</v>
      </c>
      <c r="R5" s="4">
        <v>46115</v>
      </c>
      <c r="S5" s="1">
        <v>1</v>
      </c>
      <c r="T5" s="1">
        <v>1</v>
      </c>
      <c r="U5" s="1">
        <v>4</v>
      </c>
      <c r="V5" s="1">
        <v>4</v>
      </c>
      <c r="W5" s="1">
        <v>3</v>
      </c>
      <c r="X5" s="1">
        <v>4</v>
      </c>
      <c r="Y5" s="1">
        <v>4</v>
      </c>
      <c r="Z5" s="1">
        <v>4</v>
      </c>
      <c r="AA5" s="1">
        <v>4</v>
      </c>
      <c r="AC5" s="1">
        <v>1</v>
      </c>
      <c r="AD5" s="1">
        <v>2</v>
      </c>
      <c r="AF5" s="3">
        <v>5000000</v>
      </c>
      <c r="AG5" s="1">
        <v>11</v>
      </c>
      <c r="AR5" s="1" t="s">
        <v>118</v>
      </c>
      <c r="BP5" s="1">
        <v>1</v>
      </c>
      <c r="BQ5" s="1" t="s">
        <v>1645</v>
      </c>
      <c r="BR5" s="1" t="s">
        <v>1646</v>
      </c>
      <c r="BT5" s="1" t="s">
        <v>79</v>
      </c>
      <c r="BU5" s="1">
        <v>4</v>
      </c>
      <c r="BV5" s="1">
        <v>2</v>
      </c>
      <c r="BW5" s="1">
        <v>0</v>
      </c>
      <c r="BX5" s="1">
        <v>1</v>
      </c>
      <c r="BY5" s="1">
        <v>0</v>
      </c>
      <c r="BZ5" s="1">
        <v>0</v>
      </c>
      <c r="CA5" s="1">
        <v>0</v>
      </c>
      <c r="CB5" s="1">
        <v>0</v>
      </c>
      <c r="CC5" s="1">
        <v>0</v>
      </c>
      <c r="CD5" s="1">
        <v>0</v>
      </c>
      <c r="CE5" s="1">
        <v>0</v>
      </c>
      <c r="CF5" s="1">
        <v>0</v>
      </c>
      <c r="CG5" s="1">
        <v>0</v>
      </c>
      <c r="CH5" s="1">
        <v>0</v>
      </c>
      <c r="CI5" s="1">
        <v>0</v>
      </c>
      <c r="CJ5" s="1">
        <v>4</v>
      </c>
      <c r="CK5" s="1">
        <v>4</v>
      </c>
      <c r="CL5" s="1">
        <v>4</v>
      </c>
      <c r="CM5" s="1">
        <v>4</v>
      </c>
      <c r="CN5" s="1">
        <v>4</v>
      </c>
      <c r="CO5" s="1">
        <v>4</v>
      </c>
      <c r="CP5" s="1">
        <v>4</v>
      </c>
      <c r="CU5" s="1">
        <v>3</v>
      </c>
    </row>
    <row r="6" spans="1:99" x14ac:dyDescent="0.35">
      <c r="A6" s="1" t="s">
        <v>1647</v>
      </c>
      <c r="B6" s="1">
        <v>181111005</v>
      </c>
      <c r="C6" s="1">
        <v>0</v>
      </c>
      <c r="D6" s="1">
        <v>1</v>
      </c>
      <c r="E6" s="1">
        <v>0</v>
      </c>
      <c r="F6" s="1">
        <v>0</v>
      </c>
      <c r="G6" s="1">
        <v>0</v>
      </c>
      <c r="H6" s="1">
        <v>0</v>
      </c>
      <c r="I6" s="1">
        <v>0</v>
      </c>
      <c r="J6" s="1">
        <v>0</v>
      </c>
      <c r="K6" s="1">
        <v>0</v>
      </c>
      <c r="L6" s="1">
        <v>0</v>
      </c>
      <c r="M6" s="1">
        <v>0</v>
      </c>
      <c r="N6" s="1">
        <v>0</v>
      </c>
      <c r="O6" s="1">
        <v>0</v>
      </c>
      <c r="P6" s="1">
        <v>15</v>
      </c>
      <c r="Q6" s="1">
        <v>8</v>
      </c>
      <c r="R6" s="1">
        <v>5</v>
      </c>
      <c r="S6" s="1">
        <v>1</v>
      </c>
      <c r="T6" s="1">
        <v>1</v>
      </c>
      <c r="U6" s="1">
        <v>4</v>
      </c>
      <c r="V6" s="1">
        <v>3</v>
      </c>
      <c r="W6" s="1">
        <v>3</v>
      </c>
      <c r="X6" s="1">
        <v>4</v>
      </c>
      <c r="Y6" s="1">
        <v>3</v>
      </c>
      <c r="Z6" s="1">
        <v>4</v>
      </c>
      <c r="AA6" s="1">
        <v>4</v>
      </c>
      <c r="AC6" s="1">
        <v>1</v>
      </c>
      <c r="AD6" s="1">
        <v>6</v>
      </c>
      <c r="AE6" s="1">
        <v>6</v>
      </c>
      <c r="AF6" s="3">
        <v>3800000</v>
      </c>
      <c r="AG6" s="1">
        <v>23</v>
      </c>
      <c r="BD6" s="1" t="s">
        <v>1648</v>
      </c>
      <c r="BP6" s="1">
        <v>3</v>
      </c>
      <c r="BQ6" s="1" t="s">
        <v>1649</v>
      </c>
      <c r="BR6" s="1" t="s">
        <v>1650</v>
      </c>
      <c r="BS6" s="1" t="s">
        <v>1651</v>
      </c>
      <c r="BT6" s="1" t="s">
        <v>73</v>
      </c>
      <c r="BU6" s="1">
        <v>4</v>
      </c>
      <c r="BV6" s="1">
        <v>2</v>
      </c>
      <c r="BW6" s="1">
        <v>0</v>
      </c>
      <c r="BX6" s="1">
        <v>0</v>
      </c>
      <c r="BY6" s="1">
        <v>0</v>
      </c>
      <c r="BZ6" s="1">
        <v>1</v>
      </c>
      <c r="CA6" s="1">
        <v>0</v>
      </c>
      <c r="CB6" s="1">
        <v>0</v>
      </c>
      <c r="CC6" s="1">
        <v>1</v>
      </c>
      <c r="CD6" s="1">
        <v>0</v>
      </c>
      <c r="CE6" s="1">
        <v>0</v>
      </c>
      <c r="CF6" s="1">
        <v>0</v>
      </c>
      <c r="CG6" s="1">
        <v>0</v>
      </c>
      <c r="CH6" s="1">
        <v>1</v>
      </c>
      <c r="CI6" s="1">
        <v>0</v>
      </c>
      <c r="CJ6" s="1">
        <v>4</v>
      </c>
      <c r="CK6" s="1">
        <v>2</v>
      </c>
      <c r="CL6" s="1">
        <v>2</v>
      </c>
      <c r="CM6" s="1">
        <v>3</v>
      </c>
      <c r="CN6" s="1">
        <v>4</v>
      </c>
      <c r="CO6" s="1">
        <v>4</v>
      </c>
      <c r="CP6" s="1">
        <v>4</v>
      </c>
      <c r="CU6" s="1">
        <v>1</v>
      </c>
    </row>
    <row r="7" spans="1:99" x14ac:dyDescent="0.35">
      <c r="A7" s="1" t="s">
        <v>1652</v>
      </c>
      <c r="B7" s="1">
        <v>181111007</v>
      </c>
      <c r="C7" s="1">
        <v>0</v>
      </c>
      <c r="D7" s="1">
        <v>1</v>
      </c>
      <c r="E7" s="1">
        <v>0</v>
      </c>
      <c r="F7" s="1">
        <v>0</v>
      </c>
      <c r="G7" s="1">
        <v>0</v>
      </c>
      <c r="H7" s="1">
        <v>0</v>
      </c>
      <c r="I7" s="1">
        <v>0</v>
      </c>
      <c r="J7" s="1">
        <v>0</v>
      </c>
      <c r="K7" s="1">
        <v>1</v>
      </c>
      <c r="L7" s="1">
        <v>0</v>
      </c>
      <c r="M7" s="1">
        <v>0</v>
      </c>
      <c r="N7" s="1">
        <v>0</v>
      </c>
      <c r="O7" s="1">
        <v>0</v>
      </c>
      <c r="P7" s="4">
        <v>46300</v>
      </c>
      <c r="Q7" s="4">
        <v>46300</v>
      </c>
      <c r="R7" s="4">
        <v>46239</v>
      </c>
      <c r="S7" s="1">
        <v>1</v>
      </c>
      <c r="T7" s="1">
        <v>1</v>
      </c>
      <c r="U7" s="1">
        <v>4</v>
      </c>
      <c r="V7" s="1">
        <v>3</v>
      </c>
      <c r="W7" s="1">
        <v>3</v>
      </c>
      <c r="X7" s="1">
        <v>4</v>
      </c>
      <c r="Y7" s="1">
        <v>4</v>
      </c>
      <c r="Z7" s="1">
        <v>4</v>
      </c>
      <c r="AA7" s="1">
        <v>4</v>
      </c>
      <c r="AC7" s="1">
        <v>2</v>
      </c>
      <c r="AE7" s="1">
        <v>1</v>
      </c>
      <c r="AF7" s="3">
        <v>5000000</v>
      </c>
      <c r="AG7" s="1">
        <v>13</v>
      </c>
      <c r="AT7" s="1" t="s">
        <v>750</v>
      </c>
      <c r="BP7" s="1">
        <v>3</v>
      </c>
      <c r="BQ7" s="1" t="s">
        <v>1653</v>
      </c>
      <c r="BR7" s="1" t="s">
        <v>1654</v>
      </c>
      <c r="BS7" s="1" t="s">
        <v>1655</v>
      </c>
      <c r="BT7" s="1" t="s">
        <v>107</v>
      </c>
      <c r="BU7" s="1">
        <v>1</v>
      </c>
      <c r="BV7" s="1">
        <v>2</v>
      </c>
      <c r="BW7" s="1">
        <v>1</v>
      </c>
      <c r="BX7" s="1">
        <v>0</v>
      </c>
      <c r="BY7" s="1">
        <v>0</v>
      </c>
      <c r="BZ7" s="1">
        <v>0</v>
      </c>
      <c r="CA7" s="1">
        <v>0</v>
      </c>
      <c r="CB7" s="1">
        <v>0</v>
      </c>
      <c r="CC7" s="1">
        <v>0</v>
      </c>
      <c r="CD7" s="1">
        <v>0</v>
      </c>
      <c r="CE7" s="1">
        <v>0</v>
      </c>
      <c r="CF7" s="1">
        <v>0</v>
      </c>
      <c r="CG7" s="1">
        <v>0</v>
      </c>
      <c r="CH7" s="1">
        <v>0</v>
      </c>
      <c r="CI7" s="1">
        <v>0</v>
      </c>
      <c r="CJ7" s="1">
        <v>4</v>
      </c>
      <c r="CK7" s="1">
        <v>4</v>
      </c>
      <c r="CL7" s="1">
        <v>3</v>
      </c>
      <c r="CM7" s="1">
        <v>4</v>
      </c>
      <c r="CN7" s="1">
        <v>4</v>
      </c>
      <c r="CO7" s="1">
        <v>4</v>
      </c>
      <c r="CP7" s="1">
        <v>4</v>
      </c>
      <c r="CU7" s="1">
        <v>1</v>
      </c>
    </row>
    <row r="8" spans="1:99" x14ac:dyDescent="0.35">
      <c r="A8" s="1" t="s">
        <v>1656</v>
      </c>
      <c r="B8" s="1">
        <v>181111008</v>
      </c>
      <c r="C8" s="1">
        <v>0</v>
      </c>
      <c r="D8" s="1">
        <v>1</v>
      </c>
      <c r="E8" s="1">
        <v>0</v>
      </c>
      <c r="F8" s="1">
        <v>0</v>
      </c>
      <c r="G8" s="1">
        <v>0</v>
      </c>
      <c r="H8" s="1">
        <v>0</v>
      </c>
      <c r="I8" s="1">
        <v>0</v>
      </c>
      <c r="J8" s="1">
        <v>0</v>
      </c>
      <c r="K8" s="1">
        <v>1</v>
      </c>
      <c r="L8" s="1">
        <v>0</v>
      </c>
      <c r="M8" s="1">
        <v>0</v>
      </c>
      <c r="N8" s="1">
        <v>0</v>
      </c>
      <c r="O8" s="1">
        <v>0</v>
      </c>
      <c r="P8" s="1">
        <v>30</v>
      </c>
      <c r="Q8" s="1">
        <v>5</v>
      </c>
      <c r="R8" s="1">
        <v>5</v>
      </c>
      <c r="S8" s="1">
        <v>1</v>
      </c>
      <c r="T8" s="1">
        <v>1</v>
      </c>
      <c r="U8" s="1">
        <v>4</v>
      </c>
      <c r="V8" s="1">
        <v>4</v>
      </c>
      <c r="W8" s="1">
        <v>3</v>
      </c>
      <c r="X8" s="1">
        <v>4</v>
      </c>
      <c r="Y8" s="1">
        <v>4</v>
      </c>
      <c r="Z8" s="1">
        <v>4</v>
      </c>
      <c r="AA8" s="1">
        <v>4</v>
      </c>
      <c r="AC8" s="1">
        <v>1</v>
      </c>
      <c r="AD8" s="1">
        <v>0</v>
      </c>
      <c r="AE8" s="1">
        <v>0</v>
      </c>
      <c r="AF8" s="3">
        <v>5000000</v>
      </c>
      <c r="AG8" s="1">
        <v>13</v>
      </c>
      <c r="AT8" s="1" t="s">
        <v>1414</v>
      </c>
      <c r="BP8" s="1">
        <v>3</v>
      </c>
      <c r="BQ8" s="1" t="s">
        <v>1657</v>
      </c>
      <c r="BR8" s="1" t="s">
        <v>1658</v>
      </c>
      <c r="BS8" s="1" t="s">
        <v>1659</v>
      </c>
      <c r="BT8" s="1" t="s">
        <v>79</v>
      </c>
      <c r="BU8" s="1">
        <v>1</v>
      </c>
      <c r="BV8" s="1">
        <v>2</v>
      </c>
      <c r="BW8" s="1">
        <v>1</v>
      </c>
      <c r="BX8" s="1">
        <v>0</v>
      </c>
      <c r="BY8" s="1">
        <v>0</v>
      </c>
      <c r="BZ8" s="1">
        <v>0</v>
      </c>
      <c r="CA8" s="1">
        <v>0</v>
      </c>
      <c r="CB8" s="1">
        <v>0</v>
      </c>
      <c r="CC8" s="1">
        <v>0</v>
      </c>
      <c r="CD8" s="1">
        <v>0</v>
      </c>
      <c r="CE8" s="1">
        <v>0</v>
      </c>
      <c r="CF8" s="1">
        <v>0</v>
      </c>
      <c r="CG8" s="1">
        <v>0</v>
      </c>
      <c r="CH8" s="1">
        <v>0</v>
      </c>
      <c r="CI8" s="1">
        <v>0</v>
      </c>
      <c r="CJ8" s="1">
        <v>4</v>
      </c>
      <c r="CK8" s="1">
        <v>4</v>
      </c>
      <c r="CL8" s="1">
        <v>3</v>
      </c>
      <c r="CM8" s="1">
        <v>4</v>
      </c>
      <c r="CN8" s="1">
        <v>4</v>
      </c>
      <c r="CO8" s="1">
        <v>4</v>
      </c>
      <c r="CP8" s="1">
        <v>4</v>
      </c>
      <c r="CU8" s="1">
        <v>4</v>
      </c>
    </row>
    <row r="9" spans="1:99" x14ac:dyDescent="0.35">
      <c r="A9" s="1" t="s">
        <v>1660</v>
      </c>
      <c r="B9" s="1">
        <v>181111009</v>
      </c>
      <c r="C9" s="1">
        <v>0</v>
      </c>
      <c r="D9" s="1">
        <v>1</v>
      </c>
      <c r="E9" s="1">
        <v>0</v>
      </c>
      <c r="F9" s="1">
        <v>0</v>
      </c>
      <c r="G9" s="1">
        <v>0</v>
      </c>
      <c r="H9" s="1">
        <v>0</v>
      </c>
      <c r="I9" s="1">
        <v>0</v>
      </c>
      <c r="J9" s="1">
        <v>1</v>
      </c>
      <c r="K9" s="1">
        <v>1</v>
      </c>
      <c r="L9" s="1">
        <v>0</v>
      </c>
      <c r="M9" s="1">
        <v>0</v>
      </c>
      <c r="N9" s="1">
        <v>0</v>
      </c>
      <c r="O9" s="1">
        <v>0</v>
      </c>
      <c r="P9" s="1">
        <v>8</v>
      </c>
      <c r="Q9" s="1">
        <v>3</v>
      </c>
      <c r="R9" s="1">
        <v>3</v>
      </c>
      <c r="S9" s="1">
        <v>1</v>
      </c>
      <c r="T9" s="1">
        <v>1</v>
      </c>
      <c r="U9" s="1">
        <v>4</v>
      </c>
      <c r="V9" s="1">
        <v>3</v>
      </c>
      <c r="W9" s="1">
        <v>3</v>
      </c>
      <c r="X9" s="1">
        <v>4</v>
      </c>
      <c r="Y9" s="1">
        <v>3</v>
      </c>
      <c r="Z9" s="1">
        <v>4</v>
      </c>
      <c r="AA9" s="1">
        <v>3</v>
      </c>
      <c r="AC9" s="1">
        <v>1</v>
      </c>
      <c r="AD9" s="1">
        <v>4</v>
      </c>
      <c r="AE9" s="1">
        <v>4</v>
      </c>
      <c r="AF9" s="3">
        <v>4500000</v>
      </c>
      <c r="AG9" s="1">
        <v>11</v>
      </c>
      <c r="AR9" s="1" t="s">
        <v>239</v>
      </c>
      <c r="BP9" s="1">
        <v>3</v>
      </c>
      <c r="BQ9" s="1" t="s">
        <v>1661</v>
      </c>
      <c r="BR9" s="1" t="s">
        <v>1662</v>
      </c>
      <c r="BS9" s="1" t="s">
        <v>1663</v>
      </c>
      <c r="BT9" s="1" t="s">
        <v>73</v>
      </c>
      <c r="BU9" s="1">
        <v>1</v>
      </c>
      <c r="BV9" s="1">
        <v>2</v>
      </c>
      <c r="BW9" s="1">
        <v>1</v>
      </c>
      <c r="BX9" s="1">
        <v>0</v>
      </c>
      <c r="BY9" s="1">
        <v>0</v>
      </c>
      <c r="BZ9" s="1">
        <v>0</v>
      </c>
      <c r="CA9" s="1">
        <v>0</v>
      </c>
      <c r="CB9" s="1">
        <v>0</v>
      </c>
      <c r="CC9" s="1">
        <v>0</v>
      </c>
      <c r="CD9" s="1">
        <v>0</v>
      </c>
      <c r="CE9" s="1">
        <v>0</v>
      </c>
      <c r="CF9" s="1">
        <v>0</v>
      </c>
      <c r="CG9" s="1">
        <v>0</v>
      </c>
      <c r="CH9" s="1">
        <v>0</v>
      </c>
      <c r="CI9" s="1">
        <v>0</v>
      </c>
      <c r="CJ9" s="1">
        <v>4</v>
      </c>
      <c r="CK9" s="1">
        <v>4</v>
      </c>
      <c r="CL9" s="1">
        <v>4</v>
      </c>
      <c r="CM9" s="1">
        <v>4</v>
      </c>
      <c r="CN9" s="1">
        <v>4</v>
      </c>
      <c r="CO9" s="1">
        <v>4</v>
      </c>
      <c r="CP9" s="1">
        <v>4</v>
      </c>
      <c r="CU9" s="1">
        <v>1</v>
      </c>
    </row>
    <row r="10" spans="1:99" x14ac:dyDescent="0.35">
      <c r="A10" s="1" t="s">
        <v>1664</v>
      </c>
      <c r="B10" s="1">
        <v>181111011</v>
      </c>
      <c r="C10" s="1">
        <v>0</v>
      </c>
      <c r="D10" s="1">
        <v>1</v>
      </c>
      <c r="E10" s="1">
        <v>0</v>
      </c>
      <c r="F10" s="1">
        <v>0</v>
      </c>
      <c r="G10" s="1">
        <v>0</v>
      </c>
      <c r="H10" s="1">
        <v>0</v>
      </c>
      <c r="I10" s="1">
        <v>0</v>
      </c>
      <c r="J10" s="1">
        <v>1</v>
      </c>
      <c r="K10" s="1">
        <v>1</v>
      </c>
      <c r="L10" s="1">
        <v>0</v>
      </c>
      <c r="M10" s="1">
        <v>0</v>
      </c>
      <c r="N10" s="1">
        <v>0</v>
      </c>
      <c r="O10" s="1">
        <v>0</v>
      </c>
      <c r="P10" s="1">
        <v>2</v>
      </c>
      <c r="Q10" s="1">
        <v>1</v>
      </c>
      <c r="R10" s="1">
        <v>1</v>
      </c>
      <c r="S10" s="1">
        <v>3</v>
      </c>
      <c r="T10" s="1">
        <v>3</v>
      </c>
      <c r="U10" s="1">
        <v>4</v>
      </c>
      <c r="V10" s="1">
        <v>3</v>
      </c>
      <c r="W10" s="1">
        <v>2</v>
      </c>
      <c r="X10" s="1">
        <v>3</v>
      </c>
      <c r="Y10" s="1">
        <v>3</v>
      </c>
      <c r="Z10" s="1">
        <v>4</v>
      </c>
      <c r="AA10" s="1">
        <v>3</v>
      </c>
      <c r="AB10" s="1">
        <v>3</v>
      </c>
      <c r="AC10" s="1">
        <v>2</v>
      </c>
      <c r="AE10" s="1">
        <v>1</v>
      </c>
      <c r="AF10" s="3">
        <v>4700000</v>
      </c>
      <c r="AG10" s="1">
        <v>11</v>
      </c>
      <c r="AR10" s="1" t="s">
        <v>239</v>
      </c>
      <c r="BP10" s="1">
        <v>3</v>
      </c>
      <c r="BQ10" s="1" t="s">
        <v>1665</v>
      </c>
      <c r="BR10" s="1" t="s">
        <v>1666</v>
      </c>
      <c r="BT10" s="1" t="s">
        <v>73</v>
      </c>
      <c r="BU10" s="1">
        <v>1</v>
      </c>
      <c r="BV10" s="1">
        <v>2</v>
      </c>
      <c r="BW10" s="1">
        <v>1</v>
      </c>
      <c r="BX10" s="1">
        <v>0</v>
      </c>
      <c r="BY10" s="1">
        <v>0</v>
      </c>
      <c r="BZ10" s="1">
        <v>0</v>
      </c>
      <c r="CA10" s="1">
        <v>0</v>
      </c>
      <c r="CB10" s="1">
        <v>0</v>
      </c>
      <c r="CC10" s="1">
        <v>0</v>
      </c>
      <c r="CD10" s="1">
        <v>0</v>
      </c>
      <c r="CE10" s="1">
        <v>0</v>
      </c>
      <c r="CF10" s="1">
        <v>0</v>
      </c>
      <c r="CG10" s="1">
        <v>0</v>
      </c>
      <c r="CH10" s="1">
        <v>0</v>
      </c>
      <c r="CI10" s="1">
        <v>0</v>
      </c>
      <c r="CJ10" s="1">
        <v>4</v>
      </c>
      <c r="CK10" s="1">
        <v>3</v>
      </c>
      <c r="CL10" s="1">
        <v>2</v>
      </c>
      <c r="CM10" s="1">
        <v>3</v>
      </c>
      <c r="CN10" s="1">
        <v>3</v>
      </c>
      <c r="CO10" s="1">
        <v>4</v>
      </c>
      <c r="CP10" s="1">
        <v>3</v>
      </c>
      <c r="CU10" s="1">
        <v>1</v>
      </c>
    </row>
    <row r="11" spans="1:99" x14ac:dyDescent="0.35">
      <c r="A11" s="1" t="s">
        <v>1667</v>
      </c>
      <c r="B11" s="1">
        <v>181111012</v>
      </c>
      <c r="S11" s="1">
        <v>4</v>
      </c>
      <c r="T11" s="1">
        <v>1</v>
      </c>
      <c r="U11" s="1">
        <v>3</v>
      </c>
      <c r="V11" s="1">
        <v>2</v>
      </c>
      <c r="W11" s="1">
        <v>2</v>
      </c>
      <c r="X11" s="1">
        <v>2</v>
      </c>
      <c r="Y11" s="1">
        <v>3</v>
      </c>
      <c r="Z11" s="1">
        <v>2</v>
      </c>
      <c r="AA11" s="1">
        <v>3</v>
      </c>
      <c r="CQ11" s="1">
        <v>1</v>
      </c>
      <c r="CR11" s="1" t="s">
        <v>1668</v>
      </c>
      <c r="CS11" s="1" t="s">
        <v>1669</v>
      </c>
      <c r="CT11" s="5">
        <v>44831</v>
      </c>
      <c r="CU11" s="1">
        <v>1</v>
      </c>
    </row>
    <row r="12" spans="1:99" x14ac:dyDescent="0.35">
      <c r="A12" s="1" t="s">
        <v>1670</v>
      </c>
      <c r="B12" s="1">
        <v>181111013</v>
      </c>
      <c r="C12" s="1">
        <v>0</v>
      </c>
      <c r="D12" s="1">
        <v>1</v>
      </c>
      <c r="E12" s="1">
        <v>1</v>
      </c>
      <c r="F12" s="1">
        <v>0</v>
      </c>
      <c r="G12" s="1">
        <v>0</v>
      </c>
      <c r="H12" s="1">
        <v>1</v>
      </c>
      <c r="I12" s="1">
        <v>0</v>
      </c>
      <c r="J12" s="1">
        <v>1</v>
      </c>
      <c r="K12" s="1">
        <v>1</v>
      </c>
      <c r="L12" s="1">
        <v>0</v>
      </c>
      <c r="M12" s="1">
        <v>1</v>
      </c>
      <c r="N12" s="1">
        <v>0</v>
      </c>
      <c r="O12" s="1">
        <v>0</v>
      </c>
      <c r="P12" s="1">
        <v>5</v>
      </c>
      <c r="Q12" s="1">
        <v>3</v>
      </c>
      <c r="R12" s="1">
        <v>3</v>
      </c>
      <c r="S12" s="1">
        <v>4</v>
      </c>
      <c r="T12" s="1">
        <v>1</v>
      </c>
      <c r="U12" s="1">
        <v>3</v>
      </c>
      <c r="V12" s="1">
        <v>3</v>
      </c>
      <c r="W12" s="1">
        <v>3</v>
      </c>
      <c r="X12" s="1">
        <v>4</v>
      </c>
      <c r="Y12" s="1">
        <v>3</v>
      </c>
      <c r="Z12" s="1">
        <v>4</v>
      </c>
      <c r="AA12" s="1">
        <v>3</v>
      </c>
      <c r="CQ12" s="1">
        <v>1</v>
      </c>
      <c r="CR12" s="1" t="s">
        <v>205</v>
      </c>
      <c r="CS12" s="1" t="s">
        <v>1671</v>
      </c>
      <c r="CT12" s="5">
        <v>44802</v>
      </c>
      <c r="CU12" s="1">
        <v>1</v>
      </c>
    </row>
    <row r="13" spans="1:99" x14ac:dyDescent="0.35">
      <c r="A13" s="1" t="s">
        <v>1672</v>
      </c>
      <c r="B13" s="1">
        <v>181111014</v>
      </c>
      <c r="C13" s="1">
        <v>0</v>
      </c>
      <c r="D13" s="1">
        <v>1</v>
      </c>
      <c r="E13" s="1">
        <v>1</v>
      </c>
      <c r="F13" s="1">
        <v>0</v>
      </c>
      <c r="G13" s="1">
        <v>0</v>
      </c>
      <c r="H13" s="1">
        <v>0</v>
      </c>
      <c r="I13" s="1">
        <v>0</v>
      </c>
      <c r="J13" s="1">
        <v>1</v>
      </c>
      <c r="K13" s="1">
        <v>1</v>
      </c>
      <c r="L13" s="1">
        <v>0</v>
      </c>
      <c r="M13" s="1">
        <v>1</v>
      </c>
      <c r="N13" s="1">
        <v>0</v>
      </c>
      <c r="O13" s="1">
        <v>0</v>
      </c>
      <c r="P13" s="1">
        <v>0</v>
      </c>
      <c r="Q13" s="1">
        <v>0</v>
      </c>
      <c r="R13" s="1">
        <v>3</v>
      </c>
      <c r="S13" s="1">
        <v>1</v>
      </c>
      <c r="T13" s="1">
        <v>1</v>
      </c>
      <c r="U13" s="1">
        <v>4</v>
      </c>
      <c r="V13" s="1">
        <v>3</v>
      </c>
      <c r="W13" s="1">
        <v>3</v>
      </c>
      <c r="X13" s="1">
        <v>3</v>
      </c>
      <c r="Y13" s="1">
        <v>4</v>
      </c>
      <c r="Z13" s="1">
        <v>4</v>
      </c>
      <c r="AA13" s="1">
        <v>3</v>
      </c>
      <c r="AC13" s="1">
        <v>1</v>
      </c>
      <c r="AD13" s="1">
        <v>0</v>
      </c>
      <c r="AE13" s="1">
        <v>0</v>
      </c>
      <c r="AF13" s="3">
        <v>5000000</v>
      </c>
      <c r="AG13" s="1">
        <v>13</v>
      </c>
      <c r="AT13" s="1" t="s">
        <v>86</v>
      </c>
      <c r="BP13" s="1">
        <v>6</v>
      </c>
      <c r="BQ13" s="1" t="s">
        <v>1673</v>
      </c>
      <c r="BR13" s="1" t="s">
        <v>1674</v>
      </c>
      <c r="BS13" s="1" t="s">
        <v>1675</v>
      </c>
      <c r="BT13" s="1" t="s">
        <v>79</v>
      </c>
      <c r="BU13" s="1">
        <v>1</v>
      </c>
      <c r="BV13" s="1">
        <v>1</v>
      </c>
      <c r="BW13" s="1">
        <v>1</v>
      </c>
      <c r="BX13" s="1">
        <v>0</v>
      </c>
      <c r="BY13" s="1">
        <v>0</v>
      </c>
      <c r="BZ13" s="1">
        <v>0</v>
      </c>
      <c r="CA13" s="1">
        <v>0</v>
      </c>
      <c r="CB13" s="1">
        <v>0</v>
      </c>
      <c r="CC13" s="1">
        <v>0</v>
      </c>
      <c r="CD13" s="1">
        <v>0</v>
      </c>
      <c r="CE13" s="1">
        <v>0</v>
      </c>
      <c r="CF13" s="1">
        <v>0</v>
      </c>
      <c r="CG13" s="1">
        <v>0</v>
      </c>
      <c r="CH13" s="1">
        <v>0</v>
      </c>
      <c r="CI13" s="1">
        <v>0</v>
      </c>
      <c r="CJ13" s="1">
        <v>3</v>
      </c>
      <c r="CK13" s="1">
        <v>3</v>
      </c>
      <c r="CL13" s="1">
        <v>3</v>
      </c>
      <c r="CM13" s="1">
        <v>3</v>
      </c>
      <c r="CN13" s="1">
        <v>4</v>
      </c>
      <c r="CO13" s="1">
        <v>3</v>
      </c>
      <c r="CP13" s="1">
        <v>3</v>
      </c>
      <c r="CU13" s="1">
        <v>4</v>
      </c>
    </row>
    <row r="14" spans="1:99" x14ac:dyDescent="0.35">
      <c r="A14" s="1" t="s">
        <v>1676</v>
      </c>
      <c r="B14" s="1">
        <v>181111015</v>
      </c>
      <c r="C14" s="1">
        <v>0</v>
      </c>
      <c r="D14" s="1">
        <v>1</v>
      </c>
      <c r="E14" s="1">
        <v>1</v>
      </c>
      <c r="F14" s="1">
        <v>0</v>
      </c>
      <c r="G14" s="1">
        <v>0</v>
      </c>
      <c r="H14" s="1">
        <v>0</v>
      </c>
      <c r="I14" s="1">
        <v>0</v>
      </c>
      <c r="J14" s="1">
        <v>0</v>
      </c>
      <c r="K14" s="1">
        <v>0</v>
      </c>
      <c r="L14" s="1">
        <v>0</v>
      </c>
      <c r="M14" s="1">
        <v>0</v>
      </c>
      <c r="N14" s="1">
        <v>0</v>
      </c>
      <c r="O14" s="1">
        <v>0</v>
      </c>
      <c r="P14" s="1" t="s">
        <v>1677</v>
      </c>
      <c r="Q14" s="1" t="s">
        <v>1678</v>
      </c>
      <c r="R14" s="1" t="s">
        <v>1329</v>
      </c>
      <c r="S14" s="1">
        <v>1</v>
      </c>
      <c r="T14" s="1">
        <v>1</v>
      </c>
      <c r="U14" s="1">
        <v>4</v>
      </c>
      <c r="V14" s="1">
        <v>3</v>
      </c>
      <c r="W14" s="1">
        <v>4</v>
      </c>
      <c r="X14" s="1">
        <v>4</v>
      </c>
      <c r="Y14" s="1">
        <v>4</v>
      </c>
      <c r="Z14" s="1">
        <v>4</v>
      </c>
      <c r="AA14" s="1">
        <v>3</v>
      </c>
      <c r="AC14" s="1">
        <v>1</v>
      </c>
      <c r="AD14" s="1">
        <v>4</v>
      </c>
      <c r="AF14" s="3">
        <v>5000000</v>
      </c>
      <c r="AG14" s="1">
        <v>12</v>
      </c>
      <c r="AS14" s="1" t="s">
        <v>1021</v>
      </c>
      <c r="BP14" s="1">
        <v>3</v>
      </c>
      <c r="BQ14" s="1" t="s">
        <v>1679</v>
      </c>
      <c r="BR14" s="1" t="s">
        <v>1680</v>
      </c>
      <c r="BS14" s="1" t="s">
        <v>1681</v>
      </c>
      <c r="BT14" s="1" t="s">
        <v>79</v>
      </c>
      <c r="BU14" s="1">
        <v>1</v>
      </c>
      <c r="BV14" s="1">
        <v>2</v>
      </c>
      <c r="BW14" s="1">
        <v>1</v>
      </c>
      <c r="BX14" s="1">
        <v>0</v>
      </c>
      <c r="BY14" s="1">
        <v>0</v>
      </c>
      <c r="BZ14" s="1">
        <v>0</v>
      </c>
      <c r="CA14" s="1">
        <v>0</v>
      </c>
      <c r="CB14" s="1">
        <v>0</v>
      </c>
      <c r="CC14" s="1">
        <v>0</v>
      </c>
      <c r="CD14" s="1">
        <v>0</v>
      </c>
      <c r="CE14" s="1">
        <v>0</v>
      </c>
      <c r="CF14" s="1">
        <v>0</v>
      </c>
      <c r="CG14" s="1">
        <v>0</v>
      </c>
      <c r="CH14" s="1">
        <v>0</v>
      </c>
      <c r="CI14" s="1">
        <v>0</v>
      </c>
      <c r="CJ14" s="1">
        <v>4</v>
      </c>
      <c r="CK14" s="1">
        <v>3</v>
      </c>
      <c r="CL14" s="1">
        <v>3</v>
      </c>
      <c r="CM14" s="1">
        <v>4</v>
      </c>
      <c r="CN14" s="1">
        <v>4</v>
      </c>
      <c r="CO14" s="1">
        <v>4</v>
      </c>
      <c r="CP14" s="1">
        <v>4</v>
      </c>
      <c r="CU14" s="1">
        <v>4</v>
      </c>
    </row>
    <row r="15" spans="1:99" x14ac:dyDescent="0.35">
      <c r="A15" s="1" t="s">
        <v>1682</v>
      </c>
      <c r="B15" s="1">
        <v>181111016</v>
      </c>
      <c r="C15" s="1">
        <v>0</v>
      </c>
      <c r="D15" s="1">
        <v>1</v>
      </c>
      <c r="E15" s="1">
        <v>1</v>
      </c>
      <c r="F15" s="1">
        <v>0</v>
      </c>
      <c r="G15" s="1">
        <v>0</v>
      </c>
      <c r="H15" s="1">
        <v>0</v>
      </c>
      <c r="I15" s="1">
        <v>0</v>
      </c>
      <c r="J15" s="1">
        <v>0</v>
      </c>
      <c r="K15" s="1">
        <v>1</v>
      </c>
      <c r="L15" s="1">
        <v>0</v>
      </c>
      <c r="M15" s="1">
        <v>1</v>
      </c>
      <c r="N15" s="1">
        <v>0</v>
      </c>
      <c r="O15" s="1">
        <v>0</v>
      </c>
      <c r="P15" s="1">
        <v>10</v>
      </c>
      <c r="Q15" s="1">
        <v>5</v>
      </c>
      <c r="R15" s="1">
        <v>4</v>
      </c>
      <c r="S15" s="1">
        <v>4</v>
      </c>
      <c r="T15" s="1">
        <v>1</v>
      </c>
      <c r="U15" s="1">
        <v>4</v>
      </c>
      <c r="V15" s="1">
        <v>3</v>
      </c>
      <c r="W15" s="1">
        <v>4</v>
      </c>
      <c r="X15" s="1">
        <v>4</v>
      </c>
      <c r="Y15" s="1">
        <v>4</v>
      </c>
      <c r="Z15" s="1">
        <v>4</v>
      </c>
      <c r="AA15" s="1">
        <v>4</v>
      </c>
      <c r="CQ15" s="1">
        <v>1</v>
      </c>
      <c r="CR15" s="1" t="s">
        <v>205</v>
      </c>
      <c r="CS15" s="1" t="s">
        <v>1671</v>
      </c>
      <c r="CT15" s="5">
        <v>44757</v>
      </c>
      <c r="CU15" s="1">
        <v>1</v>
      </c>
    </row>
    <row r="16" spans="1:99" x14ac:dyDescent="0.35">
      <c r="A16" s="1" t="s">
        <v>1683</v>
      </c>
      <c r="B16" s="1">
        <v>181111017</v>
      </c>
      <c r="C16" s="1">
        <v>0</v>
      </c>
      <c r="D16" s="1">
        <v>1</v>
      </c>
      <c r="E16" s="1">
        <v>0</v>
      </c>
      <c r="F16" s="1">
        <v>0</v>
      </c>
      <c r="G16" s="1">
        <v>0</v>
      </c>
      <c r="H16" s="1">
        <v>0</v>
      </c>
      <c r="I16" s="1">
        <v>0</v>
      </c>
      <c r="J16" s="1">
        <v>0</v>
      </c>
      <c r="K16" s="1">
        <v>0</v>
      </c>
      <c r="L16" s="1">
        <v>0</v>
      </c>
      <c r="M16" s="1">
        <v>0</v>
      </c>
      <c r="N16" s="1">
        <v>0</v>
      </c>
      <c r="O16" s="1">
        <v>0</v>
      </c>
      <c r="P16" s="1">
        <v>45</v>
      </c>
      <c r="Q16" s="1">
        <v>15</v>
      </c>
      <c r="R16" s="1">
        <v>5</v>
      </c>
      <c r="S16" s="1">
        <v>1</v>
      </c>
      <c r="T16" s="1">
        <v>1</v>
      </c>
      <c r="U16" s="1">
        <v>4</v>
      </c>
      <c r="V16" s="1">
        <v>4</v>
      </c>
      <c r="W16" s="1">
        <v>3</v>
      </c>
      <c r="X16" s="1">
        <v>4</v>
      </c>
      <c r="Y16" s="1">
        <v>4</v>
      </c>
      <c r="Z16" s="1">
        <v>4</v>
      </c>
      <c r="AA16" s="1">
        <v>4</v>
      </c>
      <c r="AC16" s="1">
        <v>1</v>
      </c>
      <c r="AD16" s="1">
        <v>0</v>
      </c>
      <c r="AF16" s="3">
        <v>4000000</v>
      </c>
      <c r="AG16" s="1">
        <v>13</v>
      </c>
      <c r="AT16" s="1" t="s">
        <v>93</v>
      </c>
      <c r="BP16" s="1">
        <v>3</v>
      </c>
      <c r="BQ16" s="1" t="s">
        <v>1684</v>
      </c>
      <c r="BR16" s="1" t="s">
        <v>1685</v>
      </c>
      <c r="BS16" s="1" t="s">
        <v>1686</v>
      </c>
      <c r="BT16" s="1" t="s">
        <v>79</v>
      </c>
      <c r="BU16" s="1">
        <v>1</v>
      </c>
      <c r="BV16" s="1">
        <v>2</v>
      </c>
      <c r="BW16" s="1">
        <v>1</v>
      </c>
      <c r="BX16" s="1">
        <v>0</v>
      </c>
      <c r="BY16" s="1">
        <v>0</v>
      </c>
      <c r="BZ16" s="1">
        <v>0</v>
      </c>
      <c r="CA16" s="1">
        <v>0</v>
      </c>
      <c r="CB16" s="1">
        <v>0</v>
      </c>
      <c r="CC16" s="1">
        <v>0</v>
      </c>
      <c r="CD16" s="1">
        <v>0</v>
      </c>
      <c r="CE16" s="1">
        <v>0</v>
      </c>
      <c r="CF16" s="1">
        <v>0</v>
      </c>
      <c r="CG16" s="1">
        <v>0</v>
      </c>
      <c r="CH16" s="1">
        <v>0</v>
      </c>
      <c r="CI16" s="1">
        <v>0</v>
      </c>
      <c r="CJ16" s="1">
        <v>4</v>
      </c>
      <c r="CK16" s="1">
        <v>4</v>
      </c>
      <c r="CL16" s="1">
        <v>2</v>
      </c>
      <c r="CM16" s="1">
        <v>2</v>
      </c>
      <c r="CN16" s="1">
        <v>4</v>
      </c>
      <c r="CO16" s="1">
        <v>4</v>
      </c>
      <c r="CP16" s="1">
        <v>4</v>
      </c>
      <c r="CU16" s="1">
        <v>3</v>
      </c>
    </row>
    <row r="17" spans="1:99" x14ac:dyDescent="0.35">
      <c r="A17" s="1" t="s">
        <v>1687</v>
      </c>
      <c r="B17" s="1">
        <v>181111018</v>
      </c>
      <c r="C17" s="1">
        <v>0</v>
      </c>
      <c r="D17" s="1">
        <v>0</v>
      </c>
      <c r="E17" s="1">
        <v>0</v>
      </c>
      <c r="F17" s="1">
        <v>0</v>
      </c>
      <c r="G17" s="1">
        <v>0</v>
      </c>
      <c r="H17" s="1">
        <v>0</v>
      </c>
      <c r="I17" s="1">
        <v>0</v>
      </c>
      <c r="J17" s="1">
        <v>0</v>
      </c>
      <c r="K17" s="1">
        <v>1</v>
      </c>
      <c r="L17" s="1">
        <v>0</v>
      </c>
      <c r="M17" s="1">
        <v>0</v>
      </c>
      <c r="N17" s="1">
        <v>0</v>
      </c>
      <c r="O17" s="1">
        <v>0</v>
      </c>
      <c r="P17" s="1">
        <v>0</v>
      </c>
      <c r="Q17" s="1">
        <v>0</v>
      </c>
      <c r="R17" s="1">
        <v>0</v>
      </c>
      <c r="S17" s="1">
        <v>1</v>
      </c>
      <c r="T17" s="1">
        <v>1</v>
      </c>
      <c r="U17" s="1">
        <v>4</v>
      </c>
      <c r="V17" s="1">
        <v>4</v>
      </c>
      <c r="W17" s="1">
        <v>3</v>
      </c>
      <c r="X17" s="1">
        <v>3</v>
      </c>
      <c r="Y17" s="1">
        <v>4</v>
      </c>
      <c r="Z17" s="1">
        <v>4</v>
      </c>
      <c r="AA17" s="1">
        <v>3</v>
      </c>
      <c r="AC17" s="1">
        <v>1</v>
      </c>
      <c r="AD17" s="1">
        <v>0</v>
      </c>
      <c r="AF17" s="3">
        <v>1500000</v>
      </c>
      <c r="AG17" s="1">
        <v>13</v>
      </c>
      <c r="AT17" s="1" t="s">
        <v>209</v>
      </c>
      <c r="BP17" s="1">
        <v>3</v>
      </c>
      <c r="BQ17" s="1" t="s">
        <v>1688</v>
      </c>
      <c r="BR17" s="1" t="s">
        <v>1689</v>
      </c>
      <c r="BS17" s="1" t="s">
        <v>1690</v>
      </c>
      <c r="BT17" s="1" t="s">
        <v>107</v>
      </c>
      <c r="BU17" s="1">
        <v>2</v>
      </c>
      <c r="BV17" s="1">
        <v>1</v>
      </c>
      <c r="BW17" s="1">
        <v>0</v>
      </c>
      <c r="BX17" s="1">
        <v>0</v>
      </c>
      <c r="BY17" s="1">
        <v>0</v>
      </c>
      <c r="BZ17" s="1">
        <v>0</v>
      </c>
      <c r="CA17" s="1">
        <v>0</v>
      </c>
      <c r="CB17" s="1">
        <v>0</v>
      </c>
      <c r="CC17" s="1">
        <v>0</v>
      </c>
      <c r="CD17" s="1">
        <v>0</v>
      </c>
      <c r="CE17" s="1">
        <v>0</v>
      </c>
      <c r="CF17" s="1">
        <v>0</v>
      </c>
      <c r="CG17" s="1">
        <v>0</v>
      </c>
      <c r="CH17" s="1">
        <v>0</v>
      </c>
      <c r="CI17" s="1" t="s">
        <v>1691</v>
      </c>
      <c r="CJ17" s="1">
        <v>4</v>
      </c>
      <c r="CK17" s="1">
        <v>4</v>
      </c>
      <c r="CL17" s="1">
        <v>4</v>
      </c>
      <c r="CM17" s="1">
        <v>4</v>
      </c>
      <c r="CN17" s="1">
        <v>4</v>
      </c>
      <c r="CO17" s="1">
        <v>4</v>
      </c>
      <c r="CP17" s="1">
        <v>4</v>
      </c>
      <c r="CU17" s="1">
        <v>4</v>
      </c>
    </row>
    <row r="18" spans="1:99" x14ac:dyDescent="0.35">
      <c r="A18" s="1" t="s">
        <v>1692</v>
      </c>
      <c r="B18" s="1">
        <v>181111019</v>
      </c>
      <c r="C18" s="1">
        <v>0</v>
      </c>
      <c r="D18" s="1">
        <v>0</v>
      </c>
      <c r="E18" s="1">
        <v>0</v>
      </c>
      <c r="F18" s="1">
        <v>0</v>
      </c>
      <c r="G18" s="1">
        <v>0</v>
      </c>
      <c r="H18" s="1">
        <v>0</v>
      </c>
      <c r="I18" s="1">
        <v>0</v>
      </c>
      <c r="J18" s="1">
        <v>1</v>
      </c>
      <c r="K18" s="1">
        <v>1</v>
      </c>
      <c r="L18" s="1">
        <v>0</v>
      </c>
      <c r="M18" s="1">
        <v>0</v>
      </c>
      <c r="N18" s="1">
        <v>0</v>
      </c>
      <c r="O18" s="1">
        <v>0</v>
      </c>
      <c r="P18" s="1">
        <v>10</v>
      </c>
      <c r="Q18" s="1">
        <v>5</v>
      </c>
      <c r="R18" s="1">
        <v>3</v>
      </c>
      <c r="S18" s="1">
        <v>1</v>
      </c>
      <c r="T18" s="1">
        <v>1</v>
      </c>
      <c r="U18" s="1">
        <v>4</v>
      </c>
      <c r="V18" s="1">
        <v>3</v>
      </c>
      <c r="W18" s="1">
        <v>3</v>
      </c>
      <c r="X18" s="1">
        <v>3</v>
      </c>
      <c r="Y18" s="1">
        <v>3</v>
      </c>
      <c r="Z18" s="1">
        <v>3</v>
      </c>
      <c r="AA18" s="1">
        <v>3</v>
      </c>
      <c r="AC18" s="1">
        <v>2</v>
      </c>
      <c r="AE18" s="1">
        <v>2</v>
      </c>
      <c r="AF18" s="3">
        <v>6500000</v>
      </c>
      <c r="AG18" s="1" t="s">
        <v>1693</v>
      </c>
      <c r="BP18" s="1">
        <v>3</v>
      </c>
      <c r="BQ18" s="1" t="s">
        <v>1694</v>
      </c>
      <c r="BR18" s="1" t="s">
        <v>1695</v>
      </c>
      <c r="BS18" s="1" t="s">
        <v>1696</v>
      </c>
      <c r="BT18" s="1" t="s">
        <v>73</v>
      </c>
      <c r="BU18" s="1">
        <v>1</v>
      </c>
      <c r="BV18" s="1">
        <v>1</v>
      </c>
      <c r="BW18" s="1">
        <v>1</v>
      </c>
      <c r="BX18" s="1">
        <v>0</v>
      </c>
      <c r="BY18" s="1">
        <v>0</v>
      </c>
      <c r="BZ18" s="1">
        <v>0</v>
      </c>
      <c r="CA18" s="1">
        <v>0</v>
      </c>
      <c r="CB18" s="1">
        <v>0</v>
      </c>
      <c r="CC18" s="1">
        <v>0</v>
      </c>
      <c r="CD18" s="1">
        <v>0</v>
      </c>
      <c r="CE18" s="1">
        <v>0</v>
      </c>
      <c r="CF18" s="1">
        <v>0</v>
      </c>
      <c r="CG18" s="1">
        <v>0</v>
      </c>
      <c r="CH18" s="1">
        <v>0</v>
      </c>
      <c r="CI18" s="1">
        <v>0</v>
      </c>
      <c r="CJ18" s="1">
        <v>4</v>
      </c>
      <c r="CK18" s="1">
        <v>4</v>
      </c>
      <c r="CL18" s="1">
        <v>4</v>
      </c>
      <c r="CM18" s="1">
        <v>4</v>
      </c>
      <c r="CN18" s="1">
        <v>4</v>
      </c>
      <c r="CO18" s="1">
        <v>4</v>
      </c>
      <c r="CP18" s="1">
        <v>4</v>
      </c>
      <c r="CU18" s="1">
        <v>1</v>
      </c>
    </row>
    <row r="19" spans="1:99" x14ac:dyDescent="0.35">
      <c r="A19" s="1" t="s">
        <v>1697</v>
      </c>
      <c r="B19" s="1">
        <v>181111021</v>
      </c>
      <c r="C19" s="1">
        <v>0</v>
      </c>
      <c r="D19" s="1">
        <v>0</v>
      </c>
      <c r="E19" s="1">
        <v>0</v>
      </c>
      <c r="F19" s="1">
        <v>0</v>
      </c>
      <c r="G19" s="1">
        <v>0</v>
      </c>
      <c r="H19" s="1">
        <v>0</v>
      </c>
      <c r="I19" s="1">
        <v>0</v>
      </c>
      <c r="J19" s="1">
        <v>1</v>
      </c>
      <c r="K19" s="1">
        <v>0</v>
      </c>
      <c r="L19" s="1">
        <v>0</v>
      </c>
      <c r="M19" s="1">
        <v>0</v>
      </c>
      <c r="N19" s="1">
        <v>0</v>
      </c>
      <c r="O19" s="1">
        <v>0</v>
      </c>
      <c r="P19" s="1">
        <v>4</v>
      </c>
      <c r="Q19" s="1">
        <v>4</v>
      </c>
      <c r="R19" s="1">
        <v>2</v>
      </c>
      <c r="S19" s="1">
        <v>1</v>
      </c>
      <c r="T19" s="1">
        <v>1</v>
      </c>
      <c r="U19" s="1">
        <v>4</v>
      </c>
      <c r="V19" s="1">
        <v>2</v>
      </c>
      <c r="W19" s="1">
        <v>1</v>
      </c>
      <c r="X19" s="1">
        <v>4</v>
      </c>
      <c r="Y19" s="1">
        <v>4</v>
      </c>
      <c r="Z19" s="1">
        <v>4</v>
      </c>
      <c r="AA19" s="1">
        <v>4</v>
      </c>
      <c r="AC19" s="1">
        <v>2</v>
      </c>
      <c r="AE19" s="1">
        <v>6</v>
      </c>
      <c r="AF19" s="3">
        <v>5500000</v>
      </c>
      <c r="AG19" s="1">
        <v>14</v>
      </c>
      <c r="AU19" s="1" t="s">
        <v>1698</v>
      </c>
      <c r="BP19" s="1">
        <v>6</v>
      </c>
      <c r="BQ19" s="1" t="s">
        <v>1699</v>
      </c>
      <c r="BR19" s="1" t="s">
        <v>1700</v>
      </c>
      <c r="BS19" s="1" t="s">
        <v>1701</v>
      </c>
      <c r="BT19" s="1" t="s">
        <v>79</v>
      </c>
      <c r="BU19" s="1">
        <v>2</v>
      </c>
      <c r="BV19" s="1">
        <v>3</v>
      </c>
      <c r="BW19" s="1">
        <v>0</v>
      </c>
      <c r="BX19" s="1">
        <v>0</v>
      </c>
      <c r="BY19" s="1">
        <v>1</v>
      </c>
      <c r="BZ19" s="1">
        <v>0</v>
      </c>
      <c r="CA19" s="1">
        <v>0</v>
      </c>
      <c r="CB19" s="1">
        <v>0</v>
      </c>
      <c r="CC19" s="1">
        <v>0</v>
      </c>
      <c r="CD19" s="1">
        <v>0</v>
      </c>
      <c r="CE19" s="1">
        <v>0</v>
      </c>
      <c r="CF19" s="1">
        <v>0</v>
      </c>
      <c r="CG19" s="1">
        <v>0</v>
      </c>
      <c r="CH19" s="1">
        <v>0</v>
      </c>
      <c r="CI19" s="1">
        <v>0</v>
      </c>
      <c r="CJ19" s="1">
        <v>3</v>
      </c>
      <c r="CK19" s="1">
        <v>4</v>
      </c>
      <c r="CL19" s="1">
        <v>4</v>
      </c>
      <c r="CM19" s="1">
        <v>4</v>
      </c>
      <c r="CN19" s="1">
        <v>3</v>
      </c>
      <c r="CO19" s="1">
        <v>3</v>
      </c>
      <c r="CP19" s="1">
        <v>4</v>
      </c>
      <c r="CU19" s="1">
        <v>2</v>
      </c>
    </row>
    <row r="20" spans="1:99" x14ac:dyDescent="0.35">
      <c r="A20" s="1" t="s">
        <v>1702</v>
      </c>
      <c r="B20" s="1">
        <v>181111023</v>
      </c>
      <c r="C20" s="1">
        <v>1</v>
      </c>
      <c r="D20" s="1">
        <v>1</v>
      </c>
      <c r="E20" s="1">
        <v>0</v>
      </c>
      <c r="F20" s="1">
        <v>0</v>
      </c>
      <c r="G20" s="1">
        <v>0</v>
      </c>
      <c r="H20" s="1">
        <v>0</v>
      </c>
      <c r="I20" s="1">
        <v>0</v>
      </c>
      <c r="J20" s="1">
        <v>0</v>
      </c>
      <c r="K20" s="1">
        <v>0</v>
      </c>
      <c r="L20" s="1">
        <v>0</v>
      </c>
      <c r="M20" s="1">
        <v>0</v>
      </c>
      <c r="N20" s="1">
        <v>0</v>
      </c>
      <c r="O20" s="1">
        <v>0</v>
      </c>
      <c r="P20" s="1">
        <v>30</v>
      </c>
      <c r="Q20" s="1">
        <v>5</v>
      </c>
      <c r="R20" s="1">
        <v>3</v>
      </c>
      <c r="S20" s="1">
        <v>1</v>
      </c>
      <c r="T20" s="1">
        <v>1</v>
      </c>
      <c r="U20" s="1">
        <v>4</v>
      </c>
      <c r="V20" s="1">
        <v>3</v>
      </c>
      <c r="W20" s="1">
        <v>2</v>
      </c>
      <c r="X20" s="1">
        <v>4</v>
      </c>
      <c r="Y20" s="1">
        <v>3</v>
      </c>
      <c r="Z20" s="1">
        <v>4</v>
      </c>
      <c r="AA20" s="1">
        <v>4</v>
      </c>
      <c r="AC20" s="1">
        <v>1</v>
      </c>
      <c r="AD20" s="1">
        <v>6</v>
      </c>
      <c r="AF20" s="3">
        <v>4500000</v>
      </c>
      <c r="AG20" s="1">
        <v>13</v>
      </c>
      <c r="AT20" s="1" t="s">
        <v>83</v>
      </c>
      <c r="BP20" s="1">
        <v>3</v>
      </c>
      <c r="BQ20" s="1" t="s">
        <v>1703</v>
      </c>
      <c r="BR20" s="1" t="s">
        <v>1704</v>
      </c>
      <c r="BS20" s="1" t="s">
        <v>1705</v>
      </c>
      <c r="BT20" s="1" t="s">
        <v>107</v>
      </c>
      <c r="BU20" s="1">
        <v>1</v>
      </c>
      <c r="BV20" s="1">
        <v>2</v>
      </c>
      <c r="BW20" s="1">
        <v>0</v>
      </c>
      <c r="BX20" s="1">
        <v>0</v>
      </c>
      <c r="BY20" s="1">
        <v>0</v>
      </c>
      <c r="BZ20" s="1">
        <v>1</v>
      </c>
      <c r="CA20" s="1">
        <v>0</v>
      </c>
      <c r="CB20" s="1">
        <v>0</v>
      </c>
      <c r="CC20" s="1">
        <v>0</v>
      </c>
      <c r="CD20" s="1">
        <v>0</v>
      </c>
      <c r="CE20" s="1">
        <v>0</v>
      </c>
      <c r="CF20" s="1">
        <v>0</v>
      </c>
      <c r="CG20" s="1">
        <v>0</v>
      </c>
      <c r="CH20" s="1">
        <v>0</v>
      </c>
      <c r="CI20" s="1">
        <v>0</v>
      </c>
      <c r="CJ20" s="1">
        <v>4</v>
      </c>
      <c r="CK20" s="1">
        <v>4</v>
      </c>
      <c r="CL20" s="1">
        <v>2</v>
      </c>
      <c r="CM20" s="1">
        <v>4</v>
      </c>
      <c r="CN20" s="1">
        <v>4</v>
      </c>
      <c r="CO20" s="1">
        <v>4</v>
      </c>
      <c r="CP20" s="1">
        <v>3</v>
      </c>
      <c r="CU20" s="1">
        <v>4</v>
      </c>
    </row>
    <row r="21" spans="1:99" x14ac:dyDescent="0.35">
      <c r="A21" s="1" t="s">
        <v>1706</v>
      </c>
      <c r="B21" s="1">
        <v>181111025</v>
      </c>
      <c r="C21" s="1">
        <v>0</v>
      </c>
      <c r="D21" s="1">
        <v>0</v>
      </c>
      <c r="E21" s="1">
        <v>0</v>
      </c>
      <c r="F21" s="1">
        <v>0</v>
      </c>
      <c r="G21" s="1">
        <v>0</v>
      </c>
      <c r="H21" s="1">
        <v>0</v>
      </c>
      <c r="I21" s="1">
        <v>0</v>
      </c>
      <c r="J21" s="1">
        <v>0</v>
      </c>
      <c r="K21" s="1">
        <v>1</v>
      </c>
      <c r="L21" s="1">
        <v>0</v>
      </c>
      <c r="M21" s="1">
        <v>0</v>
      </c>
      <c r="N21" s="1">
        <v>0</v>
      </c>
      <c r="O21" s="1">
        <v>0</v>
      </c>
      <c r="P21" s="1">
        <v>10</v>
      </c>
      <c r="Q21" s="1">
        <v>2</v>
      </c>
      <c r="R21" s="1">
        <v>2</v>
      </c>
      <c r="S21" s="1">
        <v>1</v>
      </c>
      <c r="T21" s="1">
        <v>1</v>
      </c>
      <c r="U21" s="1">
        <v>4</v>
      </c>
      <c r="V21" s="1">
        <v>3</v>
      </c>
      <c r="W21" s="1">
        <v>1</v>
      </c>
      <c r="X21" s="1">
        <v>2</v>
      </c>
      <c r="Y21" s="1">
        <v>4</v>
      </c>
      <c r="Z21" s="1">
        <v>4</v>
      </c>
      <c r="AA21" s="1">
        <v>4</v>
      </c>
      <c r="AC21" s="1">
        <v>1</v>
      </c>
      <c r="AD21" s="1">
        <v>1</v>
      </c>
      <c r="AF21" s="3">
        <v>5500000</v>
      </c>
      <c r="AG21" s="1">
        <v>14</v>
      </c>
      <c r="AU21" s="1" t="s">
        <v>1707</v>
      </c>
      <c r="BP21" s="1">
        <v>4</v>
      </c>
      <c r="BQ21" s="1" t="s">
        <v>1708</v>
      </c>
      <c r="BR21" s="1" t="s">
        <v>1709</v>
      </c>
      <c r="BS21" s="1" t="s">
        <v>1710</v>
      </c>
      <c r="BT21" s="1" t="s">
        <v>107</v>
      </c>
      <c r="BU21" s="1">
        <v>1</v>
      </c>
      <c r="BV21" s="1">
        <v>2</v>
      </c>
      <c r="BW21" s="1">
        <v>0</v>
      </c>
      <c r="BX21" s="1">
        <v>0</v>
      </c>
      <c r="BY21" s="1">
        <v>1</v>
      </c>
      <c r="BZ21" s="1">
        <v>0</v>
      </c>
      <c r="CA21" s="1">
        <v>0</v>
      </c>
      <c r="CB21" s="1">
        <v>0</v>
      </c>
      <c r="CC21" s="1">
        <v>0</v>
      </c>
      <c r="CD21" s="1">
        <v>1</v>
      </c>
      <c r="CE21" s="1">
        <v>0</v>
      </c>
      <c r="CF21" s="1">
        <v>0</v>
      </c>
      <c r="CG21" s="1">
        <v>0</v>
      </c>
      <c r="CH21" s="1">
        <v>0</v>
      </c>
      <c r="CI21" s="1">
        <v>0</v>
      </c>
      <c r="CJ21" s="1">
        <v>4</v>
      </c>
      <c r="CK21" s="1">
        <v>4</v>
      </c>
      <c r="CL21" s="1">
        <v>2</v>
      </c>
      <c r="CM21" s="1">
        <v>4</v>
      </c>
      <c r="CN21" s="1">
        <v>3</v>
      </c>
      <c r="CO21" s="1">
        <v>4</v>
      </c>
      <c r="CP21" s="1">
        <v>4</v>
      </c>
      <c r="CU21" s="1">
        <v>1</v>
      </c>
    </row>
    <row r="22" spans="1:99" x14ac:dyDescent="0.35">
      <c r="A22" s="1" t="s">
        <v>1711</v>
      </c>
      <c r="B22" s="1">
        <v>181111026</v>
      </c>
      <c r="C22" s="1">
        <v>0</v>
      </c>
      <c r="D22" s="1">
        <v>1</v>
      </c>
      <c r="E22" s="1">
        <v>0</v>
      </c>
      <c r="F22" s="1">
        <v>0</v>
      </c>
      <c r="G22" s="1">
        <v>0</v>
      </c>
      <c r="H22" s="1">
        <v>0</v>
      </c>
      <c r="I22" s="1">
        <v>0</v>
      </c>
      <c r="J22" s="1">
        <v>1</v>
      </c>
      <c r="K22" s="1">
        <v>1</v>
      </c>
      <c r="L22" s="1">
        <v>0</v>
      </c>
      <c r="M22" s="1">
        <v>0</v>
      </c>
      <c r="N22" s="1">
        <v>0</v>
      </c>
      <c r="O22" s="1">
        <v>0</v>
      </c>
      <c r="P22" s="1">
        <v>5</v>
      </c>
      <c r="Q22" s="1">
        <v>2</v>
      </c>
      <c r="R22" s="1">
        <v>2</v>
      </c>
      <c r="S22" s="1">
        <v>1</v>
      </c>
      <c r="T22" s="1">
        <v>1</v>
      </c>
      <c r="U22" s="1">
        <v>4</v>
      </c>
      <c r="V22" s="1">
        <v>3</v>
      </c>
      <c r="W22" s="1">
        <v>3</v>
      </c>
      <c r="X22" s="1">
        <v>4</v>
      </c>
      <c r="Y22" s="1">
        <v>4</v>
      </c>
      <c r="Z22" s="1">
        <v>4</v>
      </c>
      <c r="AA22" s="1">
        <v>4</v>
      </c>
      <c r="AC22" s="1">
        <v>1</v>
      </c>
      <c r="AD22" s="1">
        <v>1</v>
      </c>
      <c r="AF22" s="3">
        <v>5000000</v>
      </c>
      <c r="AG22" s="1">
        <v>13</v>
      </c>
      <c r="AT22" s="1" t="s">
        <v>1414</v>
      </c>
      <c r="BP22" s="1">
        <v>3</v>
      </c>
      <c r="BQ22" s="1" t="s">
        <v>1712</v>
      </c>
      <c r="BR22" s="1" t="s">
        <v>1713</v>
      </c>
      <c r="BS22" s="1" t="s">
        <v>1714</v>
      </c>
      <c r="BT22" s="1" t="s">
        <v>79</v>
      </c>
      <c r="BU22" s="1">
        <v>1</v>
      </c>
      <c r="BV22" s="1">
        <v>2</v>
      </c>
      <c r="BW22" s="1">
        <v>0</v>
      </c>
      <c r="BX22" s="1">
        <v>0</v>
      </c>
      <c r="BY22" s="1">
        <v>1</v>
      </c>
      <c r="BZ22" s="1">
        <v>0</v>
      </c>
      <c r="CA22" s="1">
        <v>0</v>
      </c>
      <c r="CB22" s="1">
        <v>0</v>
      </c>
      <c r="CC22" s="1">
        <v>1</v>
      </c>
      <c r="CD22" s="1">
        <v>0</v>
      </c>
      <c r="CE22" s="1">
        <v>0</v>
      </c>
      <c r="CF22" s="1">
        <v>0</v>
      </c>
      <c r="CG22" s="1">
        <v>0</v>
      </c>
      <c r="CH22" s="1">
        <v>0</v>
      </c>
      <c r="CI22" s="1">
        <v>0</v>
      </c>
      <c r="CJ22" s="1">
        <v>4</v>
      </c>
      <c r="CK22" s="1">
        <v>3</v>
      </c>
      <c r="CL22" s="1">
        <v>3</v>
      </c>
      <c r="CM22" s="1">
        <v>4</v>
      </c>
      <c r="CN22" s="1">
        <v>4</v>
      </c>
      <c r="CO22" s="1">
        <v>4</v>
      </c>
      <c r="CP22" s="1">
        <v>4</v>
      </c>
      <c r="CU22" s="1">
        <v>4</v>
      </c>
    </row>
    <row r="23" spans="1:99" x14ac:dyDescent="0.35">
      <c r="A23" s="1" t="s">
        <v>1715</v>
      </c>
      <c r="B23" s="1">
        <v>181111027</v>
      </c>
      <c r="C23" s="1">
        <v>0</v>
      </c>
      <c r="D23" s="1">
        <v>1</v>
      </c>
      <c r="E23" s="1">
        <v>0</v>
      </c>
      <c r="F23" s="1">
        <v>0</v>
      </c>
      <c r="G23" s="1">
        <v>0</v>
      </c>
      <c r="H23" s="1">
        <v>0</v>
      </c>
      <c r="I23" s="1">
        <v>0</v>
      </c>
      <c r="J23" s="1">
        <v>0</v>
      </c>
      <c r="K23" s="1">
        <v>1</v>
      </c>
      <c r="L23" s="1">
        <v>0</v>
      </c>
      <c r="M23" s="1">
        <v>0</v>
      </c>
      <c r="N23" s="1">
        <v>0</v>
      </c>
      <c r="O23" s="1">
        <v>0</v>
      </c>
      <c r="P23" s="1">
        <v>5</v>
      </c>
      <c r="Q23" s="1">
        <v>3</v>
      </c>
      <c r="R23" s="1">
        <v>2</v>
      </c>
      <c r="S23" s="1">
        <v>1</v>
      </c>
      <c r="T23" s="1">
        <v>1</v>
      </c>
      <c r="U23" s="1">
        <v>4</v>
      </c>
      <c r="V23" s="1">
        <v>3</v>
      </c>
      <c r="W23" s="1">
        <v>3</v>
      </c>
      <c r="X23" s="1">
        <v>3</v>
      </c>
      <c r="Y23" s="1">
        <v>3</v>
      </c>
      <c r="Z23" s="1">
        <v>3</v>
      </c>
      <c r="AA23" s="1">
        <v>3</v>
      </c>
      <c r="AC23" s="1">
        <v>1</v>
      </c>
      <c r="AD23" s="1">
        <v>4</v>
      </c>
      <c r="AE23" s="1">
        <v>4</v>
      </c>
      <c r="AF23" s="3">
        <v>3000000</v>
      </c>
      <c r="AG23" s="1">
        <v>13</v>
      </c>
      <c r="AT23" s="1" t="s">
        <v>209</v>
      </c>
      <c r="BP23" s="1">
        <v>3</v>
      </c>
      <c r="BQ23" s="1" t="s">
        <v>1716</v>
      </c>
      <c r="BR23" s="1" t="s">
        <v>1717</v>
      </c>
      <c r="BT23" s="1" t="s">
        <v>107</v>
      </c>
      <c r="BU23" s="1">
        <v>1</v>
      </c>
      <c r="BV23" s="1">
        <v>2</v>
      </c>
      <c r="BW23" s="1">
        <v>1</v>
      </c>
      <c r="BX23" s="1">
        <v>0</v>
      </c>
      <c r="BY23" s="1">
        <v>0</v>
      </c>
      <c r="BZ23" s="1">
        <v>0</v>
      </c>
      <c r="CA23" s="1">
        <v>0</v>
      </c>
      <c r="CB23" s="1">
        <v>0</v>
      </c>
      <c r="CC23" s="1">
        <v>0</v>
      </c>
      <c r="CD23" s="1">
        <v>0</v>
      </c>
      <c r="CE23" s="1">
        <v>0</v>
      </c>
      <c r="CF23" s="1">
        <v>0</v>
      </c>
      <c r="CG23" s="1">
        <v>0</v>
      </c>
      <c r="CH23" s="1">
        <v>0</v>
      </c>
      <c r="CI23" s="1">
        <v>0</v>
      </c>
      <c r="CJ23" s="1">
        <v>3</v>
      </c>
      <c r="CK23" s="1">
        <v>3</v>
      </c>
      <c r="CL23" s="1">
        <v>2</v>
      </c>
      <c r="CM23" s="1">
        <v>2</v>
      </c>
      <c r="CN23" s="1">
        <v>3</v>
      </c>
      <c r="CO23" s="1">
        <v>3</v>
      </c>
      <c r="CP23" s="1">
        <v>3</v>
      </c>
      <c r="CU23" s="1">
        <v>1</v>
      </c>
    </row>
    <row r="24" spans="1:99" x14ac:dyDescent="0.35">
      <c r="A24" s="1" t="s">
        <v>1718</v>
      </c>
      <c r="B24" s="1">
        <v>181111028</v>
      </c>
      <c r="C24" s="1">
        <v>0</v>
      </c>
      <c r="D24" s="1">
        <v>0</v>
      </c>
      <c r="E24" s="1">
        <v>0</v>
      </c>
      <c r="F24" s="1">
        <v>0</v>
      </c>
      <c r="G24" s="1">
        <v>0</v>
      </c>
      <c r="H24" s="1">
        <v>0</v>
      </c>
      <c r="I24" s="1">
        <v>0</v>
      </c>
      <c r="J24" s="1">
        <v>0</v>
      </c>
      <c r="K24" s="1">
        <v>1</v>
      </c>
      <c r="L24" s="1">
        <v>0</v>
      </c>
      <c r="M24" s="1">
        <v>0</v>
      </c>
      <c r="N24" s="1">
        <v>0</v>
      </c>
      <c r="O24" s="1">
        <v>0</v>
      </c>
      <c r="P24" s="1">
        <v>4</v>
      </c>
      <c r="Q24" s="1">
        <v>3</v>
      </c>
      <c r="R24" s="1">
        <v>2</v>
      </c>
      <c r="S24" s="1">
        <v>1</v>
      </c>
      <c r="T24" s="1">
        <v>1</v>
      </c>
      <c r="U24" s="1">
        <v>4</v>
      </c>
      <c r="V24" s="1">
        <v>3</v>
      </c>
      <c r="W24" s="1">
        <v>3</v>
      </c>
      <c r="X24" s="1">
        <v>3</v>
      </c>
      <c r="Y24" s="1">
        <v>3</v>
      </c>
      <c r="Z24" s="1">
        <v>3</v>
      </c>
      <c r="AA24" s="1">
        <v>3</v>
      </c>
      <c r="AC24" s="1">
        <v>2</v>
      </c>
      <c r="AE24" s="1">
        <v>8</v>
      </c>
      <c r="AF24" s="3">
        <v>4750000</v>
      </c>
      <c r="AG24" s="1">
        <v>11</v>
      </c>
      <c r="AR24" s="1" t="s">
        <v>239</v>
      </c>
      <c r="BP24" s="1">
        <v>3</v>
      </c>
      <c r="BQ24" s="1" t="s">
        <v>1719</v>
      </c>
      <c r="BR24" s="1" t="s">
        <v>1720</v>
      </c>
      <c r="BS24" s="1" t="s">
        <v>1721</v>
      </c>
      <c r="BT24" s="1" t="s">
        <v>73</v>
      </c>
      <c r="BU24" s="1">
        <v>3</v>
      </c>
      <c r="BV24" s="1">
        <v>2</v>
      </c>
      <c r="BW24" s="1">
        <v>1</v>
      </c>
      <c r="BX24" s="1">
        <v>0</v>
      </c>
      <c r="BY24" s="1">
        <v>0</v>
      </c>
      <c r="BZ24" s="1">
        <v>0</v>
      </c>
      <c r="CA24" s="1">
        <v>0</v>
      </c>
      <c r="CB24" s="1">
        <v>0</v>
      </c>
      <c r="CC24" s="1">
        <v>0</v>
      </c>
      <c r="CD24" s="1">
        <v>0</v>
      </c>
      <c r="CE24" s="1">
        <v>0</v>
      </c>
      <c r="CF24" s="1">
        <v>0</v>
      </c>
      <c r="CG24" s="1">
        <v>0</v>
      </c>
      <c r="CH24" s="1">
        <v>0</v>
      </c>
      <c r="CI24" s="1">
        <v>0</v>
      </c>
      <c r="CJ24" s="1">
        <v>4</v>
      </c>
      <c r="CK24" s="1">
        <v>4</v>
      </c>
      <c r="CL24" s="1">
        <v>4</v>
      </c>
      <c r="CM24" s="1">
        <v>4</v>
      </c>
      <c r="CN24" s="1">
        <v>4</v>
      </c>
      <c r="CO24" s="1">
        <v>4</v>
      </c>
      <c r="CP24" s="1">
        <v>4</v>
      </c>
      <c r="CU24" s="1">
        <v>1</v>
      </c>
    </row>
    <row r="25" spans="1:99" x14ac:dyDescent="0.35">
      <c r="A25" s="1" t="s">
        <v>1722</v>
      </c>
      <c r="B25" s="1">
        <v>181111030</v>
      </c>
      <c r="C25" s="1">
        <v>1</v>
      </c>
      <c r="D25" s="1">
        <v>1</v>
      </c>
      <c r="E25" s="1">
        <v>0</v>
      </c>
      <c r="F25" s="1">
        <v>0</v>
      </c>
      <c r="G25" s="1">
        <v>0</v>
      </c>
      <c r="H25" s="1">
        <v>0</v>
      </c>
      <c r="I25" s="1">
        <v>0</v>
      </c>
      <c r="J25" s="1">
        <v>0</v>
      </c>
      <c r="K25" s="1">
        <v>1</v>
      </c>
      <c r="L25" s="1">
        <v>0</v>
      </c>
      <c r="M25" s="1">
        <v>0</v>
      </c>
      <c r="N25" s="1">
        <v>0</v>
      </c>
      <c r="O25" s="1">
        <v>0</v>
      </c>
      <c r="P25" s="1">
        <v>10</v>
      </c>
      <c r="Q25" s="1">
        <v>2</v>
      </c>
      <c r="R25" s="1">
        <v>2</v>
      </c>
      <c r="S25" s="1">
        <v>4</v>
      </c>
      <c r="T25" s="1">
        <v>1</v>
      </c>
      <c r="U25" s="1">
        <v>4</v>
      </c>
      <c r="V25" s="1">
        <v>3</v>
      </c>
      <c r="W25" s="1">
        <v>3</v>
      </c>
      <c r="X25" s="1">
        <v>4</v>
      </c>
      <c r="Y25" s="1">
        <v>4</v>
      </c>
      <c r="Z25" s="1">
        <v>4</v>
      </c>
      <c r="AA25" s="1">
        <v>4</v>
      </c>
      <c r="CQ25" s="1">
        <v>1</v>
      </c>
      <c r="CR25" s="1" t="s">
        <v>205</v>
      </c>
      <c r="CS25" s="1" t="s">
        <v>1723</v>
      </c>
      <c r="CT25" s="5">
        <v>44802</v>
      </c>
      <c r="CU25" s="1">
        <v>1</v>
      </c>
    </row>
    <row r="26" spans="1:99" x14ac:dyDescent="0.35">
      <c r="A26" s="1" t="s">
        <v>1724</v>
      </c>
      <c r="B26" s="1">
        <v>181111031</v>
      </c>
      <c r="C26" s="1">
        <v>0</v>
      </c>
      <c r="D26" s="1">
        <v>0</v>
      </c>
      <c r="E26" s="1">
        <v>0</v>
      </c>
      <c r="F26" s="1">
        <v>0</v>
      </c>
      <c r="G26" s="1">
        <v>0</v>
      </c>
      <c r="H26" s="1">
        <v>0</v>
      </c>
      <c r="I26" s="1">
        <v>0</v>
      </c>
      <c r="J26" s="1">
        <v>0</v>
      </c>
      <c r="K26" s="1">
        <v>1</v>
      </c>
      <c r="L26" s="1">
        <v>0</v>
      </c>
      <c r="M26" s="1">
        <v>0</v>
      </c>
      <c r="N26" s="1">
        <v>0</v>
      </c>
      <c r="O26" s="1">
        <v>0</v>
      </c>
      <c r="P26" s="1" t="s">
        <v>78</v>
      </c>
      <c r="Q26" s="1" t="s">
        <v>1725</v>
      </c>
      <c r="R26" s="1" t="s">
        <v>1725</v>
      </c>
      <c r="S26" s="1">
        <v>1</v>
      </c>
      <c r="T26" s="1">
        <v>1</v>
      </c>
      <c r="U26" s="1">
        <v>3</v>
      </c>
      <c r="V26" s="1">
        <v>3</v>
      </c>
      <c r="W26" s="1">
        <v>3</v>
      </c>
      <c r="X26" s="1">
        <v>3</v>
      </c>
      <c r="Y26" s="1">
        <v>3</v>
      </c>
      <c r="Z26" s="1">
        <v>3</v>
      </c>
      <c r="AA26" s="1">
        <v>4</v>
      </c>
      <c r="AC26" s="1">
        <v>1</v>
      </c>
      <c r="AD26" s="1">
        <v>0</v>
      </c>
      <c r="AE26" s="1">
        <v>1</v>
      </c>
      <c r="AF26" s="3">
        <v>4500000</v>
      </c>
      <c r="AG26" s="1">
        <v>11</v>
      </c>
      <c r="AR26" s="1" t="s">
        <v>239</v>
      </c>
      <c r="BP26" s="1">
        <v>3</v>
      </c>
      <c r="BQ26" s="1" t="s">
        <v>1726</v>
      </c>
      <c r="BR26" s="1" t="s">
        <v>1727</v>
      </c>
      <c r="BS26" s="1" t="s">
        <v>1728</v>
      </c>
      <c r="BT26" s="1" t="s">
        <v>73</v>
      </c>
      <c r="BU26" s="1">
        <v>2</v>
      </c>
      <c r="BV26" s="1">
        <v>2</v>
      </c>
      <c r="BW26" s="1">
        <v>1</v>
      </c>
      <c r="BX26" s="1">
        <v>0</v>
      </c>
      <c r="BY26" s="1">
        <v>0</v>
      </c>
      <c r="BZ26" s="1">
        <v>0</v>
      </c>
      <c r="CA26" s="1">
        <v>0</v>
      </c>
      <c r="CB26" s="1">
        <v>0</v>
      </c>
      <c r="CC26" s="1">
        <v>0</v>
      </c>
      <c r="CD26" s="1">
        <v>0</v>
      </c>
      <c r="CE26" s="1">
        <v>0</v>
      </c>
      <c r="CF26" s="1">
        <v>0</v>
      </c>
      <c r="CG26" s="1">
        <v>0</v>
      </c>
      <c r="CH26" s="1">
        <v>0</v>
      </c>
      <c r="CI26" s="1">
        <v>0</v>
      </c>
      <c r="CJ26" s="1">
        <v>3</v>
      </c>
      <c r="CK26" s="1">
        <v>3</v>
      </c>
      <c r="CL26" s="1">
        <v>3</v>
      </c>
      <c r="CM26" s="1">
        <v>3</v>
      </c>
      <c r="CN26" s="1">
        <v>3</v>
      </c>
      <c r="CO26" s="1">
        <v>3</v>
      </c>
      <c r="CP26" s="1">
        <v>3</v>
      </c>
      <c r="CU26" s="1">
        <v>1</v>
      </c>
    </row>
    <row r="27" spans="1:99" x14ac:dyDescent="0.35">
      <c r="A27" s="1" t="s">
        <v>1729</v>
      </c>
      <c r="B27" s="1">
        <v>181111033</v>
      </c>
      <c r="S27" s="1">
        <v>2</v>
      </c>
      <c r="T27" s="1">
        <v>1</v>
      </c>
      <c r="U27" s="1">
        <v>3</v>
      </c>
      <c r="V27" s="1">
        <v>3</v>
      </c>
      <c r="W27" s="1">
        <v>3</v>
      </c>
      <c r="X27" s="1">
        <v>3</v>
      </c>
      <c r="Y27" s="1">
        <v>3</v>
      </c>
      <c r="Z27" s="1">
        <v>3</v>
      </c>
      <c r="AA27" s="1">
        <v>3</v>
      </c>
      <c r="CU27" s="1">
        <v>1</v>
      </c>
    </row>
    <row r="28" spans="1:99" x14ac:dyDescent="0.35">
      <c r="A28" s="1" t="s">
        <v>1730</v>
      </c>
      <c r="B28" s="1">
        <v>181111034</v>
      </c>
      <c r="C28" s="1">
        <v>0</v>
      </c>
      <c r="D28" s="1">
        <v>1</v>
      </c>
      <c r="E28" s="1">
        <v>0</v>
      </c>
      <c r="F28" s="1">
        <v>0</v>
      </c>
      <c r="G28" s="1">
        <v>0</v>
      </c>
      <c r="H28" s="1">
        <v>0</v>
      </c>
      <c r="I28" s="1">
        <v>0</v>
      </c>
      <c r="J28" s="1">
        <v>0</v>
      </c>
      <c r="K28" s="1">
        <v>1</v>
      </c>
      <c r="L28" s="1">
        <v>0</v>
      </c>
      <c r="M28" s="1">
        <v>0</v>
      </c>
      <c r="N28" s="1">
        <v>0</v>
      </c>
      <c r="O28" s="1">
        <v>0</v>
      </c>
      <c r="P28" s="1">
        <v>3</v>
      </c>
      <c r="Q28" s="1">
        <v>2</v>
      </c>
      <c r="R28" s="1">
        <v>2</v>
      </c>
      <c r="S28" s="1">
        <v>1</v>
      </c>
      <c r="T28" s="1">
        <v>1</v>
      </c>
      <c r="U28" s="1">
        <v>3</v>
      </c>
      <c r="V28" s="1">
        <v>3</v>
      </c>
      <c r="W28" s="1">
        <v>3</v>
      </c>
      <c r="X28" s="1">
        <v>3</v>
      </c>
      <c r="Y28" s="1">
        <v>3</v>
      </c>
      <c r="Z28" s="1">
        <v>3</v>
      </c>
      <c r="AA28" s="1">
        <v>3</v>
      </c>
      <c r="AC28" s="1">
        <v>1</v>
      </c>
      <c r="AD28" s="1">
        <v>5</v>
      </c>
      <c r="AE28" s="1">
        <v>5</v>
      </c>
      <c r="AF28" s="3">
        <v>4500000</v>
      </c>
      <c r="AG28" s="1">
        <v>11</v>
      </c>
      <c r="AR28" s="1" t="s">
        <v>222</v>
      </c>
      <c r="BP28" s="1">
        <v>3</v>
      </c>
      <c r="BQ28" s="1" t="s">
        <v>1731</v>
      </c>
      <c r="BR28" s="1" t="s">
        <v>1732</v>
      </c>
      <c r="BT28" s="1" t="s">
        <v>79</v>
      </c>
      <c r="BU28" s="1">
        <v>1</v>
      </c>
      <c r="BV28" s="1">
        <v>2</v>
      </c>
      <c r="BW28" s="1">
        <v>1</v>
      </c>
      <c r="BX28" s="1">
        <v>0</v>
      </c>
      <c r="BY28" s="1">
        <v>0</v>
      </c>
      <c r="BZ28" s="1">
        <v>0</v>
      </c>
      <c r="CA28" s="1">
        <v>0</v>
      </c>
      <c r="CB28" s="1">
        <v>0</v>
      </c>
      <c r="CC28" s="1">
        <v>0</v>
      </c>
      <c r="CD28" s="1">
        <v>0</v>
      </c>
      <c r="CE28" s="1">
        <v>0</v>
      </c>
      <c r="CF28" s="1">
        <v>0</v>
      </c>
      <c r="CG28" s="1">
        <v>0</v>
      </c>
      <c r="CH28" s="1">
        <v>0</v>
      </c>
      <c r="CI28" s="1">
        <v>0</v>
      </c>
      <c r="CJ28" s="1">
        <v>4</v>
      </c>
      <c r="CK28" s="1">
        <v>4</v>
      </c>
      <c r="CL28" s="1">
        <v>4</v>
      </c>
      <c r="CM28" s="1">
        <v>4</v>
      </c>
      <c r="CN28" s="1">
        <v>4</v>
      </c>
      <c r="CO28" s="1">
        <v>4</v>
      </c>
      <c r="CP28" s="1">
        <v>4</v>
      </c>
      <c r="CU28" s="1">
        <v>1</v>
      </c>
    </row>
    <row r="29" spans="1:99" x14ac:dyDescent="0.35">
      <c r="A29" s="1" t="s">
        <v>1733</v>
      </c>
      <c r="B29" s="1">
        <v>181111035</v>
      </c>
      <c r="C29" s="1">
        <v>0</v>
      </c>
      <c r="D29" s="1">
        <v>1</v>
      </c>
      <c r="E29" s="1">
        <v>0</v>
      </c>
      <c r="F29" s="1">
        <v>0</v>
      </c>
      <c r="G29" s="1">
        <v>0</v>
      </c>
      <c r="H29" s="1">
        <v>0</v>
      </c>
      <c r="I29" s="1">
        <v>0</v>
      </c>
      <c r="J29" s="1">
        <v>0</v>
      </c>
      <c r="K29" s="1">
        <v>1</v>
      </c>
      <c r="L29" s="1">
        <v>0</v>
      </c>
      <c r="M29" s="1">
        <v>0</v>
      </c>
      <c r="N29" s="1">
        <v>0</v>
      </c>
      <c r="O29" s="1">
        <v>0</v>
      </c>
      <c r="P29" s="1">
        <v>30</v>
      </c>
      <c r="Q29" s="1">
        <v>5</v>
      </c>
      <c r="R29" s="1">
        <v>2</v>
      </c>
      <c r="S29" s="1">
        <v>1</v>
      </c>
      <c r="T29" s="1">
        <v>3</v>
      </c>
      <c r="U29" s="1">
        <v>4</v>
      </c>
      <c r="V29" s="1">
        <v>2</v>
      </c>
      <c r="W29" s="1">
        <v>4</v>
      </c>
      <c r="X29" s="1">
        <v>4</v>
      </c>
      <c r="Y29" s="1">
        <v>4</v>
      </c>
      <c r="Z29" s="1">
        <v>3</v>
      </c>
      <c r="AA29" s="1">
        <v>3</v>
      </c>
      <c r="AC29" s="1">
        <v>2</v>
      </c>
      <c r="AE29" s="1">
        <v>6</v>
      </c>
      <c r="AF29" s="3">
        <v>3500000</v>
      </c>
      <c r="AG29" s="1">
        <v>11</v>
      </c>
      <c r="AR29" s="1" t="s">
        <v>118</v>
      </c>
      <c r="BP29" s="1">
        <v>3</v>
      </c>
      <c r="BQ29" s="1" t="s">
        <v>1734</v>
      </c>
      <c r="BR29" s="1" t="s">
        <v>1735</v>
      </c>
      <c r="BS29" s="1" t="s">
        <v>1736</v>
      </c>
      <c r="BT29" s="1" t="s">
        <v>79</v>
      </c>
      <c r="BU29" s="1">
        <v>3</v>
      </c>
      <c r="BV29" s="1">
        <v>2</v>
      </c>
      <c r="BW29" s="1">
        <v>0</v>
      </c>
      <c r="BX29" s="1">
        <v>1</v>
      </c>
      <c r="BY29" s="1">
        <v>0</v>
      </c>
      <c r="BZ29" s="1">
        <v>0</v>
      </c>
      <c r="CA29" s="1">
        <v>0</v>
      </c>
      <c r="CB29" s="1">
        <v>0</v>
      </c>
      <c r="CC29" s="1">
        <v>0</v>
      </c>
      <c r="CD29" s="1">
        <v>0</v>
      </c>
      <c r="CE29" s="1">
        <v>0</v>
      </c>
      <c r="CF29" s="1">
        <v>0</v>
      </c>
      <c r="CG29" s="1">
        <v>0</v>
      </c>
      <c r="CH29" s="1">
        <v>0</v>
      </c>
      <c r="CI29" s="1">
        <v>0</v>
      </c>
      <c r="CJ29" s="1">
        <v>3</v>
      </c>
      <c r="CK29" s="1">
        <v>3</v>
      </c>
      <c r="CL29" s="1">
        <v>3</v>
      </c>
      <c r="CM29" s="1">
        <v>4</v>
      </c>
      <c r="CN29" s="1">
        <v>4</v>
      </c>
      <c r="CO29" s="1">
        <v>4</v>
      </c>
      <c r="CP29" s="1">
        <v>3</v>
      </c>
      <c r="CU29" s="1">
        <v>1</v>
      </c>
    </row>
    <row r="30" spans="1:99" x14ac:dyDescent="0.35">
      <c r="A30" s="1" t="s">
        <v>1737</v>
      </c>
      <c r="B30" s="1">
        <v>181111036</v>
      </c>
      <c r="C30" s="1">
        <v>1</v>
      </c>
      <c r="D30" s="1">
        <v>1</v>
      </c>
      <c r="E30" s="1">
        <v>0</v>
      </c>
      <c r="F30" s="1">
        <v>0</v>
      </c>
      <c r="G30" s="1">
        <v>0</v>
      </c>
      <c r="H30" s="1">
        <v>1</v>
      </c>
      <c r="I30" s="1">
        <v>1</v>
      </c>
      <c r="J30" s="1">
        <v>1</v>
      </c>
      <c r="K30" s="1">
        <v>0</v>
      </c>
      <c r="L30" s="1">
        <v>0</v>
      </c>
      <c r="M30" s="1">
        <v>0</v>
      </c>
      <c r="N30" s="1">
        <v>0</v>
      </c>
      <c r="O30" s="1">
        <v>0</v>
      </c>
      <c r="P30" s="1">
        <v>34</v>
      </c>
      <c r="Q30" s="1">
        <v>6</v>
      </c>
      <c r="R30" s="1">
        <v>2</v>
      </c>
      <c r="S30" s="1">
        <v>1</v>
      </c>
      <c r="T30" s="1">
        <v>1</v>
      </c>
      <c r="U30" s="1">
        <v>4</v>
      </c>
      <c r="V30" s="1">
        <v>3</v>
      </c>
      <c r="W30" s="1">
        <v>3</v>
      </c>
      <c r="X30" s="1">
        <v>3</v>
      </c>
      <c r="Y30" s="1">
        <v>3</v>
      </c>
      <c r="Z30" s="1">
        <v>4</v>
      </c>
      <c r="AA30" s="1">
        <v>4</v>
      </c>
      <c r="AC30" s="1">
        <v>1</v>
      </c>
      <c r="AD30" s="1">
        <v>1</v>
      </c>
      <c r="AE30" s="1">
        <v>1</v>
      </c>
      <c r="AF30" s="3">
        <v>2760000</v>
      </c>
      <c r="AG30" s="1">
        <v>13</v>
      </c>
      <c r="AT30" s="1" t="s">
        <v>86</v>
      </c>
      <c r="BP30" s="1">
        <v>3</v>
      </c>
      <c r="BQ30" s="1" t="s">
        <v>1738</v>
      </c>
      <c r="BR30" s="1" t="s">
        <v>1739</v>
      </c>
      <c r="BT30" s="1" t="s">
        <v>79</v>
      </c>
      <c r="BU30" s="1">
        <v>1</v>
      </c>
      <c r="BV30" s="1">
        <v>2</v>
      </c>
      <c r="BW30" s="1">
        <v>1</v>
      </c>
      <c r="BX30" s="1">
        <v>0</v>
      </c>
      <c r="BY30" s="1">
        <v>0</v>
      </c>
      <c r="BZ30" s="1">
        <v>0</v>
      </c>
      <c r="CA30" s="1">
        <v>0</v>
      </c>
      <c r="CB30" s="1">
        <v>0</v>
      </c>
      <c r="CC30" s="1">
        <v>0</v>
      </c>
      <c r="CD30" s="1">
        <v>0</v>
      </c>
      <c r="CE30" s="1">
        <v>0</v>
      </c>
      <c r="CF30" s="1">
        <v>0</v>
      </c>
      <c r="CG30" s="1">
        <v>0</v>
      </c>
      <c r="CH30" s="1">
        <v>0</v>
      </c>
      <c r="CI30" s="1">
        <v>0</v>
      </c>
      <c r="CJ30" s="1">
        <v>4</v>
      </c>
      <c r="CK30" s="1">
        <v>4</v>
      </c>
      <c r="CL30" s="1">
        <v>4</v>
      </c>
      <c r="CM30" s="1">
        <v>4</v>
      </c>
      <c r="CN30" s="1">
        <v>4</v>
      </c>
      <c r="CO30" s="1">
        <v>4</v>
      </c>
      <c r="CP30" s="1">
        <v>4</v>
      </c>
      <c r="CU30" s="1">
        <v>4</v>
      </c>
    </row>
    <row r="31" spans="1:99" x14ac:dyDescent="0.35">
      <c r="A31" s="1" t="s">
        <v>1740</v>
      </c>
      <c r="B31" s="1">
        <v>181111037</v>
      </c>
      <c r="C31" s="1">
        <v>1</v>
      </c>
      <c r="D31" s="1">
        <v>1</v>
      </c>
      <c r="E31" s="1">
        <v>1</v>
      </c>
      <c r="F31" s="1">
        <v>0</v>
      </c>
      <c r="G31" s="1">
        <v>0</v>
      </c>
      <c r="H31" s="1">
        <v>1</v>
      </c>
      <c r="I31" s="1">
        <v>1</v>
      </c>
      <c r="J31" s="1">
        <v>1</v>
      </c>
      <c r="K31" s="1">
        <v>1</v>
      </c>
      <c r="L31" s="1">
        <v>0</v>
      </c>
      <c r="M31" s="1">
        <v>0</v>
      </c>
      <c r="N31" s="1">
        <v>0</v>
      </c>
      <c r="O31" s="1">
        <v>0</v>
      </c>
      <c r="P31" s="1" t="s">
        <v>117</v>
      </c>
      <c r="Q31" s="1" t="s">
        <v>117</v>
      </c>
      <c r="R31" s="1" t="s">
        <v>117</v>
      </c>
      <c r="S31" s="1">
        <v>1</v>
      </c>
      <c r="T31" s="1">
        <v>1</v>
      </c>
      <c r="U31" s="1">
        <v>3</v>
      </c>
      <c r="V31" s="1">
        <v>3</v>
      </c>
      <c r="W31" s="1">
        <v>3</v>
      </c>
      <c r="X31" s="1">
        <v>4</v>
      </c>
      <c r="Y31" s="1">
        <v>3</v>
      </c>
      <c r="Z31" s="1">
        <v>4</v>
      </c>
      <c r="AA31" s="1">
        <v>4</v>
      </c>
      <c r="AC31" s="1">
        <v>1</v>
      </c>
      <c r="AD31" s="1">
        <v>1</v>
      </c>
      <c r="AF31" s="3">
        <v>4000000</v>
      </c>
      <c r="AG31" s="1">
        <v>13</v>
      </c>
      <c r="AT31" s="1" t="s">
        <v>83</v>
      </c>
      <c r="BP31" s="1">
        <v>1</v>
      </c>
      <c r="BQ31" s="1" t="s">
        <v>1741</v>
      </c>
      <c r="BT31" s="1" t="s">
        <v>79</v>
      </c>
      <c r="BU31" s="1">
        <v>3</v>
      </c>
      <c r="BV31" s="1">
        <v>2</v>
      </c>
      <c r="BW31" s="1">
        <v>0</v>
      </c>
      <c r="BX31" s="1">
        <v>0</v>
      </c>
      <c r="BY31" s="1">
        <v>1</v>
      </c>
      <c r="BZ31" s="1">
        <v>1</v>
      </c>
      <c r="CA31" s="1">
        <v>1</v>
      </c>
      <c r="CB31" s="1">
        <v>0</v>
      </c>
      <c r="CC31" s="1">
        <v>0</v>
      </c>
      <c r="CD31" s="1">
        <v>1</v>
      </c>
      <c r="CE31" s="1">
        <v>1</v>
      </c>
      <c r="CF31" s="1">
        <v>0</v>
      </c>
      <c r="CG31" s="1">
        <v>0</v>
      </c>
      <c r="CH31" s="1">
        <v>0</v>
      </c>
      <c r="CI31" s="1">
        <v>0</v>
      </c>
      <c r="CJ31" s="1">
        <v>4</v>
      </c>
      <c r="CK31" s="1">
        <v>4</v>
      </c>
      <c r="CL31" s="1">
        <v>4</v>
      </c>
      <c r="CM31" s="1">
        <v>4</v>
      </c>
      <c r="CN31" s="1">
        <v>4</v>
      </c>
      <c r="CO31" s="1">
        <v>4</v>
      </c>
      <c r="CP31" s="1">
        <v>4</v>
      </c>
      <c r="CU31" s="1">
        <v>1</v>
      </c>
    </row>
    <row r="32" spans="1:99" x14ac:dyDescent="0.35">
      <c r="A32" s="1" t="s">
        <v>1742</v>
      </c>
      <c r="B32" s="1">
        <v>181111040</v>
      </c>
      <c r="C32" s="1">
        <v>0</v>
      </c>
      <c r="D32" s="1">
        <v>1</v>
      </c>
      <c r="E32" s="1">
        <v>0</v>
      </c>
      <c r="F32" s="1">
        <v>0</v>
      </c>
      <c r="G32" s="1">
        <v>0</v>
      </c>
      <c r="H32" s="1">
        <v>0</v>
      </c>
      <c r="I32" s="1">
        <v>0</v>
      </c>
      <c r="J32" s="1">
        <v>0</v>
      </c>
      <c r="K32" s="1">
        <v>0</v>
      </c>
      <c r="L32" s="1">
        <v>0</v>
      </c>
      <c r="M32" s="1">
        <v>0</v>
      </c>
      <c r="N32" s="1">
        <v>0</v>
      </c>
      <c r="O32" s="1">
        <v>0</v>
      </c>
      <c r="P32" s="1">
        <v>7</v>
      </c>
      <c r="Q32" s="1">
        <v>5</v>
      </c>
      <c r="R32" s="1">
        <v>0</v>
      </c>
      <c r="S32" s="1">
        <v>5</v>
      </c>
      <c r="T32" s="1">
        <v>1</v>
      </c>
      <c r="U32" s="1">
        <v>4</v>
      </c>
      <c r="V32" s="1">
        <v>3</v>
      </c>
      <c r="W32" s="1">
        <v>2</v>
      </c>
      <c r="X32" s="1">
        <v>4</v>
      </c>
      <c r="Y32" s="1">
        <v>3</v>
      </c>
      <c r="Z32" s="1">
        <v>4</v>
      </c>
      <c r="AA32" s="1">
        <v>4</v>
      </c>
      <c r="CU32" s="1">
        <v>4</v>
      </c>
    </row>
    <row r="33" spans="1:99" x14ac:dyDescent="0.35">
      <c r="A33" s="1" t="s">
        <v>1743</v>
      </c>
      <c r="B33" s="1">
        <v>181111041</v>
      </c>
      <c r="C33" s="1">
        <v>0</v>
      </c>
      <c r="D33" s="1">
        <v>1</v>
      </c>
      <c r="E33" s="1">
        <v>0</v>
      </c>
      <c r="F33" s="1">
        <v>0</v>
      </c>
      <c r="G33" s="1">
        <v>0</v>
      </c>
      <c r="H33" s="1">
        <v>0</v>
      </c>
      <c r="I33" s="1">
        <v>0</v>
      </c>
      <c r="J33" s="1">
        <v>1</v>
      </c>
      <c r="K33" s="1">
        <v>1</v>
      </c>
      <c r="L33" s="1">
        <v>0</v>
      </c>
      <c r="M33" s="1">
        <v>0</v>
      </c>
      <c r="N33" s="1">
        <v>0</v>
      </c>
      <c r="O33" s="1">
        <v>0</v>
      </c>
      <c r="P33" s="1">
        <v>5</v>
      </c>
      <c r="Q33" s="1">
        <v>3</v>
      </c>
      <c r="R33" s="1">
        <v>2</v>
      </c>
      <c r="S33" s="1">
        <v>1</v>
      </c>
      <c r="T33" s="1">
        <v>1</v>
      </c>
      <c r="U33" s="1">
        <v>4</v>
      </c>
      <c r="V33" s="1">
        <v>3</v>
      </c>
      <c r="W33" s="1">
        <v>2</v>
      </c>
      <c r="X33" s="1">
        <v>3</v>
      </c>
      <c r="Y33" s="1">
        <v>4</v>
      </c>
      <c r="Z33" s="1">
        <v>4</v>
      </c>
      <c r="AA33" s="1">
        <v>4</v>
      </c>
      <c r="AC33" s="1">
        <v>1</v>
      </c>
      <c r="AD33" s="1">
        <v>1</v>
      </c>
      <c r="AF33" s="3">
        <v>4000000</v>
      </c>
      <c r="AG33" s="1">
        <v>2</v>
      </c>
      <c r="AI33" s="1">
        <v>28</v>
      </c>
      <c r="BP33" s="1">
        <v>6</v>
      </c>
      <c r="BQ33" s="1" t="s">
        <v>1744</v>
      </c>
      <c r="BR33" s="1" t="s">
        <v>1745</v>
      </c>
      <c r="BT33" s="1" t="s">
        <v>79</v>
      </c>
      <c r="BU33" s="1">
        <v>1</v>
      </c>
      <c r="BV33" s="1">
        <v>2</v>
      </c>
      <c r="BW33" s="1">
        <v>0</v>
      </c>
      <c r="BX33" s="1">
        <v>0</v>
      </c>
      <c r="BY33" s="1">
        <v>0</v>
      </c>
      <c r="BZ33" s="1">
        <v>0</v>
      </c>
      <c r="CA33" s="1">
        <v>0</v>
      </c>
      <c r="CB33" s="1">
        <v>0</v>
      </c>
      <c r="CC33" s="1">
        <v>0</v>
      </c>
      <c r="CD33" s="1">
        <v>0</v>
      </c>
      <c r="CE33" s="1">
        <v>0</v>
      </c>
      <c r="CF33" s="1">
        <v>0</v>
      </c>
      <c r="CG33" s="1">
        <v>0</v>
      </c>
      <c r="CH33" s="1">
        <v>0</v>
      </c>
      <c r="CI33" s="1" t="s">
        <v>1746</v>
      </c>
      <c r="CJ33" s="1">
        <v>4</v>
      </c>
      <c r="CK33" s="1">
        <v>4</v>
      </c>
      <c r="CL33" s="1">
        <v>2</v>
      </c>
      <c r="CM33" s="1">
        <v>4</v>
      </c>
      <c r="CN33" s="1">
        <v>4</v>
      </c>
      <c r="CO33" s="1">
        <v>4</v>
      </c>
      <c r="CP33" s="1">
        <v>4</v>
      </c>
      <c r="CU33" s="1">
        <v>1</v>
      </c>
    </row>
    <row r="34" spans="1:99" x14ac:dyDescent="0.35">
      <c r="A34" s="1" t="s">
        <v>1747</v>
      </c>
      <c r="B34" s="1">
        <v>181111042</v>
      </c>
      <c r="C34" s="1">
        <v>1</v>
      </c>
      <c r="D34" s="1">
        <v>1</v>
      </c>
      <c r="E34" s="1">
        <v>0</v>
      </c>
      <c r="F34" s="1">
        <v>0</v>
      </c>
      <c r="G34" s="1">
        <v>0</v>
      </c>
      <c r="H34" s="1">
        <v>1</v>
      </c>
      <c r="I34" s="1">
        <v>0</v>
      </c>
      <c r="J34" s="1">
        <v>0</v>
      </c>
      <c r="K34" s="1">
        <v>0</v>
      </c>
      <c r="L34" s="1">
        <v>1</v>
      </c>
      <c r="M34" s="1">
        <v>0</v>
      </c>
      <c r="N34" s="1">
        <v>0</v>
      </c>
      <c r="O34" s="1">
        <v>0</v>
      </c>
      <c r="P34" s="1">
        <v>20</v>
      </c>
      <c r="Q34" s="1">
        <v>3</v>
      </c>
      <c r="R34" s="1">
        <v>2</v>
      </c>
      <c r="S34" s="1">
        <v>1</v>
      </c>
      <c r="T34" s="1">
        <v>1</v>
      </c>
      <c r="U34" s="1">
        <v>3</v>
      </c>
      <c r="V34" s="1">
        <v>3</v>
      </c>
      <c r="W34" s="1">
        <v>2</v>
      </c>
      <c r="X34" s="1">
        <v>3</v>
      </c>
      <c r="Y34" s="1">
        <v>3</v>
      </c>
      <c r="Z34" s="1">
        <v>3</v>
      </c>
      <c r="AA34" s="1">
        <v>3</v>
      </c>
      <c r="AC34" s="1">
        <v>1</v>
      </c>
      <c r="AD34" s="1">
        <v>1</v>
      </c>
      <c r="AF34" s="3">
        <v>1500000</v>
      </c>
      <c r="AG34" s="1">
        <v>13</v>
      </c>
      <c r="AT34" s="1" t="s">
        <v>427</v>
      </c>
      <c r="BP34" s="1">
        <v>3</v>
      </c>
      <c r="BQ34" s="1" t="s">
        <v>1748</v>
      </c>
      <c r="BR34" s="1" t="s">
        <v>1749</v>
      </c>
      <c r="BS34" s="1" t="s">
        <v>1750</v>
      </c>
      <c r="BT34" s="1" t="s">
        <v>79</v>
      </c>
      <c r="BU34" s="1">
        <v>3</v>
      </c>
      <c r="BV34" s="1">
        <v>3</v>
      </c>
      <c r="BW34" s="1">
        <v>0</v>
      </c>
      <c r="BX34" s="1">
        <v>1</v>
      </c>
      <c r="BY34" s="1">
        <v>1</v>
      </c>
      <c r="BZ34" s="1">
        <v>0</v>
      </c>
      <c r="CA34" s="1">
        <v>0</v>
      </c>
      <c r="CB34" s="1">
        <v>0</v>
      </c>
      <c r="CC34" s="1">
        <v>0</v>
      </c>
      <c r="CD34" s="1">
        <v>1</v>
      </c>
      <c r="CE34" s="1">
        <v>1</v>
      </c>
      <c r="CF34" s="1">
        <v>1</v>
      </c>
      <c r="CG34" s="1">
        <v>0</v>
      </c>
      <c r="CH34" s="1">
        <v>1</v>
      </c>
      <c r="CI34" s="1">
        <v>0</v>
      </c>
      <c r="CJ34" s="1">
        <v>4</v>
      </c>
      <c r="CK34" s="1">
        <v>3</v>
      </c>
      <c r="CL34" s="1">
        <v>3</v>
      </c>
      <c r="CM34" s="1">
        <v>4</v>
      </c>
      <c r="CN34" s="1">
        <v>4</v>
      </c>
      <c r="CO34" s="1">
        <v>4</v>
      </c>
      <c r="CP34" s="1">
        <v>4</v>
      </c>
      <c r="CU34" s="1">
        <v>1</v>
      </c>
    </row>
    <row r="35" spans="1:99" x14ac:dyDescent="0.35">
      <c r="A35" s="1" t="s">
        <v>1751</v>
      </c>
      <c r="B35" s="1">
        <v>181111043</v>
      </c>
      <c r="C35" s="1">
        <v>0</v>
      </c>
      <c r="D35" s="1">
        <v>1</v>
      </c>
      <c r="E35" s="1">
        <v>0</v>
      </c>
      <c r="F35" s="1">
        <v>0</v>
      </c>
      <c r="G35" s="1">
        <v>0</v>
      </c>
      <c r="H35" s="1">
        <v>0</v>
      </c>
      <c r="I35" s="1">
        <v>1</v>
      </c>
      <c r="J35" s="1">
        <v>1</v>
      </c>
      <c r="K35" s="1">
        <v>1</v>
      </c>
      <c r="L35" s="1">
        <v>0</v>
      </c>
      <c r="M35" s="1">
        <v>0</v>
      </c>
      <c r="N35" s="1">
        <v>0</v>
      </c>
      <c r="O35" s="1">
        <v>0</v>
      </c>
      <c r="P35" s="1">
        <v>35</v>
      </c>
      <c r="Q35" s="1">
        <v>10</v>
      </c>
      <c r="R35" s="1">
        <v>7</v>
      </c>
      <c r="S35" s="1">
        <v>1</v>
      </c>
      <c r="T35" s="1">
        <v>1</v>
      </c>
      <c r="U35" s="1">
        <v>4</v>
      </c>
      <c r="V35" s="1">
        <v>3</v>
      </c>
      <c r="W35" s="1">
        <v>2</v>
      </c>
      <c r="X35" s="1">
        <v>4</v>
      </c>
      <c r="Y35" s="1">
        <v>4</v>
      </c>
      <c r="Z35" s="1">
        <v>3</v>
      </c>
      <c r="AA35" s="1">
        <v>3</v>
      </c>
      <c r="AC35" s="1">
        <v>2</v>
      </c>
      <c r="AE35" s="1">
        <v>6</v>
      </c>
      <c r="AF35" s="3">
        <v>4500000</v>
      </c>
      <c r="AG35" s="1">
        <v>11</v>
      </c>
      <c r="AR35" s="1" t="s">
        <v>144</v>
      </c>
      <c r="BP35" s="1">
        <v>3</v>
      </c>
      <c r="BQ35" s="1" t="s">
        <v>1752</v>
      </c>
      <c r="BT35" s="1" t="s">
        <v>79</v>
      </c>
      <c r="BU35" s="1">
        <v>2</v>
      </c>
      <c r="BV35" s="1">
        <v>2</v>
      </c>
      <c r="BW35" s="1">
        <v>1</v>
      </c>
      <c r="BX35" s="1">
        <v>1</v>
      </c>
      <c r="BY35" s="1">
        <v>0</v>
      </c>
      <c r="BZ35" s="1">
        <v>0</v>
      </c>
      <c r="CA35" s="1">
        <v>1</v>
      </c>
      <c r="CB35" s="1">
        <v>1</v>
      </c>
      <c r="CC35" s="1">
        <v>0</v>
      </c>
      <c r="CD35" s="1">
        <v>0</v>
      </c>
      <c r="CE35" s="1">
        <v>0</v>
      </c>
      <c r="CF35" s="1">
        <v>0</v>
      </c>
      <c r="CG35" s="1">
        <v>0</v>
      </c>
      <c r="CH35" s="1">
        <v>0</v>
      </c>
      <c r="CI35" s="1">
        <v>0</v>
      </c>
      <c r="CJ35" s="1">
        <v>4</v>
      </c>
      <c r="CK35" s="1">
        <v>4</v>
      </c>
      <c r="CL35" s="1">
        <v>4</v>
      </c>
      <c r="CM35" s="1">
        <v>4</v>
      </c>
      <c r="CN35" s="1">
        <v>4</v>
      </c>
      <c r="CO35" s="1">
        <v>4</v>
      </c>
      <c r="CP35" s="1">
        <v>4</v>
      </c>
      <c r="CU35" s="1">
        <v>4</v>
      </c>
    </row>
    <row r="36" spans="1:99" x14ac:dyDescent="0.35">
      <c r="A36" s="1" t="s">
        <v>1753</v>
      </c>
      <c r="B36" s="1">
        <v>181111044</v>
      </c>
      <c r="C36" s="1">
        <v>0</v>
      </c>
      <c r="D36" s="1">
        <v>1</v>
      </c>
      <c r="E36" s="1">
        <v>0</v>
      </c>
      <c r="F36" s="1">
        <v>0</v>
      </c>
      <c r="G36" s="1">
        <v>0</v>
      </c>
      <c r="H36" s="1">
        <v>0</v>
      </c>
      <c r="I36" s="1">
        <v>0</v>
      </c>
      <c r="J36" s="1">
        <v>1</v>
      </c>
      <c r="K36" s="1">
        <v>1</v>
      </c>
      <c r="L36" s="1">
        <v>0</v>
      </c>
      <c r="M36" s="1">
        <v>0</v>
      </c>
      <c r="N36" s="1">
        <v>0</v>
      </c>
      <c r="O36" s="1">
        <v>0</v>
      </c>
      <c r="P36" s="1">
        <v>18</v>
      </c>
      <c r="Q36" s="1">
        <v>11</v>
      </c>
      <c r="R36" s="1">
        <v>9</v>
      </c>
      <c r="S36" s="1">
        <v>1</v>
      </c>
      <c r="T36" s="1">
        <v>1</v>
      </c>
      <c r="U36" s="1">
        <v>4</v>
      </c>
      <c r="V36" s="1">
        <v>3</v>
      </c>
      <c r="W36" s="1">
        <v>3</v>
      </c>
      <c r="X36" s="1">
        <v>4</v>
      </c>
      <c r="Y36" s="1">
        <v>4</v>
      </c>
      <c r="Z36" s="1">
        <v>4</v>
      </c>
      <c r="AA36" s="1">
        <v>4</v>
      </c>
      <c r="AC36" s="1">
        <v>1</v>
      </c>
      <c r="AD36" s="1">
        <v>3</v>
      </c>
      <c r="AF36" s="3">
        <v>3800000</v>
      </c>
      <c r="AG36" s="1">
        <v>13</v>
      </c>
      <c r="AT36" s="1" t="s">
        <v>86</v>
      </c>
      <c r="BP36" s="1">
        <v>4</v>
      </c>
      <c r="BQ36" s="1" t="s">
        <v>1754</v>
      </c>
      <c r="BR36" s="1" t="s">
        <v>1755</v>
      </c>
      <c r="BS36" s="1" t="s">
        <v>1756</v>
      </c>
      <c r="BT36" s="1" t="s">
        <v>107</v>
      </c>
      <c r="BU36" s="1">
        <v>2</v>
      </c>
      <c r="BV36" s="1">
        <v>2</v>
      </c>
      <c r="BW36" s="1">
        <v>1</v>
      </c>
      <c r="BX36" s="1">
        <v>0</v>
      </c>
      <c r="BY36" s="1">
        <v>0</v>
      </c>
      <c r="BZ36" s="1">
        <v>0</v>
      </c>
      <c r="CA36" s="1">
        <v>0</v>
      </c>
      <c r="CB36" s="1">
        <v>0</v>
      </c>
      <c r="CC36" s="1">
        <v>0</v>
      </c>
      <c r="CD36" s="1">
        <v>1</v>
      </c>
      <c r="CE36" s="1">
        <v>1</v>
      </c>
      <c r="CF36" s="1">
        <v>1</v>
      </c>
      <c r="CG36" s="1">
        <v>1</v>
      </c>
      <c r="CH36" s="1">
        <v>0</v>
      </c>
      <c r="CI36" s="1">
        <v>0</v>
      </c>
      <c r="CJ36" s="1">
        <v>4</v>
      </c>
      <c r="CK36" s="1">
        <v>3</v>
      </c>
      <c r="CL36" s="1">
        <v>3</v>
      </c>
      <c r="CM36" s="1">
        <v>4</v>
      </c>
      <c r="CN36" s="1">
        <v>4</v>
      </c>
      <c r="CO36" s="1">
        <v>4</v>
      </c>
      <c r="CP36" s="1">
        <v>4</v>
      </c>
      <c r="CU36" s="1">
        <v>1</v>
      </c>
    </row>
    <row r="37" spans="1:99" x14ac:dyDescent="0.35">
      <c r="A37" s="1" t="s">
        <v>1757</v>
      </c>
      <c r="B37" s="1">
        <v>181111045</v>
      </c>
      <c r="C37" s="1">
        <v>0</v>
      </c>
      <c r="D37" s="1">
        <v>1</v>
      </c>
      <c r="E37" s="1">
        <v>0</v>
      </c>
      <c r="F37" s="1">
        <v>0</v>
      </c>
      <c r="G37" s="1">
        <v>0</v>
      </c>
      <c r="H37" s="1">
        <v>0</v>
      </c>
      <c r="I37" s="1">
        <v>0</v>
      </c>
      <c r="J37" s="1">
        <v>0</v>
      </c>
      <c r="K37" s="1">
        <v>1</v>
      </c>
      <c r="L37" s="1">
        <v>0</v>
      </c>
      <c r="M37" s="1">
        <v>0</v>
      </c>
      <c r="N37" s="1">
        <v>0</v>
      </c>
      <c r="O37" s="1">
        <v>0</v>
      </c>
      <c r="P37" s="1" t="s">
        <v>1758</v>
      </c>
      <c r="Q37" s="1" t="s">
        <v>1759</v>
      </c>
      <c r="R37" s="1" t="s">
        <v>1760</v>
      </c>
      <c r="S37" s="1">
        <v>1</v>
      </c>
      <c r="T37" s="1">
        <v>1</v>
      </c>
      <c r="U37" s="1">
        <v>4</v>
      </c>
      <c r="V37" s="1">
        <v>3</v>
      </c>
      <c r="W37" s="1">
        <v>2</v>
      </c>
      <c r="X37" s="1">
        <v>3</v>
      </c>
      <c r="Y37" s="1">
        <v>4</v>
      </c>
      <c r="Z37" s="1">
        <v>4</v>
      </c>
      <c r="AA37" s="1">
        <v>4</v>
      </c>
      <c r="AC37" s="1">
        <v>2</v>
      </c>
      <c r="AE37" s="1">
        <v>2</v>
      </c>
      <c r="AF37" s="3">
        <v>4000000</v>
      </c>
      <c r="AG37" s="1">
        <v>13</v>
      </c>
      <c r="AT37" s="1" t="s">
        <v>86</v>
      </c>
      <c r="BP37" s="1">
        <v>3</v>
      </c>
      <c r="BQ37" s="1" t="s">
        <v>1761</v>
      </c>
      <c r="BR37" s="1" t="s">
        <v>1762</v>
      </c>
      <c r="BS37" s="1" t="s">
        <v>1763</v>
      </c>
      <c r="BT37" s="1" t="s">
        <v>107</v>
      </c>
      <c r="BU37" s="1">
        <v>1</v>
      </c>
      <c r="BV37" s="1">
        <v>1</v>
      </c>
      <c r="BW37" s="1">
        <v>0</v>
      </c>
      <c r="BX37" s="1">
        <v>0</v>
      </c>
      <c r="BY37" s="1">
        <v>0</v>
      </c>
      <c r="BZ37" s="1">
        <v>0</v>
      </c>
      <c r="CA37" s="1">
        <v>0</v>
      </c>
      <c r="CB37" s="1">
        <v>0</v>
      </c>
      <c r="CC37" s="1">
        <v>0</v>
      </c>
      <c r="CD37" s="1">
        <v>0</v>
      </c>
      <c r="CE37" s="1">
        <v>0</v>
      </c>
      <c r="CF37" s="1">
        <v>1</v>
      </c>
      <c r="CG37" s="1">
        <v>0</v>
      </c>
      <c r="CH37" s="1">
        <v>0</v>
      </c>
      <c r="CI37" s="1">
        <v>0</v>
      </c>
      <c r="CJ37" s="1">
        <v>4</v>
      </c>
      <c r="CK37" s="1">
        <v>4</v>
      </c>
      <c r="CL37" s="1">
        <v>4</v>
      </c>
      <c r="CM37" s="1">
        <v>4</v>
      </c>
      <c r="CN37" s="1">
        <v>4</v>
      </c>
      <c r="CO37" s="1">
        <v>4</v>
      </c>
      <c r="CP37" s="1">
        <v>4</v>
      </c>
      <c r="CU37" s="1">
        <v>1</v>
      </c>
    </row>
    <row r="38" spans="1:99" x14ac:dyDescent="0.35">
      <c r="A38" s="1" t="s">
        <v>1764</v>
      </c>
      <c r="B38" s="1">
        <v>181111046</v>
      </c>
      <c r="S38" s="1">
        <v>3</v>
      </c>
      <c r="T38" s="1">
        <v>1</v>
      </c>
      <c r="U38" s="1">
        <v>3</v>
      </c>
      <c r="V38" s="1">
        <v>3</v>
      </c>
      <c r="W38" s="1">
        <v>4</v>
      </c>
      <c r="X38" s="1">
        <v>4</v>
      </c>
      <c r="Y38" s="1">
        <v>4</v>
      </c>
      <c r="Z38" s="1">
        <v>3</v>
      </c>
      <c r="AA38" s="1">
        <v>3</v>
      </c>
      <c r="AB38" s="1">
        <v>3</v>
      </c>
      <c r="AC38" s="1">
        <v>2</v>
      </c>
      <c r="AE38" s="1">
        <v>1</v>
      </c>
      <c r="AF38" s="3">
        <v>3000000</v>
      </c>
      <c r="AG38" s="1">
        <v>13</v>
      </c>
      <c r="AT38" s="1" t="s">
        <v>93</v>
      </c>
      <c r="BP38" s="1">
        <v>4</v>
      </c>
      <c r="BQ38" s="1" t="s">
        <v>1765</v>
      </c>
      <c r="BR38" s="1" t="s">
        <v>1766</v>
      </c>
      <c r="BS38" s="1" t="s">
        <v>1767</v>
      </c>
      <c r="BT38" s="1" t="s">
        <v>107</v>
      </c>
      <c r="BU38" s="1">
        <v>5</v>
      </c>
      <c r="BV38" s="1">
        <v>2</v>
      </c>
      <c r="BW38" s="1">
        <v>0</v>
      </c>
      <c r="BX38" s="1">
        <v>0</v>
      </c>
      <c r="BY38" s="1">
        <v>1</v>
      </c>
      <c r="BZ38" s="1">
        <v>0</v>
      </c>
      <c r="CA38" s="1">
        <v>0</v>
      </c>
      <c r="CB38" s="1">
        <v>1</v>
      </c>
      <c r="CC38" s="1">
        <v>1</v>
      </c>
      <c r="CD38" s="1">
        <v>0</v>
      </c>
      <c r="CE38" s="1">
        <v>1</v>
      </c>
      <c r="CF38" s="1">
        <v>1</v>
      </c>
      <c r="CG38" s="1">
        <v>1</v>
      </c>
      <c r="CH38" s="1">
        <v>0</v>
      </c>
      <c r="CI38" s="1">
        <v>0</v>
      </c>
      <c r="CJ38" s="1">
        <v>4</v>
      </c>
      <c r="CK38" s="1">
        <v>3</v>
      </c>
      <c r="CL38" s="1">
        <v>3</v>
      </c>
      <c r="CM38" s="1">
        <v>4</v>
      </c>
      <c r="CN38" s="1">
        <v>4</v>
      </c>
      <c r="CO38" s="1">
        <v>4</v>
      </c>
      <c r="CP38" s="1">
        <v>4</v>
      </c>
      <c r="CU38" s="1">
        <v>1</v>
      </c>
    </row>
    <row r="39" spans="1:99" x14ac:dyDescent="0.35">
      <c r="A39" s="1" t="s">
        <v>1768</v>
      </c>
      <c r="B39" s="1">
        <v>181111048</v>
      </c>
      <c r="C39" s="1">
        <v>1</v>
      </c>
      <c r="D39" s="1">
        <v>1</v>
      </c>
      <c r="E39" s="1">
        <v>0</v>
      </c>
      <c r="F39" s="1">
        <v>0</v>
      </c>
      <c r="G39" s="1">
        <v>0</v>
      </c>
      <c r="H39" s="1">
        <v>0</v>
      </c>
      <c r="I39" s="1">
        <v>0</v>
      </c>
      <c r="J39" s="1">
        <v>1</v>
      </c>
      <c r="K39" s="1">
        <v>1</v>
      </c>
      <c r="L39" s="1">
        <v>0</v>
      </c>
      <c r="M39" s="1">
        <v>0</v>
      </c>
      <c r="N39" s="1">
        <v>0</v>
      </c>
      <c r="O39" s="1">
        <v>0</v>
      </c>
      <c r="P39" s="1">
        <v>15</v>
      </c>
      <c r="Q39" s="1">
        <v>3</v>
      </c>
      <c r="R39" s="1">
        <v>3</v>
      </c>
      <c r="S39" s="1">
        <v>1</v>
      </c>
      <c r="T39" s="1">
        <v>1</v>
      </c>
      <c r="U39" s="1">
        <v>4</v>
      </c>
      <c r="V39" s="1">
        <v>4</v>
      </c>
      <c r="W39" s="1">
        <v>2</v>
      </c>
      <c r="X39" s="1">
        <v>4</v>
      </c>
      <c r="Y39" s="1">
        <v>3</v>
      </c>
      <c r="Z39" s="1">
        <v>4</v>
      </c>
      <c r="AA39" s="1">
        <v>4</v>
      </c>
      <c r="AC39" s="1">
        <v>2</v>
      </c>
      <c r="AE39" s="1">
        <v>10</v>
      </c>
      <c r="AF39" s="3">
        <v>4000000</v>
      </c>
      <c r="AG39" s="1">
        <v>13</v>
      </c>
      <c r="AT39" s="1" t="s">
        <v>93</v>
      </c>
      <c r="BP39" s="1">
        <v>3</v>
      </c>
      <c r="BQ39" s="1" t="s">
        <v>1769</v>
      </c>
      <c r="BR39" s="1" t="s">
        <v>1770</v>
      </c>
      <c r="BT39" s="1" t="s">
        <v>79</v>
      </c>
      <c r="BU39" s="1">
        <v>1</v>
      </c>
      <c r="BV39" s="1">
        <v>2</v>
      </c>
      <c r="BW39" s="1">
        <v>1</v>
      </c>
      <c r="BX39" s="1">
        <v>0</v>
      </c>
      <c r="BY39" s="1">
        <v>0</v>
      </c>
      <c r="BZ39" s="1">
        <v>0</v>
      </c>
      <c r="CA39" s="1">
        <v>0</v>
      </c>
      <c r="CB39" s="1">
        <v>0</v>
      </c>
      <c r="CC39" s="1">
        <v>0</v>
      </c>
      <c r="CD39" s="1">
        <v>0</v>
      </c>
      <c r="CE39" s="1">
        <v>0</v>
      </c>
      <c r="CF39" s="1">
        <v>0</v>
      </c>
      <c r="CG39" s="1">
        <v>0</v>
      </c>
      <c r="CH39" s="1">
        <v>0</v>
      </c>
      <c r="CI39" s="1">
        <v>0</v>
      </c>
      <c r="CJ39" s="1">
        <v>2</v>
      </c>
      <c r="CK39" s="1">
        <v>4</v>
      </c>
      <c r="CL39" s="1">
        <v>1</v>
      </c>
      <c r="CM39" s="1">
        <v>3</v>
      </c>
      <c r="CN39" s="1">
        <v>3</v>
      </c>
      <c r="CO39" s="1">
        <v>3</v>
      </c>
      <c r="CP39" s="1">
        <v>3</v>
      </c>
      <c r="CU39" s="1">
        <v>1</v>
      </c>
    </row>
    <row r="40" spans="1:99" x14ac:dyDescent="0.35">
      <c r="A40" s="1" t="s">
        <v>1771</v>
      </c>
      <c r="B40" s="1">
        <v>181111049</v>
      </c>
      <c r="C40" s="1">
        <v>0</v>
      </c>
      <c r="D40" s="1">
        <v>1</v>
      </c>
      <c r="E40" s="1">
        <v>0</v>
      </c>
      <c r="F40" s="1">
        <v>0</v>
      </c>
      <c r="G40" s="1">
        <v>0</v>
      </c>
      <c r="H40" s="1">
        <v>0</v>
      </c>
      <c r="I40" s="1">
        <v>0</v>
      </c>
      <c r="J40" s="1">
        <v>1</v>
      </c>
      <c r="K40" s="1">
        <v>1</v>
      </c>
      <c r="L40" s="1">
        <v>0</v>
      </c>
      <c r="M40" s="1">
        <v>0</v>
      </c>
      <c r="N40" s="1">
        <v>0</v>
      </c>
      <c r="O40" s="1">
        <v>0</v>
      </c>
      <c r="P40" s="1" t="s">
        <v>1772</v>
      </c>
      <c r="Q40" s="1" t="s">
        <v>1773</v>
      </c>
      <c r="R40" s="1" t="s">
        <v>644</v>
      </c>
      <c r="S40" s="1">
        <v>1</v>
      </c>
      <c r="T40" s="1">
        <v>3</v>
      </c>
      <c r="U40" s="1">
        <v>4</v>
      </c>
      <c r="V40" s="1">
        <v>4</v>
      </c>
      <c r="W40" s="1">
        <v>3</v>
      </c>
      <c r="X40" s="1">
        <v>3</v>
      </c>
      <c r="Y40" s="1">
        <v>4</v>
      </c>
      <c r="Z40" s="1">
        <v>4</v>
      </c>
      <c r="AA40" s="1">
        <v>4</v>
      </c>
      <c r="AC40" s="1">
        <v>1</v>
      </c>
      <c r="AD40" s="1">
        <v>5</v>
      </c>
      <c r="AF40" s="3">
        <v>3100000</v>
      </c>
      <c r="AG40" s="1">
        <v>13</v>
      </c>
      <c r="AT40" s="1" t="s">
        <v>93</v>
      </c>
      <c r="BP40" s="1">
        <v>3</v>
      </c>
      <c r="BQ40" s="1" t="s">
        <v>1774</v>
      </c>
      <c r="BR40" s="1" t="s">
        <v>1775</v>
      </c>
      <c r="BS40" s="1" t="s">
        <v>1776</v>
      </c>
      <c r="BT40" s="1" t="s">
        <v>79</v>
      </c>
      <c r="BU40" s="1">
        <v>1</v>
      </c>
      <c r="BV40" s="1">
        <v>2</v>
      </c>
      <c r="BW40" s="1">
        <v>1</v>
      </c>
      <c r="BX40" s="1">
        <v>0</v>
      </c>
      <c r="BY40" s="1">
        <v>0</v>
      </c>
      <c r="BZ40" s="1">
        <v>0</v>
      </c>
      <c r="CA40" s="1">
        <v>0</v>
      </c>
      <c r="CB40" s="1">
        <v>0</v>
      </c>
      <c r="CC40" s="1">
        <v>0</v>
      </c>
      <c r="CD40" s="1">
        <v>0</v>
      </c>
      <c r="CE40" s="1">
        <v>0</v>
      </c>
      <c r="CF40" s="1">
        <v>0</v>
      </c>
      <c r="CG40" s="1">
        <v>0</v>
      </c>
      <c r="CH40" s="1">
        <v>0</v>
      </c>
      <c r="CI40" s="1">
        <v>0</v>
      </c>
      <c r="CJ40" s="1">
        <v>4</v>
      </c>
      <c r="CK40" s="1">
        <v>4</v>
      </c>
      <c r="CL40" s="1">
        <v>3</v>
      </c>
      <c r="CM40" s="1">
        <v>3</v>
      </c>
      <c r="CN40" s="1">
        <v>4</v>
      </c>
      <c r="CO40" s="1">
        <v>4</v>
      </c>
      <c r="CP40" s="1">
        <v>4</v>
      </c>
      <c r="CU40" s="1">
        <v>4</v>
      </c>
    </row>
    <row r="41" spans="1:99" x14ac:dyDescent="0.35">
      <c r="A41" s="1" t="s">
        <v>1777</v>
      </c>
      <c r="B41" s="1">
        <v>181111050</v>
      </c>
      <c r="C41" s="1">
        <v>0</v>
      </c>
      <c r="D41" s="1">
        <v>1</v>
      </c>
      <c r="E41" s="1">
        <v>0</v>
      </c>
      <c r="F41" s="1">
        <v>0</v>
      </c>
      <c r="G41" s="1">
        <v>0</v>
      </c>
      <c r="H41" s="1">
        <v>1</v>
      </c>
      <c r="I41" s="1">
        <v>0</v>
      </c>
      <c r="J41" s="1">
        <v>1</v>
      </c>
      <c r="K41" s="1">
        <v>1</v>
      </c>
      <c r="L41" s="1">
        <v>0</v>
      </c>
      <c r="M41" s="1">
        <v>0</v>
      </c>
      <c r="N41" s="1">
        <v>0</v>
      </c>
      <c r="O41" s="1">
        <v>0</v>
      </c>
      <c r="P41" s="1">
        <v>15</v>
      </c>
      <c r="Q41" s="1">
        <v>7</v>
      </c>
      <c r="R41" s="1">
        <v>2</v>
      </c>
      <c r="S41" s="1">
        <v>1</v>
      </c>
      <c r="T41" s="1">
        <v>1</v>
      </c>
      <c r="U41" s="1">
        <v>4</v>
      </c>
      <c r="V41" s="1">
        <v>3</v>
      </c>
      <c r="W41" s="1">
        <v>3</v>
      </c>
      <c r="X41" s="1">
        <v>3</v>
      </c>
      <c r="Y41" s="1">
        <v>3</v>
      </c>
      <c r="Z41" s="1">
        <v>3</v>
      </c>
      <c r="AA41" s="1">
        <v>3</v>
      </c>
      <c r="AC41" s="1">
        <v>1</v>
      </c>
      <c r="AD41" s="1">
        <v>6</v>
      </c>
      <c r="AE41" s="1">
        <v>6</v>
      </c>
      <c r="AF41" s="3">
        <v>6000000</v>
      </c>
      <c r="AG41" s="1">
        <v>11</v>
      </c>
      <c r="AR41" s="1" t="s">
        <v>144</v>
      </c>
      <c r="BP41" s="1">
        <v>3</v>
      </c>
      <c r="BQ41" s="1" t="s">
        <v>1778</v>
      </c>
      <c r="BR41" s="1" t="s">
        <v>1779</v>
      </c>
      <c r="BS41" s="1" t="s">
        <v>4345</v>
      </c>
      <c r="BT41" s="1" t="s">
        <v>79</v>
      </c>
      <c r="BU41" s="1">
        <v>4</v>
      </c>
      <c r="BV41" s="1">
        <v>1</v>
      </c>
      <c r="BW41" s="1">
        <v>0</v>
      </c>
      <c r="BX41" s="1">
        <v>0</v>
      </c>
      <c r="BY41" s="1">
        <v>0</v>
      </c>
      <c r="BZ41" s="1">
        <v>0</v>
      </c>
      <c r="CA41" s="1">
        <v>0</v>
      </c>
      <c r="CB41" s="1">
        <v>0</v>
      </c>
      <c r="CC41" s="1">
        <v>1</v>
      </c>
      <c r="CD41" s="1">
        <v>0</v>
      </c>
      <c r="CE41" s="1">
        <v>0</v>
      </c>
      <c r="CF41" s="1">
        <v>0</v>
      </c>
      <c r="CG41" s="1">
        <v>0</v>
      </c>
      <c r="CH41" s="1">
        <v>0</v>
      </c>
      <c r="CI41" s="1">
        <v>0</v>
      </c>
      <c r="CJ41" s="1">
        <v>3</v>
      </c>
      <c r="CK41" s="1">
        <v>2</v>
      </c>
      <c r="CL41" s="1">
        <v>3</v>
      </c>
      <c r="CM41" s="1">
        <v>3</v>
      </c>
      <c r="CN41" s="1">
        <v>4</v>
      </c>
      <c r="CO41" s="1">
        <v>4</v>
      </c>
      <c r="CP41" s="1">
        <v>3</v>
      </c>
      <c r="CU41" s="1">
        <v>1</v>
      </c>
    </row>
    <row r="42" spans="1:99" x14ac:dyDescent="0.35">
      <c r="A42" s="1" t="s">
        <v>1780</v>
      </c>
      <c r="B42" s="1">
        <v>181111051</v>
      </c>
      <c r="C42" s="1">
        <v>0</v>
      </c>
      <c r="D42" s="1">
        <v>1</v>
      </c>
      <c r="E42" s="1">
        <v>0</v>
      </c>
      <c r="F42" s="1">
        <v>0</v>
      </c>
      <c r="G42" s="1">
        <v>0</v>
      </c>
      <c r="H42" s="1">
        <v>0</v>
      </c>
      <c r="I42" s="1">
        <v>0</v>
      </c>
      <c r="J42" s="1">
        <v>1</v>
      </c>
      <c r="K42" s="1">
        <v>1</v>
      </c>
      <c r="L42" s="1">
        <v>0</v>
      </c>
      <c r="M42" s="1">
        <v>1</v>
      </c>
      <c r="N42" s="1">
        <v>0</v>
      </c>
      <c r="O42" s="1">
        <v>0</v>
      </c>
      <c r="P42" s="1" t="s">
        <v>1781</v>
      </c>
      <c r="Q42" s="1">
        <v>5</v>
      </c>
      <c r="R42" s="1">
        <v>4</v>
      </c>
      <c r="S42" s="1">
        <v>1</v>
      </c>
      <c r="T42" s="1">
        <v>1</v>
      </c>
      <c r="U42" s="1">
        <v>4</v>
      </c>
      <c r="V42" s="1">
        <v>3</v>
      </c>
      <c r="W42" s="1">
        <v>3</v>
      </c>
      <c r="X42" s="1">
        <v>4</v>
      </c>
      <c r="Y42" s="1">
        <v>2</v>
      </c>
      <c r="Z42" s="1">
        <v>3</v>
      </c>
      <c r="AA42" s="1">
        <v>3</v>
      </c>
      <c r="AC42" s="1">
        <v>1</v>
      </c>
      <c r="AD42" s="1">
        <v>3</v>
      </c>
      <c r="AE42" s="1">
        <v>3</v>
      </c>
      <c r="AF42" s="3">
        <v>4500000</v>
      </c>
      <c r="AG42" s="1">
        <v>11</v>
      </c>
      <c r="AR42" s="1" t="s">
        <v>239</v>
      </c>
      <c r="BP42" s="1">
        <v>3</v>
      </c>
      <c r="BQ42" s="1" t="s">
        <v>1782</v>
      </c>
      <c r="BR42" s="1" t="s">
        <v>1783</v>
      </c>
      <c r="BS42" s="1" t="s">
        <v>1784</v>
      </c>
      <c r="BT42" s="1" t="s">
        <v>73</v>
      </c>
      <c r="BU42" s="1">
        <v>1</v>
      </c>
      <c r="BV42" s="1">
        <v>2</v>
      </c>
      <c r="BW42" s="1">
        <v>1</v>
      </c>
      <c r="BX42" s="1">
        <v>0</v>
      </c>
      <c r="BY42" s="1">
        <v>0</v>
      </c>
      <c r="BZ42" s="1">
        <v>0</v>
      </c>
      <c r="CA42" s="1">
        <v>0</v>
      </c>
      <c r="CB42" s="1">
        <v>0</v>
      </c>
      <c r="CC42" s="1">
        <v>0</v>
      </c>
      <c r="CD42" s="1">
        <v>0</v>
      </c>
      <c r="CE42" s="1">
        <v>0</v>
      </c>
      <c r="CF42" s="1">
        <v>0</v>
      </c>
      <c r="CG42" s="1">
        <v>0</v>
      </c>
      <c r="CH42" s="1">
        <v>0</v>
      </c>
      <c r="CI42" s="1">
        <v>0</v>
      </c>
      <c r="CJ42" s="1">
        <v>4</v>
      </c>
      <c r="CK42" s="1">
        <v>3</v>
      </c>
      <c r="CL42" s="1">
        <v>2</v>
      </c>
      <c r="CM42" s="1">
        <v>3</v>
      </c>
      <c r="CN42" s="1">
        <v>3</v>
      </c>
      <c r="CO42" s="1">
        <v>2</v>
      </c>
      <c r="CP42" s="1">
        <v>4</v>
      </c>
      <c r="CU42" s="1">
        <v>1</v>
      </c>
    </row>
    <row r="43" spans="1:99" x14ac:dyDescent="0.35">
      <c r="A43" s="1" t="s">
        <v>1785</v>
      </c>
      <c r="B43" s="1">
        <v>181111052</v>
      </c>
      <c r="C43" s="1">
        <v>0</v>
      </c>
      <c r="D43" s="1">
        <v>1</v>
      </c>
      <c r="E43" s="1">
        <v>1</v>
      </c>
      <c r="F43" s="1">
        <v>0</v>
      </c>
      <c r="G43" s="1">
        <v>0</v>
      </c>
      <c r="H43" s="1">
        <v>0</v>
      </c>
      <c r="I43" s="1">
        <v>0</v>
      </c>
      <c r="J43" s="1">
        <v>1</v>
      </c>
      <c r="K43" s="1">
        <v>1</v>
      </c>
      <c r="L43" s="1">
        <v>0</v>
      </c>
      <c r="M43" s="1">
        <v>1</v>
      </c>
      <c r="N43" s="1">
        <v>0</v>
      </c>
      <c r="O43" s="1">
        <v>0</v>
      </c>
      <c r="P43" s="1">
        <v>2</v>
      </c>
      <c r="Q43" s="1">
        <v>4</v>
      </c>
      <c r="R43" s="1">
        <v>3</v>
      </c>
      <c r="S43" s="1">
        <v>5</v>
      </c>
      <c r="T43" s="1">
        <v>1</v>
      </c>
      <c r="U43" s="1">
        <v>4</v>
      </c>
      <c r="V43" s="1">
        <v>4</v>
      </c>
      <c r="W43" s="1">
        <v>3</v>
      </c>
      <c r="X43" s="1">
        <v>4</v>
      </c>
      <c r="Y43" s="1">
        <v>4</v>
      </c>
      <c r="Z43" s="1">
        <v>4</v>
      </c>
      <c r="AA43" s="1">
        <v>4</v>
      </c>
      <c r="CU43" s="1">
        <v>4</v>
      </c>
    </row>
    <row r="44" spans="1:99" x14ac:dyDescent="0.35">
      <c r="A44" s="1" t="s">
        <v>1786</v>
      </c>
      <c r="B44" s="1">
        <v>181111053</v>
      </c>
      <c r="C44" s="1">
        <v>0</v>
      </c>
      <c r="D44" s="1">
        <v>1</v>
      </c>
      <c r="E44" s="1">
        <v>0</v>
      </c>
      <c r="F44" s="1">
        <v>0</v>
      </c>
      <c r="G44" s="1">
        <v>0</v>
      </c>
      <c r="H44" s="1">
        <v>0</v>
      </c>
      <c r="I44" s="1">
        <v>0</v>
      </c>
      <c r="J44" s="1">
        <v>0</v>
      </c>
      <c r="K44" s="1">
        <v>0</v>
      </c>
      <c r="L44" s="1">
        <v>0</v>
      </c>
      <c r="M44" s="1">
        <v>0</v>
      </c>
      <c r="N44" s="1">
        <v>0</v>
      </c>
      <c r="O44" s="1">
        <v>0</v>
      </c>
      <c r="P44" s="1">
        <v>60</v>
      </c>
      <c r="Q44" s="1">
        <v>16</v>
      </c>
      <c r="R44" s="1">
        <v>16</v>
      </c>
      <c r="S44" s="1">
        <v>1</v>
      </c>
      <c r="T44" s="1">
        <v>1</v>
      </c>
      <c r="U44" s="1">
        <v>3</v>
      </c>
      <c r="V44" s="1">
        <v>3</v>
      </c>
      <c r="W44" s="1">
        <v>2</v>
      </c>
      <c r="X44" s="1">
        <v>3</v>
      </c>
      <c r="Y44" s="1">
        <v>3</v>
      </c>
      <c r="Z44" s="1">
        <v>3</v>
      </c>
      <c r="AA44" s="1">
        <v>3</v>
      </c>
      <c r="AC44" s="1">
        <v>2</v>
      </c>
      <c r="AE44" s="1">
        <v>10</v>
      </c>
      <c r="AF44" s="3">
        <v>4500000</v>
      </c>
      <c r="AG44" s="1">
        <v>11</v>
      </c>
      <c r="AR44" s="1" t="s">
        <v>130</v>
      </c>
      <c r="BP44" s="1">
        <v>3</v>
      </c>
      <c r="BQ44" s="1" t="s">
        <v>1787</v>
      </c>
      <c r="BR44" s="1" t="s">
        <v>1788</v>
      </c>
      <c r="BS44" s="1" t="s">
        <v>1789</v>
      </c>
      <c r="BT44" s="1" t="s">
        <v>107</v>
      </c>
      <c r="BU44" s="1">
        <v>1</v>
      </c>
      <c r="BV44" s="1">
        <v>2</v>
      </c>
      <c r="BW44" s="1">
        <v>1</v>
      </c>
      <c r="BX44" s="1">
        <v>0</v>
      </c>
      <c r="BY44" s="1">
        <v>0</v>
      </c>
      <c r="BZ44" s="1">
        <v>0</v>
      </c>
      <c r="CA44" s="1">
        <v>0</v>
      </c>
      <c r="CB44" s="1">
        <v>0</v>
      </c>
      <c r="CC44" s="1">
        <v>0</v>
      </c>
      <c r="CD44" s="1">
        <v>0</v>
      </c>
      <c r="CE44" s="1">
        <v>0</v>
      </c>
      <c r="CF44" s="1">
        <v>0</v>
      </c>
      <c r="CG44" s="1">
        <v>0</v>
      </c>
      <c r="CH44" s="1">
        <v>0</v>
      </c>
      <c r="CI44" s="1">
        <v>0</v>
      </c>
      <c r="CJ44" s="1">
        <v>4</v>
      </c>
      <c r="CK44" s="1">
        <v>4</v>
      </c>
      <c r="CL44" s="1">
        <v>2</v>
      </c>
      <c r="CM44" s="1">
        <v>4</v>
      </c>
      <c r="CN44" s="1">
        <v>4</v>
      </c>
      <c r="CO44" s="1">
        <v>4</v>
      </c>
      <c r="CP44" s="1">
        <v>4</v>
      </c>
      <c r="CU44" s="1">
        <v>1</v>
      </c>
    </row>
    <row r="45" spans="1:99" x14ac:dyDescent="0.35">
      <c r="A45" s="1" t="s">
        <v>1790</v>
      </c>
      <c r="B45" s="1">
        <v>181111054</v>
      </c>
      <c r="C45" s="1">
        <v>0</v>
      </c>
      <c r="D45" s="1">
        <v>1</v>
      </c>
      <c r="E45" s="1">
        <v>0</v>
      </c>
      <c r="F45" s="1">
        <v>0</v>
      </c>
      <c r="G45" s="1">
        <v>0</v>
      </c>
      <c r="H45" s="1">
        <v>0</v>
      </c>
      <c r="I45" s="1">
        <v>0</v>
      </c>
      <c r="J45" s="1">
        <v>1</v>
      </c>
      <c r="K45" s="1">
        <v>1</v>
      </c>
      <c r="L45" s="1">
        <v>0</v>
      </c>
      <c r="M45" s="1">
        <v>0</v>
      </c>
      <c r="N45" s="1">
        <v>0</v>
      </c>
      <c r="O45" s="1">
        <v>0</v>
      </c>
      <c r="P45" s="1">
        <v>30</v>
      </c>
      <c r="Q45" s="1">
        <v>5</v>
      </c>
      <c r="R45" s="1">
        <v>2</v>
      </c>
      <c r="S45" s="1">
        <v>1</v>
      </c>
      <c r="T45" s="1">
        <v>1</v>
      </c>
      <c r="U45" s="1">
        <v>4</v>
      </c>
      <c r="V45" s="1">
        <v>3</v>
      </c>
      <c r="W45" s="1">
        <v>3</v>
      </c>
      <c r="X45" s="1">
        <v>3</v>
      </c>
      <c r="Y45" s="1">
        <v>4</v>
      </c>
      <c r="Z45" s="1">
        <v>4</v>
      </c>
      <c r="AA45" s="1">
        <v>4</v>
      </c>
      <c r="AC45" s="1">
        <v>2</v>
      </c>
      <c r="AE45" s="1">
        <v>8</v>
      </c>
      <c r="AF45" s="3">
        <v>3100000</v>
      </c>
      <c r="AG45" s="1">
        <v>13</v>
      </c>
      <c r="AT45" s="1" t="s">
        <v>93</v>
      </c>
      <c r="BP45" s="1">
        <v>4</v>
      </c>
      <c r="BQ45" s="1" t="s">
        <v>1791</v>
      </c>
      <c r="BR45" s="1" t="s">
        <v>1792</v>
      </c>
      <c r="BS45" s="1" t="s">
        <v>1793</v>
      </c>
      <c r="BT45" s="1" t="s">
        <v>107</v>
      </c>
      <c r="BU45" s="1">
        <v>2</v>
      </c>
      <c r="BV45" s="1">
        <v>2</v>
      </c>
      <c r="BW45" s="1">
        <v>1</v>
      </c>
      <c r="BX45" s="1">
        <v>0</v>
      </c>
      <c r="BY45" s="1">
        <v>0</v>
      </c>
      <c r="BZ45" s="1">
        <v>0</v>
      </c>
      <c r="CA45" s="1">
        <v>0</v>
      </c>
      <c r="CB45" s="1">
        <v>0</v>
      </c>
      <c r="CC45" s="1">
        <v>0</v>
      </c>
      <c r="CD45" s="1">
        <v>0</v>
      </c>
      <c r="CE45" s="1">
        <v>0</v>
      </c>
      <c r="CF45" s="1">
        <v>0</v>
      </c>
      <c r="CG45" s="1">
        <v>0</v>
      </c>
      <c r="CH45" s="1">
        <v>0</v>
      </c>
      <c r="CI45" s="1">
        <v>0</v>
      </c>
      <c r="CJ45" s="1">
        <v>3</v>
      </c>
      <c r="CK45" s="1">
        <v>3</v>
      </c>
      <c r="CL45" s="1">
        <v>3</v>
      </c>
      <c r="CM45" s="1">
        <v>3</v>
      </c>
      <c r="CN45" s="1">
        <v>3</v>
      </c>
      <c r="CO45" s="1">
        <v>3</v>
      </c>
      <c r="CP45" s="1">
        <v>3</v>
      </c>
      <c r="CU45" s="1">
        <v>1</v>
      </c>
    </row>
    <row r="46" spans="1:99" x14ac:dyDescent="0.35">
      <c r="A46" s="1" t="s">
        <v>1794</v>
      </c>
      <c r="B46" s="1">
        <v>181111055</v>
      </c>
      <c r="C46" s="1">
        <v>0</v>
      </c>
      <c r="D46" s="1">
        <v>1</v>
      </c>
      <c r="E46" s="1">
        <v>0</v>
      </c>
      <c r="F46" s="1">
        <v>0</v>
      </c>
      <c r="G46" s="1">
        <v>0</v>
      </c>
      <c r="H46" s="1">
        <v>0</v>
      </c>
      <c r="I46" s="1">
        <v>0</v>
      </c>
      <c r="J46" s="1">
        <v>1</v>
      </c>
      <c r="K46" s="1">
        <v>1</v>
      </c>
      <c r="L46" s="1">
        <v>1</v>
      </c>
      <c r="M46" s="1">
        <v>0</v>
      </c>
      <c r="N46" s="1">
        <v>0</v>
      </c>
      <c r="O46" s="1">
        <v>0</v>
      </c>
      <c r="P46" s="1" t="s">
        <v>186</v>
      </c>
      <c r="Q46" s="1" t="s">
        <v>117</v>
      </c>
      <c r="R46" s="1" t="s">
        <v>117</v>
      </c>
      <c r="S46" s="1">
        <v>5</v>
      </c>
      <c r="T46" s="1">
        <v>1</v>
      </c>
      <c r="U46" s="1">
        <v>4</v>
      </c>
      <c r="V46" s="1">
        <v>3</v>
      </c>
      <c r="W46" s="1">
        <v>4</v>
      </c>
      <c r="X46" s="1">
        <v>3</v>
      </c>
      <c r="Y46" s="1">
        <v>3</v>
      </c>
      <c r="Z46" s="1">
        <v>4</v>
      </c>
      <c r="AA46" s="1">
        <v>3</v>
      </c>
      <c r="CU46" s="1">
        <v>1</v>
      </c>
    </row>
    <row r="47" spans="1:99" x14ac:dyDescent="0.35">
      <c r="A47" s="1" t="s">
        <v>1795</v>
      </c>
      <c r="B47" s="1">
        <v>181111056</v>
      </c>
      <c r="C47" s="1">
        <v>0</v>
      </c>
      <c r="D47" s="1">
        <v>1</v>
      </c>
      <c r="E47" s="1">
        <v>0</v>
      </c>
      <c r="F47" s="1">
        <v>0</v>
      </c>
      <c r="G47" s="1">
        <v>0</v>
      </c>
      <c r="H47" s="1">
        <v>1</v>
      </c>
      <c r="I47" s="1">
        <v>0</v>
      </c>
      <c r="J47" s="1">
        <v>1</v>
      </c>
      <c r="K47" s="1">
        <v>1</v>
      </c>
      <c r="L47" s="1">
        <v>0</v>
      </c>
      <c r="M47" s="1">
        <v>0</v>
      </c>
      <c r="N47" s="1">
        <v>0</v>
      </c>
      <c r="O47" s="1">
        <v>0</v>
      </c>
      <c r="P47" s="1">
        <v>5</v>
      </c>
      <c r="Q47" s="1">
        <v>1</v>
      </c>
      <c r="R47" s="1">
        <v>1</v>
      </c>
      <c r="S47" s="1">
        <v>1</v>
      </c>
      <c r="T47" s="1">
        <v>1</v>
      </c>
      <c r="U47" s="1">
        <v>4</v>
      </c>
      <c r="V47" s="1">
        <v>3</v>
      </c>
      <c r="W47" s="1">
        <v>3</v>
      </c>
      <c r="X47" s="1">
        <v>3</v>
      </c>
      <c r="Y47" s="1">
        <v>3</v>
      </c>
      <c r="Z47" s="1">
        <v>3</v>
      </c>
      <c r="AA47" s="1">
        <v>3</v>
      </c>
      <c r="AC47" s="1">
        <v>2</v>
      </c>
      <c r="AE47" s="1">
        <v>2</v>
      </c>
      <c r="AF47" s="3">
        <v>4000000</v>
      </c>
      <c r="AG47" s="1">
        <v>13</v>
      </c>
      <c r="AT47" s="1" t="s">
        <v>86</v>
      </c>
      <c r="BP47" s="1">
        <v>3</v>
      </c>
      <c r="BQ47" s="1" t="s">
        <v>1796</v>
      </c>
      <c r="BR47" s="1" t="s">
        <v>1797</v>
      </c>
      <c r="BS47" s="1" t="s">
        <v>1798</v>
      </c>
      <c r="BT47" s="1" t="s">
        <v>79</v>
      </c>
      <c r="BU47" s="1">
        <v>1</v>
      </c>
      <c r="BV47" s="1">
        <v>2</v>
      </c>
      <c r="BW47" s="1">
        <v>1</v>
      </c>
      <c r="BX47" s="1">
        <v>0</v>
      </c>
      <c r="BY47" s="1">
        <v>0</v>
      </c>
      <c r="BZ47" s="1">
        <v>0</v>
      </c>
      <c r="CA47" s="1">
        <v>0</v>
      </c>
      <c r="CB47" s="1">
        <v>0</v>
      </c>
      <c r="CC47" s="1">
        <v>0</v>
      </c>
      <c r="CD47" s="1">
        <v>0</v>
      </c>
      <c r="CE47" s="1">
        <v>0</v>
      </c>
      <c r="CF47" s="1">
        <v>0</v>
      </c>
      <c r="CG47" s="1">
        <v>0</v>
      </c>
      <c r="CH47" s="1">
        <v>0</v>
      </c>
      <c r="CI47" s="1">
        <v>0</v>
      </c>
      <c r="CJ47" s="1">
        <v>4</v>
      </c>
      <c r="CK47" s="1">
        <v>3</v>
      </c>
      <c r="CL47" s="1">
        <v>3</v>
      </c>
      <c r="CM47" s="1">
        <v>3</v>
      </c>
      <c r="CN47" s="1">
        <v>4</v>
      </c>
      <c r="CO47" s="1">
        <v>4</v>
      </c>
      <c r="CP47" s="1">
        <v>3</v>
      </c>
      <c r="CU47" s="1">
        <v>4</v>
      </c>
    </row>
    <row r="48" spans="1:99" x14ac:dyDescent="0.35">
      <c r="A48" s="1" t="s">
        <v>1799</v>
      </c>
      <c r="B48" s="1">
        <v>181111057</v>
      </c>
      <c r="C48" s="1">
        <v>0</v>
      </c>
      <c r="D48" s="1">
        <v>1</v>
      </c>
      <c r="E48" s="1">
        <v>0</v>
      </c>
      <c r="F48" s="1">
        <v>0</v>
      </c>
      <c r="G48" s="1">
        <v>0</v>
      </c>
      <c r="H48" s="1">
        <v>0</v>
      </c>
      <c r="I48" s="1">
        <v>0</v>
      </c>
      <c r="J48" s="1">
        <v>1</v>
      </c>
      <c r="K48" s="1">
        <v>1</v>
      </c>
      <c r="L48" s="1">
        <v>0</v>
      </c>
      <c r="M48" s="1">
        <v>0</v>
      </c>
      <c r="N48" s="1">
        <v>0</v>
      </c>
      <c r="O48" s="1">
        <v>0</v>
      </c>
      <c r="P48" s="1">
        <v>13</v>
      </c>
      <c r="Q48" s="1">
        <v>3</v>
      </c>
      <c r="R48" s="1">
        <v>1</v>
      </c>
      <c r="S48" s="1">
        <v>1</v>
      </c>
      <c r="T48" s="1">
        <v>1</v>
      </c>
      <c r="U48" s="1">
        <v>3</v>
      </c>
      <c r="V48" s="1">
        <v>3</v>
      </c>
      <c r="W48" s="1">
        <v>4</v>
      </c>
      <c r="X48" s="1">
        <v>3</v>
      </c>
      <c r="Y48" s="1">
        <v>2</v>
      </c>
      <c r="Z48" s="1">
        <v>3</v>
      </c>
      <c r="AA48" s="1">
        <v>3</v>
      </c>
      <c r="AC48" s="1">
        <v>1</v>
      </c>
      <c r="AD48" s="1">
        <v>2</v>
      </c>
      <c r="AE48" s="1">
        <v>2</v>
      </c>
      <c r="AF48" s="3">
        <v>3200000</v>
      </c>
      <c r="AG48" s="1">
        <v>13</v>
      </c>
      <c r="AT48" s="1" t="s">
        <v>86</v>
      </c>
      <c r="BP48" s="1">
        <v>3</v>
      </c>
      <c r="BQ48" s="1" t="s">
        <v>1800</v>
      </c>
      <c r="BR48" s="1" t="s">
        <v>1801</v>
      </c>
      <c r="BS48" s="1" t="s">
        <v>1802</v>
      </c>
      <c r="BT48" s="1" t="s">
        <v>107</v>
      </c>
      <c r="BU48" s="1">
        <v>1</v>
      </c>
      <c r="BV48" s="1">
        <v>1</v>
      </c>
      <c r="BW48" s="1">
        <v>1</v>
      </c>
      <c r="BX48" s="1">
        <v>0</v>
      </c>
      <c r="BY48" s="1">
        <v>0</v>
      </c>
      <c r="BZ48" s="1">
        <v>0</v>
      </c>
      <c r="CA48" s="1">
        <v>0</v>
      </c>
      <c r="CB48" s="1">
        <v>0</v>
      </c>
      <c r="CC48" s="1">
        <v>0</v>
      </c>
      <c r="CD48" s="1">
        <v>0</v>
      </c>
      <c r="CE48" s="1">
        <v>0</v>
      </c>
      <c r="CF48" s="1">
        <v>0</v>
      </c>
      <c r="CG48" s="1">
        <v>0</v>
      </c>
      <c r="CH48" s="1">
        <v>0</v>
      </c>
      <c r="CI48" s="1">
        <v>0</v>
      </c>
      <c r="CJ48" s="1">
        <v>4</v>
      </c>
      <c r="CK48" s="1">
        <v>4</v>
      </c>
      <c r="CL48" s="1">
        <v>4</v>
      </c>
      <c r="CM48" s="1">
        <v>4</v>
      </c>
      <c r="CN48" s="1">
        <v>4</v>
      </c>
      <c r="CO48" s="1">
        <v>4</v>
      </c>
      <c r="CP48" s="1">
        <v>4</v>
      </c>
      <c r="CU48" s="1">
        <v>1</v>
      </c>
    </row>
    <row r="49" spans="1:99" x14ac:dyDescent="0.35">
      <c r="A49" s="1" t="s">
        <v>1803</v>
      </c>
      <c r="B49" s="1">
        <v>181111058</v>
      </c>
      <c r="C49" s="1">
        <v>0</v>
      </c>
      <c r="D49" s="1">
        <v>1</v>
      </c>
      <c r="E49" s="1">
        <v>1</v>
      </c>
      <c r="F49" s="1">
        <v>0</v>
      </c>
      <c r="G49" s="1">
        <v>0</v>
      </c>
      <c r="H49" s="1">
        <v>0</v>
      </c>
      <c r="I49" s="1">
        <v>0</v>
      </c>
      <c r="J49" s="1">
        <v>1</v>
      </c>
      <c r="K49" s="1">
        <v>1</v>
      </c>
      <c r="L49" s="1">
        <v>0</v>
      </c>
      <c r="M49" s="1">
        <v>0</v>
      </c>
      <c r="N49" s="1">
        <v>0</v>
      </c>
      <c r="O49" s="1">
        <v>0</v>
      </c>
      <c r="P49" s="1">
        <v>2</v>
      </c>
      <c r="Q49" s="1">
        <v>1</v>
      </c>
      <c r="R49" s="1">
        <v>1</v>
      </c>
      <c r="S49" s="1">
        <v>1</v>
      </c>
      <c r="T49" s="1">
        <v>1</v>
      </c>
      <c r="U49" s="1">
        <v>3</v>
      </c>
      <c r="V49" s="1">
        <v>3</v>
      </c>
      <c r="W49" s="1">
        <v>4</v>
      </c>
      <c r="X49" s="1">
        <v>4</v>
      </c>
      <c r="Y49" s="1">
        <v>3</v>
      </c>
      <c r="Z49" s="1">
        <v>3</v>
      </c>
      <c r="AA49" s="1">
        <v>3</v>
      </c>
      <c r="AC49" s="1">
        <v>1</v>
      </c>
      <c r="AD49" s="1">
        <v>2</v>
      </c>
      <c r="AE49" s="1">
        <v>2</v>
      </c>
      <c r="AF49" s="3">
        <v>3300000</v>
      </c>
      <c r="AG49" s="1">
        <v>13</v>
      </c>
      <c r="AT49" s="1" t="s">
        <v>86</v>
      </c>
      <c r="BP49" s="1">
        <v>4</v>
      </c>
      <c r="BQ49" s="1" t="s">
        <v>1800</v>
      </c>
      <c r="BR49" s="1" t="s">
        <v>1801</v>
      </c>
      <c r="BS49" s="1" t="s">
        <v>1802</v>
      </c>
      <c r="BT49" s="1" t="s">
        <v>107</v>
      </c>
      <c r="BU49" s="1">
        <v>1</v>
      </c>
      <c r="BV49" s="1">
        <v>1</v>
      </c>
      <c r="BW49" s="1">
        <v>1</v>
      </c>
      <c r="BX49" s="1">
        <v>0</v>
      </c>
      <c r="BY49" s="1">
        <v>0</v>
      </c>
      <c r="BZ49" s="1">
        <v>0</v>
      </c>
      <c r="CA49" s="1">
        <v>0</v>
      </c>
      <c r="CB49" s="1">
        <v>0</v>
      </c>
      <c r="CC49" s="1">
        <v>0</v>
      </c>
      <c r="CD49" s="1">
        <v>0</v>
      </c>
      <c r="CE49" s="1">
        <v>0</v>
      </c>
      <c r="CF49" s="1">
        <v>0</v>
      </c>
      <c r="CG49" s="1">
        <v>0</v>
      </c>
      <c r="CH49" s="1">
        <v>0</v>
      </c>
      <c r="CI49" s="1">
        <v>0</v>
      </c>
      <c r="CJ49" s="1">
        <v>4</v>
      </c>
      <c r="CK49" s="1">
        <v>4</v>
      </c>
      <c r="CL49" s="1">
        <v>4</v>
      </c>
      <c r="CM49" s="1">
        <v>4</v>
      </c>
      <c r="CN49" s="1">
        <v>4</v>
      </c>
      <c r="CO49" s="1">
        <v>4</v>
      </c>
      <c r="CP49" s="1">
        <v>4</v>
      </c>
      <c r="CU49" s="1">
        <v>1</v>
      </c>
    </row>
    <row r="50" spans="1:99" x14ac:dyDescent="0.35">
      <c r="A50" s="1" t="s">
        <v>1804</v>
      </c>
      <c r="B50" s="1">
        <v>181111060</v>
      </c>
      <c r="C50" s="1">
        <v>0</v>
      </c>
      <c r="D50" s="1">
        <v>1</v>
      </c>
      <c r="E50" s="1">
        <v>0</v>
      </c>
      <c r="F50" s="1">
        <v>0</v>
      </c>
      <c r="G50" s="1">
        <v>0</v>
      </c>
      <c r="H50" s="1">
        <v>0</v>
      </c>
      <c r="I50" s="1">
        <v>0</v>
      </c>
      <c r="J50" s="1">
        <v>1</v>
      </c>
      <c r="K50" s="1">
        <v>1</v>
      </c>
      <c r="L50" s="1">
        <v>0</v>
      </c>
      <c r="M50" s="1">
        <v>0</v>
      </c>
      <c r="N50" s="1">
        <v>0</v>
      </c>
      <c r="O50" s="1">
        <v>0</v>
      </c>
      <c r="P50" s="1">
        <v>60</v>
      </c>
      <c r="Q50" s="1">
        <v>5</v>
      </c>
      <c r="R50" s="1">
        <v>5</v>
      </c>
      <c r="S50" s="1">
        <v>1</v>
      </c>
      <c r="T50" s="1">
        <v>1</v>
      </c>
      <c r="U50" s="1">
        <v>4</v>
      </c>
      <c r="V50" s="1">
        <v>4</v>
      </c>
      <c r="W50" s="1">
        <v>4</v>
      </c>
      <c r="X50" s="1">
        <v>4</v>
      </c>
      <c r="Y50" s="1">
        <v>4</v>
      </c>
      <c r="Z50" s="1">
        <v>4</v>
      </c>
      <c r="AA50" s="1">
        <v>4</v>
      </c>
      <c r="AC50" s="1">
        <v>2</v>
      </c>
      <c r="AE50" s="1">
        <v>9</v>
      </c>
      <c r="AF50" s="3">
        <v>4650000</v>
      </c>
      <c r="AG50" s="1">
        <v>11</v>
      </c>
      <c r="AR50" s="1" t="s">
        <v>118</v>
      </c>
      <c r="BP50" s="1">
        <v>3</v>
      </c>
      <c r="BQ50" s="1" t="s">
        <v>1805</v>
      </c>
      <c r="BR50" s="1" t="s">
        <v>1806</v>
      </c>
      <c r="BS50" s="1" t="s">
        <v>1807</v>
      </c>
      <c r="BT50" s="1" t="s">
        <v>79</v>
      </c>
      <c r="BU50" s="1">
        <v>2</v>
      </c>
      <c r="BV50" s="1">
        <v>2</v>
      </c>
      <c r="BW50" s="1">
        <v>1</v>
      </c>
      <c r="BX50" s="1">
        <v>0</v>
      </c>
      <c r="BY50" s="1">
        <v>0</v>
      </c>
      <c r="BZ50" s="1">
        <v>0</v>
      </c>
      <c r="CA50" s="1">
        <v>0</v>
      </c>
      <c r="CB50" s="1">
        <v>0</v>
      </c>
      <c r="CC50" s="1">
        <v>0</v>
      </c>
      <c r="CD50" s="1">
        <v>0</v>
      </c>
      <c r="CE50" s="1">
        <v>0</v>
      </c>
      <c r="CF50" s="1">
        <v>0</v>
      </c>
      <c r="CG50" s="1">
        <v>0</v>
      </c>
      <c r="CH50" s="1">
        <v>0</v>
      </c>
      <c r="CI50" s="1">
        <v>0</v>
      </c>
      <c r="CJ50" s="1">
        <v>4</v>
      </c>
      <c r="CK50" s="1">
        <v>4</v>
      </c>
      <c r="CL50" s="1">
        <v>3</v>
      </c>
      <c r="CM50" s="1">
        <v>4</v>
      </c>
      <c r="CN50" s="1">
        <v>4</v>
      </c>
      <c r="CO50" s="1">
        <v>4</v>
      </c>
      <c r="CP50" s="1">
        <v>4</v>
      </c>
      <c r="CU50" s="1">
        <v>1</v>
      </c>
    </row>
    <row r="51" spans="1:99" x14ac:dyDescent="0.35">
      <c r="A51" s="1" t="s">
        <v>1808</v>
      </c>
      <c r="B51" s="1">
        <v>181111061</v>
      </c>
      <c r="C51" s="1">
        <v>0</v>
      </c>
      <c r="D51" s="1">
        <v>1</v>
      </c>
      <c r="E51" s="1">
        <v>0</v>
      </c>
      <c r="F51" s="1">
        <v>0</v>
      </c>
      <c r="G51" s="1">
        <v>0</v>
      </c>
      <c r="H51" s="1">
        <v>0</v>
      </c>
      <c r="I51" s="1">
        <v>0</v>
      </c>
      <c r="J51" s="1">
        <v>0</v>
      </c>
      <c r="K51" s="1">
        <v>0</v>
      </c>
      <c r="L51" s="1">
        <v>0</v>
      </c>
      <c r="M51" s="1">
        <v>0</v>
      </c>
      <c r="N51" s="1">
        <v>0</v>
      </c>
      <c r="O51" s="1">
        <v>0</v>
      </c>
      <c r="P51" s="1">
        <v>2</v>
      </c>
      <c r="Q51" s="1">
        <v>1</v>
      </c>
      <c r="R51" s="1">
        <v>1</v>
      </c>
      <c r="S51" s="1">
        <v>1</v>
      </c>
      <c r="T51" s="1">
        <v>1</v>
      </c>
      <c r="U51" s="1">
        <v>4</v>
      </c>
      <c r="V51" s="1">
        <v>3</v>
      </c>
      <c r="W51" s="1">
        <v>2</v>
      </c>
      <c r="X51" s="1">
        <v>4</v>
      </c>
      <c r="Y51" s="1">
        <v>4</v>
      </c>
      <c r="Z51" s="1">
        <v>4</v>
      </c>
      <c r="AA51" s="1">
        <v>4</v>
      </c>
      <c r="AC51" s="1">
        <v>2</v>
      </c>
      <c r="AE51" s="1">
        <v>1</v>
      </c>
      <c r="AF51" s="3">
        <v>8000000</v>
      </c>
      <c r="AG51" s="1">
        <v>13</v>
      </c>
      <c r="AT51" s="1" t="s">
        <v>1809</v>
      </c>
      <c r="BP51" s="1">
        <v>6</v>
      </c>
      <c r="BQ51" s="1" t="s">
        <v>1810</v>
      </c>
      <c r="BR51" s="1" t="s">
        <v>1811</v>
      </c>
      <c r="BS51" s="1" t="s">
        <v>1812</v>
      </c>
      <c r="BT51" s="1" t="s">
        <v>73</v>
      </c>
      <c r="BU51" s="1">
        <v>4</v>
      </c>
      <c r="BV51" s="1">
        <v>3</v>
      </c>
      <c r="BW51" s="1">
        <v>0</v>
      </c>
      <c r="BX51" s="1">
        <v>0</v>
      </c>
      <c r="BY51" s="1">
        <v>0</v>
      </c>
      <c r="BZ51" s="1">
        <v>0</v>
      </c>
      <c r="CA51" s="1">
        <v>0</v>
      </c>
      <c r="CB51" s="1">
        <v>0</v>
      </c>
      <c r="CC51" s="1">
        <v>0</v>
      </c>
      <c r="CD51" s="1">
        <v>0</v>
      </c>
      <c r="CE51" s="1">
        <v>0</v>
      </c>
      <c r="CF51" s="1">
        <v>1</v>
      </c>
      <c r="CG51" s="1">
        <v>0</v>
      </c>
      <c r="CH51" s="1">
        <v>0</v>
      </c>
      <c r="CI51" s="1">
        <v>0</v>
      </c>
      <c r="CJ51" s="1">
        <v>4</v>
      </c>
      <c r="CK51" s="1">
        <v>3</v>
      </c>
      <c r="CL51" s="1">
        <v>2</v>
      </c>
      <c r="CM51" s="1">
        <v>4</v>
      </c>
      <c r="CN51" s="1">
        <v>4</v>
      </c>
      <c r="CO51" s="1">
        <v>4</v>
      </c>
      <c r="CP51" s="1">
        <v>4</v>
      </c>
      <c r="CU51" s="1">
        <v>4</v>
      </c>
    </row>
    <row r="52" spans="1:99" x14ac:dyDescent="0.35">
      <c r="A52" s="1" t="s">
        <v>1813</v>
      </c>
      <c r="B52" s="1">
        <v>181111062</v>
      </c>
      <c r="C52" s="1">
        <v>0</v>
      </c>
      <c r="D52" s="1">
        <v>0</v>
      </c>
      <c r="E52" s="1">
        <v>0</v>
      </c>
      <c r="F52" s="1">
        <v>0</v>
      </c>
      <c r="G52" s="1">
        <v>0</v>
      </c>
      <c r="H52" s="1">
        <v>0</v>
      </c>
      <c r="I52" s="1">
        <v>0</v>
      </c>
      <c r="J52" s="1">
        <v>0</v>
      </c>
      <c r="K52" s="1">
        <v>1</v>
      </c>
      <c r="L52" s="1">
        <v>0</v>
      </c>
      <c r="M52" s="1">
        <v>0</v>
      </c>
      <c r="N52" s="1">
        <v>0</v>
      </c>
      <c r="O52" s="1">
        <v>0</v>
      </c>
      <c r="P52" s="1">
        <v>9</v>
      </c>
      <c r="Q52" s="1">
        <v>2</v>
      </c>
      <c r="R52" s="1" t="s">
        <v>78</v>
      </c>
      <c r="S52" s="1">
        <v>1</v>
      </c>
      <c r="T52" s="1">
        <v>1</v>
      </c>
      <c r="U52" s="1">
        <v>3</v>
      </c>
      <c r="V52" s="1">
        <v>3</v>
      </c>
      <c r="W52" s="1">
        <v>3</v>
      </c>
      <c r="X52" s="1">
        <v>3</v>
      </c>
      <c r="Y52" s="1">
        <v>3</v>
      </c>
      <c r="Z52" s="1">
        <v>4</v>
      </c>
      <c r="AA52" s="1">
        <v>3</v>
      </c>
      <c r="AC52" s="1">
        <v>1</v>
      </c>
      <c r="AD52" s="1">
        <v>3</v>
      </c>
      <c r="AF52" s="3">
        <v>4500000</v>
      </c>
      <c r="AG52" s="1">
        <v>13</v>
      </c>
      <c r="AT52" s="1" t="s">
        <v>750</v>
      </c>
      <c r="BP52" s="1">
        <v>3</v>
      </c>
      <c r="BQ52" s="1" t="s">
        <v>1814</v>
      </c>
      <c r="BR52" s="1" t="s">
        <v>1815</v>
      </c>
      <c r="BS52" s="1" t="s">
        <v>1816</v>
      </c>
      <c r="BT52" s="1" t="s">
        <v>107</v>
      </c>
      <c r="BU52" s="1">
        <v>2</v>
      </c>
      <c r="BV52" s="1">
        <v>2</v>
      </c>
      <c r="BW52" s="1">
        <v>1</v>
      </c>
      <c r="BX52" s="1">
        <v>0</v>
      </c>
      <c r="BY52" s="1">
        <v>0</v>
      </c>
      <c r="BZ52" s="1">
        <v>0</v>
      </c>
      <c r="CA52" s="1">
        <v>0</v>
      </c>
      <c r="CB52" s="1">
        <v>0</v>
      </c>
      <c r="CC52" s="1">
        <v>0</v>
      </c>
      <c r="CD52" s="1">
        <v>0</v>
      </c>
      <c r="CE52" s="1">
        <v>0</v>
      </c>
      <c r="CF52" s="1">
        <v>0</v>
      </c>
      <c r="CG52" s="1">
        <v>0</v>
      </c>
      <c r="CH52" s="1">
        <v>0</v>
      </c>
      <c r="CI52" s="1">
        <v>0</v>
      </c>
      <c r="CJ52" s="1">
        <v>4</v>
      </c>
      <c r="CK52" s="1">
        <v>3</v>
      </c>
      <c r="CL52" s="1">
        <v>3</v>
      </c>
      <c r="CM52" s="1">
        <v>4</v>
      </c>
      <c r="CN52" s="1">
        <v>3</v>
      </c>
      <c r="CO52" s="1">
        <v>3</v>
      </c>
      <c r="CP52" s="1">
        <v>3</v>
      </c>
      <c r="CU52" s="1">
        <v>4</v>
      </c>
    </row>
    <row r="53" spans="1:99" x14ac:dyDescent="0.35">
      <c r="A53" s="1" t="s">
        <v>1817</v>
      </c>
      <c r="B53" s="1">
        <v>181111063</v>
      </c>
      <c r="C53" s="1">
        <v>0</v>
      </c>
      <c r="D53" s="1">
        <v>1</v>
      </c>
      <c r="E53" s="1">
        <v>1</v>
      </c>
      <c r="F53" s="1">
        <v>1</v>
      </c>
      <c r="G53" s="1">
        <v>0</v>
      </c>
      <c r="H53" s="1">
        <v>0</v>
      </c>
      <c r="I53" s="1">
        <v>0</v>
      </c>
      <c r="J53" s="1">
        <v>0</v>
      </c>
      <c r="K53" s="1">
        <v>1</v>
      </c>
      <c r="L53" s="1">
        <v>0</v>
      </c>
      <c r="M53" s="1">
        <v>0</v>
      </c>
      <c r="N53" s="1">
        <v>0</v>
      </c>
      <c r="O53" s="1">
        <v>0</v>
      </c>
      <c r="P53" s="1">
        <v>47</v>
      </c>
      <c r="Q53" s="1">
        <v>10</v>
      </c>
      <c r="R53" s="1">
        <v>2</v>
      </c>
      <c r="S53" s="1">
        <v>5</v>
      </c>
      <c r="T53" s="1">
        <v>3</v>
      </c>
      <c r="U53" s="1">
        <v>3</v>
      </c>
      <c r="V53" s="1">
        <v>2</v>
      </c>
      <c r="W53" s="1">
        <v>3</v>
      </c>
      <c r="X53" s="1">
        <v>3</v>
      </c>
      <c r="Y53" s="1">
        <v>3</v>
      </c>
      <c r="Z53" s="1">
        <v>3</v>
      </c>
      <c r="AA53" s="1">
        <v>3</v>
      </c>
      <c r="CU53" s="1">
        <v>3</v>
      </c>
    </row>
    <row r="54" spans="1:99" x14ac:dyDescent="0.35">
      <c r="A54" s="1" t="s">
        <v>1818</v>
      </c>
      <c r="B54" s="1">
        <v>181111064</v>
      </c>
      <c r="C54" s="1">
        <v>0</v>
      </c>
      <c r="D54" s="1">
        <v>1</v>
      </c>
      <c r="E54" s="1">
        <v>0</v>
      </c>
      <c r="F54" s="1">
        <v>0</v>
      </c>
      <c r="G54" s="1">
        <v>0</v>
      </c>
      <c r="H54" s="1">
        <v>0</v>
      </c>
      <c r="I54" s="1">
        <v>0</v>
      </c>
      <c r="J54" s="1">
        <v>1</v>
      </c>
      <c r="K54" s="1">
        <v>1</v>
      </c>
      <c r="L54" s="1">
        <v>0</v>
      </c>
      <c r="M54" s="1">
        <v>0</v>
      </c>
      <c r="N54" s="1">
        <v>0</v>
      </c>
      <c r="O54" s="1">
        <v>0</v>
      </c>
      <c r="P54" s="1">
        <v>110</v>
      </c>
      <c r="Q54" s="1">
        <v>20</v>
      </c>
      <c r="R54" s="1">
        <v>2</v>
      </c>
      <c r="S54" s="1">
        <v>1</v>
      </c>
      <c r="T54" s="1">
        <v>1</v>
      </c>
      <c r="U54" s="1">
        <v>3</v>
      </c>
      <c r="V54" s="1">
        <v>3</v>
      </c>
      <c r="W54" s="1">
        <v>3</v>
      </c>
      <c r="X54" s="1">
        <v>3</v>
      </c>
      <c r="Y54" s="1">
        <v>2</v>
      </c>
      <c r="Z54" s="1">
        <v>2</v>
      </c>
      <c r="AA54" s="1">
        <v>3</v>
      </c>
      <c r="AC54" s="1">
        <v>1</v>
      </c>
      <c r="AD54" s="1">
        <v>1</v>
      </c>
      <c r="AF54" s="3">
        <v>5000000</v>
      </c>
      <c r="AG54" s="1">
        <v>16</v>
      </c>
      <c r="AW54" s="1" t="s">
        <v>1819</v>
      </c>
      <c r="BP54" s="1">
        <v>3</v>
      </c>
      <c r="BQ54" s="1" t="s">
        <v>1820</v>
      </c>
      <c r="BR54" s="1" t="s">
        <v>1821</v>
      </c>
      <c r="BT54" s="1" t="s">
        <v>79</v>
      </c>
      <c r="BU54" s="1">
        <v>3</v>
      </c>
      <c r="BV54" s="1">
        <v>1</v>
      </c>
      <c r="BW54" s="1">
        <v>0</v>
      </c>
      <c r="BX54" s="1">
        <v>0</v>
      </c>
      <c r="BY54" s="1">
        <v>1</v>
      </c>
      <c r="BZ54" s="1">
        <v>1</v>
      </c>
      <c r="CA54" s="1">
        <v>0</v>
      </c>
      <c r="CB54" s="1">
        <v>1</v>
      </c>
      <c r="CC54" s="1">
        <v>0</v>
      </c>
      <c r="CD54" s="1">
        <v>1</v>
      </c>
      <c r="CE54" s="1">
        <v>0</v>
      </c>
      <c r="CF54" s="1">
        <v>0</v>
      </c>
      <c r="CG54" s="1">
        <v>0</v>
      </c>
      <c r="CH54" s="1">
        <v>1</v>
      </c>
      <c r="CI54" s="1">
        <v>0</v>
      </c>
      <c r="CJ54" s="1">
        <v>4</v>
      </c>
      <c r="CK54" s="1">
        <v>3</v>
      </c>
      <c r="CL54" s="1">
        <v>1</v>
      </c>
      <c r="CM54" s="1">
        <v>2</v>
      </c>
      <c r="CN54" s="1">
        <v>4</v>
      </c>
      <c r="CO54" s="1">
        <v>4</v>
      </c>
      <c r="CP54" s="1">
        <v>3</v>
      </c>
      <c r="CU54" s="1">
        <v>1</v>
      </c>
    </row>
    <row r="55" spans="1:99" x14ac:dyDescent="0.35">
      <c r="A55" s="1" t="s">
        <v>3691</v>
      </c>
      <c r="B55" s="1">
        <v>171111010</v>
      </c>
    </row>
    <row r="56" spans="1:99" x14ac:dyDescent="0.35">
      <c r="A56" s="1" t="s">
        <v>3692</v>
      </c>
      <c r="B56" s="1">
        <v>181111020</v>
      </c>
    </row>
    <row r="57" spans="1:99" x14ac:dyDescent="0.35">
      <c r="A57" s="1" t="s">
        <v>3693</v>
      </c>
      <c r="B57" s="1">
        <v>181111022</v>
      </c>
    </row>
    <row r="58" spans="1:99" x14ac:dyDescent="0.35">
      <c r="A58" s="1" t="s">
        <v>3694</v>
      </c>
      <c r="B58" s="1">
        <v>181111038</v>
      </c>
    </row>
    <row r="59" spans="1:99" x14ac:dyDescent="0.35">
      <c r="A59" s="1" t="s">
        <v>3695</v>
      </c>
      <c r="B59" s="1">
        <v>181111039</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E0387D-9081-4A96-8AAF-754990A6D7FB}">
  <dimension ref="A1:CU56"/>
  <sheetViews>
    <sheetView topLeftCell="S1" zoomScale="55" zoomScaleNormal="55" workbookViewId="0">
      <pane ySplit="1" topLeftCell="A2" activePane="bottomLeft" state="frozen"/>
      <selection pane="bottomLeft" activeCell="T1" sqref="T1"/>
    </sheetView>
  </sheetViews>
  <sheetFormatPr defaultColWidth="8.90625" defaultRowHeight="14.5" x14ac:dyDescent="0.35"/>
  <cols>
    <col min="1" max="1" width="31.1796875" style="1" bestFit="1" customWidth="1"/>
    <col min="2" max="2" width="10" style="1" customWidth="1"/>
    <col min="3" max="9" width="64.08984375" style="1" bestFit="1" customWidth="1"/>
    <col min="10" max="14" width="65.08984375" style="1" bestFit="1" customWidth="1"/>
    <col min="15" max="15" width="67.54296875" style="1" bestFit="1" customWidth="1"/>
    <col min="16" max="16" width="110" style="1" bestFit="1" customWidth="1"/>
    <col min="17" max="17" width="63.90625" style="1" bestFit="1" customWidth="1"/>
    <col min="18" max="18" width="73" style="1" bestFit="1" customWidth="1"/>
    <col min="19" max="19" width="25" style="1" bestFit="1" customWidth="1"/>
    <col min="20" max="20" width="41.26953125" style="1" bestFit="1" customWidth="1"/>
    <col min="21" max="21" width="67.08984375" style="1" bestFit="1" customWidth="1"/>
    <col min="22" max="22" width="90.453125" style="1" bestFit="1" customWidth="1"/>
    <col min="23" max="23" width="74.90625" style="1" bestFit="1" customWidth="1"/>
    <col min="24" max="24" width="89.36328125" style="1" bestFit="1" customWidth="1"/>
    <col min="25" max="25" width="72.453125" style="1" bestFit="1" customWidth="1"/>
    <col min="26" max="26" width="75.1796875" style="1" bestFit="1" customWidth="1"/>
    <col min="27" max="27" width="79" style="1" bestFit="1" customWidth="1"/>
    <col min="28" max="28" width="43.08984375" style="1" bestFit="1" customWidth="1"/>
    <col min="29" max="29" width="73.1796875" style="1" bestFit="1" customWidth="1"/>
    <col min="30" max="30" width="43.36328125" style="1" bestFit="1" customWidth="1"/>
    <col min="31" max="31" width="50.54296875" style="1" bestFit="1" customWidth="1"/>
    <col min="32" max="32" width="120.26953125" style="1" bestFit="1" customWidth="1"/>
    <col min="33" max="33" width="39.08984375" style="1" bestFit="1" customWidth="1"/>
    <col min="34" max="35" width="45.7265625" style="1" bestFit="1" customWidth="1"/>
    <col min="36" max="37" width="46.1796875" style="1" bestFit="1" customWidth="1"/>
    <col min="38" max="38" width="45.7265625" style="1" bestFit="1" customWidth="1"/>
    <col min="39" max="52" width="46.1796875" style="1" bestFit="1" customWidth="1"/>
    <col min="53" max="55" width="45.7265625" style="1" bestFit="1" customWidth="1"/>
    <col min="56" max="64" width="46.1796875" style="1" bestFit="1" customWidth="1"/>
    <col min="65" max="67" width="45.7265625" style="1" bestFit="1" customWidth="1"/>
    <col min="68" max="68" width="58.90625" style="1" bestFit="1" customWidth="1"/>
    <col min="69" max="69" width="47" style="1" bestFit="1" customWidth="1"/>
    <col min="70" max="70" width="45.36328125" style="1" bestFit="1" customWidth="1"/>
    <col min="71" max="71" width="45.26953125" style="1" bestFit="1" customWidth="1"/>
    <col min="72" max="72" width="55.453125" style="1" bestFit="1" customWidth="1"/>
    <col min="73" max="73" width="217.453125" style="1" bestFit="1" customWidth="1"/>
    <col min="74" max="74" width="65.08984375" style="1" bestFit="1" customWidth="1"/>
    <col min="75" max="83" width="117.26953125" style="1" bestFit="1" customWidth="1"/>
    <col min="84" max="86" width="118.26953125" style="1" bestFit="1" customWidth="1"/>
    <col min="87" max="87" width="120.7265625" style="1" bestFit="1" customWidth="1"/>
    <col min="88" max="88" width="76.6328125" style="1" bestFit="1" customWidth="1"/>
    <col min="89" max="89" width="100.26953125" style="1" bestFit="1" customWidth="1"/>
    <col min="90" max="90" width="84.36328125" style="1" bestFit="1" customWidth="1"/>
    <col min="91" max="91" width="98.6328125" style="1" bestFit="1" customWidth="1"/>
    <col min="92" max="92" width="81.90625" style="1" bestFit="1" customWidth="1"/>
    <col min="93" max="93" width="84.7265625" style="1" bestFit="1" customWidth="1"/>
    <col min="94" max="94" width="88.54296875" style="1" bestFit="1" customWidth="1"/>
    <col min="95" max="95" width="40.54296875" style="1" bestFit="1" customWidth="1"/>
    <col min="96" max="96" width="53.36328125" style="1" bestFit="1" customWidth="1"/>
    <col min="97" max="97" width="43.7265625" style="1" bestFit="1" customWidth="1"/>
    <col min="98" max="98" width="24.7265625" style="1" bestFit="1" customWidth="1"/>
    <col min="99" max="99" width="51.90625" style="1" bestFit="1" customWidth="1"/>
    <col min="100" max="16384" width="8.90625" style="1"/>
  </cols>
  <sheetData>
    <row r="1" spans="1:99" s="6" customFormat="1" x14ac:dyDescent="0.35">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6" t="s">
        <v>15</v>
      </c>
      <c r="Q1" s="6" t="s">
        <v>16</v>
      </c>
      <c r="R1" s="6" t="s">
        <v>17</v>
      </c>
      <c r="S1" s="6" t="s">
        <v>18</v>
      </c>
      <c r="T1" s="6" t="s">
        <v>19</v>
      </c>
      <c r="U1" s="6" t="s">
        <v>20</v>
      </c>
      <c r="V1" s="6" t="s">
        <v>21</v>
      </c>
      <c r="W1" s="6" t="s">
        <v>22</v>
      </c>
      <c r="X1" s="6" t="s">
        <v>23</v>
      </c>
      <c r="Y1" s="6" t="s">
        <v>24</v>
      </c>
      <c r="Z1" s="6" t="s">
        <v>25</v>
      </c>
      <c r="AA1" s="6" t="s">
        <v>26</v>
      </c>
      <c r="AB1" s="6" t="s">
        <v>27</v>
      </c>
      <c r="AC1" s="6" t="s">
        <v>28</v>
      </c>
      <c r="AD1" s="6" t="s">
        <v>29</v>
      </c>
      <c r="AE1" s="6" t="s">
        <v>30</v>
      </c>
      <c r="AF1" s="6" t="s">
        <v>31</v>
      </c>
      <c r="AG1" s="6" t="s">
        <v>32</v>
      </c>
      <c r="AH1" s="6" t="s">
        <v>33</v>
      </c>
      <c r="AI1" s="6" t="s">
        <v>33</v>
      </c>
      <c r="AJ1" s="6" t="s">
        <v>34</v>
      </c>
      <c r="AK1" s="6" t="s">
        <v>34</v>
      </c>
      <c r="AL1" s="6" t="s">
        <v>33</v>
      </c>
      <c r="AM1" s="6" t="s">
        <v>34</v>
      </c>
      <c r="AN1" s="6" t="s">
        <v>34</v>
      </c>
      <c r="AO1" s="6" t="s">
        <v>34</v>
      </c>
      <c r="AP1" s="6" t="s">
        <v>34</v>
      </c>
      <c r="AQ1" s="6" t="s">
        <v>34</v>
      </c>
      <c r="AR1" s="6" t="s">
        <v>34</v>
      </c>
      <c r="AS1" s="6" t="s">
        <v>34</v>
      </c>
      <c r="AT1" s="6" t="s">
        <v>34</v>
      </c>
      <c r="AU1" s="6" t="s">
        <v>34</v>
      </c>
      <c r="AV1" s="6" t="s">
        <v>34</v>
      </c>
      <c r="AW1" s="6" t="s">
        <v>34</v>
      </c>
      <c r="AX1" s="6" t="s">
        <v>34</v>
      </c>
      <c r="AY1" s="6" t="s">
        <v>34</v>
      </c>
      <c r="AZ1" s="6" t="s">
        <v>34</v>
      </c>
      <c r="BA1" s="6" t="s">
        <v>33</v>
      </c>
      <c r="BB1" s="6" t="s">
        <v>33</v>
      </c>
      <c r="BC1" s="6" t="s">
        <v>33</v>
      </c>
      <c r="BD1" s="6" t="s">
        <v>34</v>
      </c>
      <c r="BE1" s="6" t="s">
        <v>34</v>
      </c>
      <c r="BF1" s="6" t="s">
        <v>34</v>
      </c>
      <c r="BG1" s="6" t="s">
        <v>34</v>
      </c>
      <c r="BH1" s="6" t="s">
        <v>34</v>
      </c>
      <c r="BI1" s="6" t="s">
        <v>34</v>
      </c>
      <c r="BJ1" s="6" t="s">
        <v>34</v>
      </c>
      <c r="BK1" s="6" t="s">
        <v>34</v>
      </c>
      <c r="BL1" s="6" t="s">
        <v>34</v>
      </c>
      <c r="BM1" s="6" t="s">
        <v>33</v>
      </c>
      <c r="BN1" s="6" t="s">
        <v>33</v>
      </c>
      <c r="BO1" s="6" t="s">
        <v>33</v>
      </c>
      <c r="BP1" s="6" t="s">
        <v>35</v>
      </c>
      <c r="BQ1" s="6" t="s">
        <v>36</v>
      </c>
      <c r="BR1" s="6" t="s">
        <v>37</v>
      </c>
      <c r="BS1" s="6" t="s">
        <v>38</v>
      </c>
      <c r="BT1" s="6" t="s">
        <v>39</v>
      </c>
      <c r="BU1" s="6" t="s">
        <v>40</v>
      </c>
      <c r="BV1" s="6" t="s">
        <v>41</v>
      </c>
      <c r="BW1" s="6" t="s">
        <v>42</v>
      </c>
      <c r="BX1" s="6" t="s">
        <v>43</v>
      </c>
      <c r="BY1" s="6" t="s">
        <v>44</v>
      </c>
      <c r="BZ1" s="6" t="s">
        <v>45</v>
      </c>
      <c r="CA1" s="6" t="s">
        <v>46</v>
      </c>
      <c r="CB1" s="6" t="s">
        <v>47</v>
      </c>
      <c r="CC1" s="6" t="s">
        <v>48</v>
      </c>
      <c r="CD1" s="6" t="s">
        <v>49</v>
      </c>
      <c r="CE1" s="6" t="s">
        <v>50</v>
      </c>
      <c r="CF1" s="6" t="s">
        <v>51</v>
      </c>
      <c r="CG1" s="6" t="s">
        <v>52</v>
      </c>
      <c r="CH1" s="6" t="s">
        <v>53</v>
      </c>
      <c r="CI1" s="6" t="s">
        <v>54</v>
      </c>
      <c r="CJ1" s="6" t="s">
        <v>55</v>
      </c>
      <c r="CK1" s="6" t="s">
        <v>56</v>
      </c>
      <c r="CL1" s="6" t="s">
        <v>57</v>
      </c>
      <c r="CM1" s="6" t="s">
        <v>58</v>
      </c>
      <c r="CN1" s="6" t="s">
        <v>59</v>
      </c>
      <c r="CO1" s="6" t="s">
        <v>60</v>
      </c>
      <c r="CP1" s="6" t="s">
        <v>61</v>
      </c>
      <c r="CQ1" s="6" t="s">
        <v>62</v>
      </c>
      <c r="CR1" s="6" t="s">
        <v>63</v>
      </c>
      <c r="CS1" s="6" t="s">
        <v>64</v>
      </c>
      <c r="CT1" s="6" t="s">
        <v>65</v>
      </c>
      <c r="CU1" s="6" t="s">
        <v>66</v>
      </c>
    </row>
    <row r="2" spans="1:99" x14ac:dyDescent="0.35">
      <c r="A2" s="1" t="s">
        <v>1822</v>
      </c>
      <c r="B2" s="1">
        <v>171121003</v>
      </c>
      <c r="C2" s="1">
        <v>1</v>
      </c>
      <c r="D2" s="1">
        <v>1</v>
      </c>
      <c r="E2" s="1">
        <v>0</v>
      </c>
      <c r="F2" s="1">
        <v>0</v>
      </c>
      <c r="G2" s="1">
        <v>0</v>
      </c>
      <c r="H2" s="1">
        <v>0</v>
      </c>
      <c r="I2" s="1">
        <v>0</v>
      </c>
      <c r="J2" s="1">
        <v>0</v>
      </c>
      <c r="K2" s="1">
        <v>0</v>
      </c>
      <c r="L2" s="1">
        <v>0</v>
      </c>
      <c r="M2" s="1">
        <v>1</v>
      </c>
      <c r="N2" s="1">
        <v>0</v>
      </c>
      <c r="O2" s="1">
        <v>0</v>
      </c>
      <c r="P2" s="1">
        <v>120</v>
      </c>
      <c r="Q2" s="1">
        <v>30</v>
      </c>
      <c r="R2" s="1">
        <v>7</v>
      </c>
      <c r="S2" s="1">
        <v>1</v>
      </c>
      <c r="T2" s="1">
        <v>1</v>
      </c>
      <c r="U2" s="1">
        <v>2</v>
      </c>
      <c r="V2" s="1">
        <v>3</v>
      </c>
      <c r="W2" s="1">
        <v>2</v>
      </c>
      <c r="X2" s="1">
        <v>4</v>
      </c>
      <c r="Y2" s="1">
        <v>2</v>
      </c>
      <c r="Z2" s="1">
        <v>4</v>
      </c>
      <c r="AA2" s="1">
        <v>1</v>
      </c>
      <c r="AC2" s="1">
        <v>2</v>
      </c>
      <c r="AE2" s="1">
        <v>12</v>
      </c>
      <c r="AF2" s="3">
        <v>5000000</v>
      </c>
      <c r="AG2" s="1">
        <v>16</v>
      </c>
      <c r="AW2" s="1" t="s">
        <v>1823</v>
      </c>
      <c r="BP2" s="1">
        <v>3</v>
      </c>
      <c r="BQ2" s="1" t="s">
        <v>1824</v>
      </c>
      <c r="BR2" s="1" t="s">
        <v>1825</v>
      </c>
      <c r="BT2" s="1" t="s">
        <v>79</v>
      </c>
      <c r="BU2" s="1">
        <v>1</v>
      </c>
      <c r="BV2" s="1">
        <v>2</v>
      </c>
      <c r="BW2" s="1">
        <v>0</v>
      </c>
      <c r="BX2" s="1">
        <v>1</v>
      </c>
      <c r="BY2" s="1">
        <v>0</v>
      </c>
      <c r="BZ2" s="1">
        <v>0</v>
      </c>
      <c r="CA2" s="1">
        <v>0</v>
      </c>
      <c r="CB2" s="1">
        <v>0</v>
      </c>
      <c r="CC2" s="1">
        <v>0</v>
      </c>
      <c r="CD2" s="1">
        <v>0</v>
      </c>
      <c r="CE2" s="1">
        <v>0</v>
      </c>
      <c r="CF2" s="1">
        <v>0</v>
      </c>
      <c r="CG2" s="1">
        <v>0</v>
      </c>
      <c r="CH2" s="1">
        <v>0</v>
      </c>
      <c r="CI2" s="1">
        <v>0</v>
      </c>
      <c r="CJ2" s="1">
        <v>4</v>
      </c>
      <c r="CK2" s="1">
        <v>4</v>
      </c>
      <c r="CL2" s="1">
        <v>4</v>
      </c>
      <c r="CM2" s="1">
        <v>4</v>
      </c>
      <c r="CN2" s="1">
        <v>4</v>
      </c>
      <c r="CO2" s="1">
        <v>4</v>
      </c>
      <c r="CP2" s="1">
        <v>4</v>
      </c>
      <c r="CU2" s="1">
        <v>2</v>
      </c>
    </row>
    <row r="3" spans="1:99" x14ac:dyDescent="0.35">
      <c r="A3" s="1" t="s">
        <v>1826</v>
      </c>
      <c r="B3" s="1">
        <v>171121017</v>
      </c>
      <c r="C3" s="1">
        <v>0</v>
      </c>
      <c r="D3" s="1">
        <v>0</v>
      </c>
      <c r="E3" s="1">
        <v>0</v>
      </c>
      <c r="F3" s="1">
        <v>0</v>
      </c>
      <c r="G3" s="1">
        <v>0</v>
      </c>
      <c r="H3" s="1">
        <v>0</v>
      </c>
      <c r="I3" s="1">
        <v>0</v>
      </c>
      <c r="J3" s="1">
        <v>0</v>
      </c>
      <c r="K3" s="1">
        <v>0</v>
      </c>
      <c r="L3" s="1">
        <v>0</v>
      </c>
      <c r="M3" s="1">
        <v>1</v>
      </c>
      <c r="N3" s="1">
        <v>0</v>
      </c>
      <c r="O3" s="1">
        <v>0</v>
      </c>
      <c r="P3" s="1" t="s">
        <v>1827</v>
      </c>
      <c r="Q3" s="1">
        <v>10</v>
      </c>
      <c r="R3" s="1">
        <v>4</v>
      </c>
      <c r="S3" s="1">
        <v>1</v>
      </c>
      <c r="T3" s="1">
        <v>1</v>
      </c>
      <c r="U3" s="1">
        <v>4</v>
      </c>
      <c r="V3" s="1">
        <v>3</v>
      </c>
      <c r="W3" s="1">
        <v>3</v>
      </c>
      <c r="X3" s="1">
        <v>3</v>
      </c>
      <c r="Y3" s="1">
        <v>3</v>
      </c>
      <c r="Z3" s="1">
        <v>4</v>
      </c>
      <c r="AA3" s="1">
        <v>4</v>
      </c>
      <c r="AC3" s="1">
        <v>1</v>
      </c>
      <c r="AD3" s="1">
        <v>4</v>
      </c>
      <c r="AF3" s="3">
        <v>4000000</v>
      </c>
      <c r="AG3" s="1">
        <v>13</v>
      </c>
      <c r="AT3" s="1" t="s">
        <v>86</v>
      </c>
      <c r="BP3" s="1">
        <v>3</v>
      </c>
      <c r="BQ3" s="1" t="s">
        <v>1828</v>
      </c>
      <c r="BR3" s="1" t="s">
        <v>1829</v>
      </c>
      <c r="BS3" s="1" t="s">
        <v>1830</v>
      </c>
      <c r="BT3" s="1" t="s">
        <v>79</v>
      </c>
      <c r="BU3" s="1">
        <v>3</v>
      </c>
      <c r="BV3" s="1">
        <v>2</v>
      </c>
      <c r="BW3" s="1">
        <v>0</v>
      </c>
      <c r="BX3" s="1">
        <v>1</v>
      </c>
      <c r="BY3" s="1">
        <v>0</v>
      </c>
      <c r="BZ3" s="1">
        <v>0</v>
      </c>
      <c r="CA3" s="1">
        <v>0</v>
      </c>
      <c r="CB3" s="1">
        <v>0</v>
      </c>
      <c r="CC3" s="1">
        <v>0</v>
      </c>
      <c r="CD3" s="1">
        <v>0</v>
      </c>
      <c r="CE3" s="1">
        <v>0</v>
      </c>
      <c r="CF3" s="1">
        <v>0</v>
      </c>
      <c r="CG3" s="1">
        <v>0</v>
      </c>
      <c r="CH3" s="1">
        <v>1</v>
      </c>
      <c r="CI3" s="1">
        <v>0</v>
      </c>
      <c r="CJ3" s="1">
        <v>4</v>
      </c>
      <c r="CK3" s="1">
        <v>2</v>
      </c>
      <c r="CL3" s="1">
        <v>3</v>
      </c>
      <c r="CM3" s="1">
        <v>3</v>
      </c>
      <c r="CN3" s="1">
        <v>3</v>
      </c>
      <c r="CO3" s="1">
        <v>4</v>
      </c>
      <c r="CP3" s="1">
        <v>4</v>
      </c>
      <c r="CU3" s="1">
        <v>3</v>
      </c>
    </row>
    <row r="4" spans="1:99" x14ac:dyDescent="0.35">
      <c r="A4" s="1" t="s">
        <v>1831</v>
      </c>
      <c r="B4" s="1">
        <v>181121002</v>
      </c>
      <c r="C4" s="1">
        <v>0</v>
      </c>
      <c r="D4" s="1">
        <v>1</v>
      </c>
      <c r="E4" s="1">
        <v>0</v>
      </c>
      <c r="F4" s="1">
        <v>0</v>
      </c>
      <c r="G4" s="1">
        <v>0</v>
      </c>
      <c r="H4" s="1">
        <v>0</v>
      </c>
      <c r="I4" s="1">
        <v>0</v>
      </c>
      <c r="J4" s="1">
        <v>0</v>
      </c>
      <c r="K4" s="1">
        <v>1</v>
      </c>
      <c r="L4" s="1">
        <v>0</v>
      </c>
      <c r="M4" s="1">
        <v>0</v>
      </c>
      <c r="N4" s="1">
        <v>0</v>
      </c>
      <c r="O4" s="1">
        <v>0</v>
      </c>
      <c r="P4" s="1">
        <v>10</v>
      </c>
      <c r="Q4" s="1">
        <v>5</v>
      </c>
      <c r="R4" s="1">
        <v>5</v>
      </c>
      <c r="S4" s="1">
        <v>4</v>
      </c>
      <c r="T4" s="1">
        <v>1</v>
      </c>
      <c r="U4" s="1">
        <v>4</v>
      </c>
      <c r="V4" s="1">
        <v>4</v>
      </c>
      <c r="W4" s="1">
        <v>4</v>
      </c>
      <c r="X4" s="1">
        <v>4</v>
      </c>
      <c r="Y4" s="1">
        <v>4</v>
      </c>
      <c r="Z4" s="1">
        <v>4</v>
      </c>
      <c r="AA4" s="1">
        <v>4</v>
      </c>
      <c r="CQ4" s="1">
        <v>1</v>
      </c>
      <c r="CR4" s="1" t="s">
        <v>1832</v>
      </c>
      <c r="CS4" s="1" t="s">
        <v>1833</v>
      </c>
      <c r="CT4" s="5">
        <v>44809</v>
      </c>
      <c r="CU4" s="1">
        <v>1</v>
      </c>
    </row>
    <row r="5" spans="1:99" x14ac:dyDescent="0.35">
      <c r="A5" s="1" t="s">
        <v>1834</v>
      </c>
      <c r="B5" s="1">
        <v>181121005</v>
      </c>
      <c r="S5" s="1">
        <v>2</v>
      </c>
      <c r="T5" s="1">
        <v>1</v>
      </c>
      <c r="U5" s="1">
        <v>4</v>
      </c>
      <c r="V5" s="1">
        <v>4</v>
      </c>
      <c r="W5" s="1">
        <v>4</v>
      </c>
      <c r="X5" s="1">
        <v>4</v>
      </c>
      <c r="Y5" s="1">
        <v>4</v>
      </c>
      <c r="Z5" s="1">
        <v>4</v>
      </c>
      <c r="AA5" s="1">
        <v>4</v>
      </c>
    </row>
    <row r="6" spans="1:99" x14ac:dyDescent="0.35">
      <c r="A6" s="1" t="s">
        <v>1835</v>
      </c>
      <c r="B6" s="1">
        <v>181121006</v>
      </c>
      <c r="C6" s="1">
        <v>0</v>
      </c>
      <c r="D6" s="1">
        <v>1</v>
      </c>
      <c r="E6" s="1">
        <v>0</v>
      </c>
      <c r="F6" s="1">
        <v>0</v>
      </c>
      <c r="G6" s="1">
        <v>0</v>
      </c>
      <c r="H6" s="1">
        <v>0</v>
      </c>
      <c r="I6" s="1">
        <v>0</v>
      </c>
      <c r="J6" s="1">
        <v>0</v>
      </c>
      <c r="K6" s="1">
        <v>0</v>
      </c>
      <c r="L6" s="1">
        <v>0</v>
      </c>
      <c r="M6" s="1">
        <v>0</v>
      </c>
      <c r="N6" s="1">
        <v>0</v>
      </c>
      <c r="O6" s="1">
        <v>0</v>
      </c>
      <c r="P6" s="1">
        <v>100</v>
      </c>
      <c r="Q6" s="1">
        <v>10</v>
      </c>
      <c r="R6" s="1">
        <v>5</v>
      </c>
      <c r="S6" s="1">
        <v>1</v>
      </c>
      <c r="T6" s="1">
        <v>1</v>
      </c>
      <c r="U6" s="1">
        <v>4</v>
      </c>
      <c r="V6" s="1">
        <v>3</v>
      </c>
      <c r="W6" s="1">
        <v>3</v>
      </c>
      <c r="X6" s="1">
        <v>4</v>
      </c>
      <c r="Y6" s="1">
        <v>4</v>
      </c>
      <c r="Z6" s="1">
        <v>4</v>
      </c>
      <c r="AA6" s="1">
        <v>4</v>
      </c>
      <c r="AC6" s="1">
        <v>1</v>
      </c>
      <c r="AD6" s="1">
        <v>6</v>
      </c>
      <c r="AF6" s="3">
        <v>4100000</v>
      </c>
      <c r="AG6" s="1">
        <v>11</v>
      </c>
      <c r="AR6" s="1" t="s">
        <v>130</v>
      </c>
      <c r="BP6" s="1">
        <v>3</v>
      </c>
      <c r="BQ6" s="1" t="s">
        <v>1836</v>
      </c>
      <c r="BR6" s="1" t="s">
        <v>1837</v>
      </c>
      <c r="BS6" s="1" t="s">
        <v>1838</v>
      </c>
      <c r="BT6" s="1" t="s">
        <v>107</v>
      </c>
      <c r="BU6" s="1">
        <v>1</v>
      </c>
      <c r="BV6" s="1">
        <v>2</v>
      </c>
      <c r="BW6" s="1">
        <v>1</v>
      </c>
      <c r="BX6" s="1">
        <v>0</v>
      </c>
      <c r="BY6" s="1">
        <v>0</v>
      </c>
      <c r="BZ6" s="1">
        <v>0</v>
      </c>
      <c r="CA6" s="1">
        <v>0</v>
      </c>
      <c r="CB6" s="1">
        <v>0</v>
      </c>
      <c r="CC6" s="1">
        <v>0</v>
      </c>
      <c r="CD6" s="1">
        <v>0</v>
      </c>
      <c r="CE6" s="1">
        <v>0</v>
      </c>
      <c r="CF6" s="1">
        <v>0</v>
      </c>
      <c r="CG6" s="1">
        <v>0</v>
      </c>
      <c r="CH6" s="1">
        <v>0</v>
      </c>
      <c r="CI6" s="1">
        <v>0</v>
      </c>
      <c r="CJ6" s="1">
        <v>4</v>
      </c>
      <c r="CK6" s="1">
        <v>4</v>
      </c>
      <c r="CL6" s="1">
        <v>3</v>
      </c>
      <c r="CM6" s="1">
        <v>4</v>
      </c>
      <c r="CN6" s="1">
        <v>4</v>
      </c>
      <c r="CO6" s="1">
        <v>4</v>
      </c>
      <c r="CP6" s="1">
        <v>4</v>
      </c>
      <c r="CU6" s="1">
        <v>4</v>
      </c>
    </row>
    <row r="7" spans="1:99" x14ac:dyDescent="0.35">
      <c r="A7" s="1" t="s">
        <v>1839</v>
      </c>
      <c r="B7" s="1">
        <v>181121007</v>
      </c>
      <c r="C7" s="1">
        <v>0</v>
      </c>
      <c r="D7" s="1">
        <v>1</v>
      </c>
      <c r="E7" s="1">
        <v>0</v>
      </c>
      <c r="F7" s="1">
        <v>0</v>
      </c>
      <c r="G7" s="1">
        <v>0</v>
      </c>
      <c r="H7" s="1">
        <v>0</v>
      </c>
      <c r="I7" s="1">
        <v>0</v>
      </c>
      <c r="J7" s="1">
        <v>1</v>
      </c>
      <c r="K7" s="1">
        <v>1</v>
      </c>
      <c r="L7" s="1">
        <v>0</v>
      </c>
      <c r="M7" s="1">
        <v>1</v>
      </c>
      <c r="N7" s="1">
        <v>0</v>
      </c>
      <c r="O7" s="1">
        <v>0</v>
      </c>
      <c r="P7" s="1" t="s">
        <v>1499</v>
      </c>
      <c r="Q7" s="1">
        <v>5</v>
      </c>
      <c r="R7" s="1">
        <v>3</v>
      </c>
      <c r="S7" s="1">
        <v>1</v>
      </c>
      <c r="T7" s="1">
        <v>1</v>
      </c>
      <c r="U7" s="1">
        <v>4</v>
      </c>
      <c r="V7" s="1">
        <v>3</v>
      </c>
      <c r="W7" s="1">
        <v>3</v>
      </c>
      <c r="X7" s="1">
        <v>4</v>
      </c>
      <c r="Y7" s="1">
        <v>4</v>
      </c>
      <c r="Z7" s="1">
        <v>4</v>
      </c>
      <c r="AA7" s="1">
        <v>4</v>
      </c>
      <c r="AC7" s="1">
        <v>2</v>
      </c>
      <c r="AE7" s="1">
        <v>9</v>
      </c>
      <c r="AF7" s="3">
        <v>3000000</v>
      </c>
      <c r="AG7" s="1">
        <v>13</v>
      </c>
      <c r="AT7" s="1" t="s">
        <v>271</v>
      </c>
      <c r="BP7" s="1">
        <v>3</v>
      </c>
      <c r="BQ7" s="1" t="s">
        <v>1840</v>
      </c>
      <c r="BR7" s="1" t="s">
        <v>1841</v>
      </c>
      <c r="BS7" s="1" t="s">
        <v>1842</v>
      </c>
      <c r="BT7" s="1" t="s">
        <v>79</v>
      </c>
      <c r="BU7" s="1">
        <v>2</v>
      </c>
      <c r="BV7" s="1">
        <v>1</v>
      </c>
      <c r="BW7" s="1">
        <v>0</v>
      </c>
      <c r="BX7" s="1">
        <v>0</v>
      </c>
      <c r="BY7" s="1">
        <v>1</v>
      </c>
      <c r="BZ7" s="1">
        <v>0</v>
      </c>
      <c r="CA7" s="1">
        <v>0</v>
      </c>
      <c r="CB7" s="1">
        <v>0</v>
      </c>
      <c r="CC7" s="1">
        <v>0</v>
      </c>
      <c r="CD7" s="1">
        <v>0</v>
      </c>
      <c r="CE7" s="1">
        <v>1</v>
      </c>
      <c r="CF7" s="1">
        <v>1</v>
      </c>
      <c r="CG7" s="1">
        <v>1</v>
      </c>
      <c r="CH7" s="1">
        <v>0</v>
      </c>
      <c r="CI7" s="1">
        <v>0</v>
      </c>
      <c r="CJ7" s="1">
        <v>4</v>
      </c>
      <c r="CK7" s="1">
        <v>4</v>
      </c>
      <c r="CL7" s="1">
        <v>4</v>
      </c>
      <c r="CM7" s="1">
        <v>4</v>
      </c>
      <c r="CN7" s="1">
        <v>4</v>
      </c>
      <c r="CO7" s="1">
        <v>4</v>
      </c>
      <c r="CP7" s="1">
        <v>4</v>
      </c>
      <c r="CU7" s="1">
        <v>1</v>
      </c>
    </row>
    <row r="8" spans="1:99" x14ac:dyDescent="0.35">
      <c r="A8" s="1" t="s">
        <v>1843</v>
      </c>
      <c r="B8" s="1">
        <v>181121008</v>
      </c>
      <c r="C8" s="1">
        <v>0</v>
      </c>
      <c r="D8" s="1">
        <v>1</v>
      </c>
      <c r="E8" s="1">
        <v>0</v>
      </c>
      <c r="F8" s="1">
        <v>0</v>
      </c>
      <c r="G8" s="1">
        <v>0</v>
      </c>
      <c r="H8" s="1">
        <v>0</v>
      </c>
      <c r="I8" s="1">
        <v>0</v>
      </c>
      <c r="J8" s="1">
        <v>0</v>
      </c>
      <c r="K8" s="1">
        <v>1</v>
      </c>
      <c r="L8" s="1">
        <v>0</v>
      </c>
      <c r="M8" s="1">
        <v>0</v>
      </c>
      <c r="N8" s="1">
        <v>0</v>
      </c>
      <c r="O8" s="1">
        <v>0</v>
      </c>
      <c r="P8" s="1">
        <v>8</v>
      </c>
      <c r="Q8" s="1">
        <v>3</v>
      </c>
      <c r="R8" s="1">
        <v>1</v>
      </c>
    </row>
    <row r="9" spans="1:99" x14ac:dyDescent="0.35">
      <c r="A9" s="1" t="s">
        <v>1844</v>
      </c>
      <c r="B9" s="1">
        <v>181121013</v>
      </c>
      <c r="C9" s="1">
        <v>0</v>
      </c>
      <c r="D9" s="1">
        <v>1</v>
      </c>
      <c r="E9" s="1">
        <v>1</v>
      </c>
      <c r="F9" s="1">
        <v>0</v>
      </c>
      <c r="G9" s="1">
        <v>0</v>
      </c>
      <c r="H9" s="1">
        <v>0</v>
      </c>
      <c r="I9" s="1">
        <v>0</v>
      </c>
      <c r="J9" s="1">
        <v>0</v>
      </c>
      <c r="K9" s="1">
        <v>1</v>
      </c>
      <c r="L9" s="1">
        <v>0</v>
      </c>
      <c r="M9" s="1">
        <v>0</v>
      </c>
      <c r="N9" s="1">
        <v>0</v>
      </c>
      <c r="O9" s="1">
        <v>0</v>
      </c>
      <c r="P9" s="1">
        <v>3</v>
      </c>
      <c r="Q9" s="1">
        <v>3</v>
      </c>
      <c r="R9" s="1">
        <v>3</v>
      </c>
      <c r="S9" s="1">
        <v>1</v>
      </c>
      <c r="T9" s="1">
        <v>3</v>
      </c>
      <c r="U9" s="1">
        <v>4</v>
      </c>
      <c r="V9" s="1">
        <v>3</v>
      </c>
      <c r="W9" s="1">
        <v>2</v>
      </c>
      <c r="X9" s="1">
        <v>3</v>
      </c>
      <c r="Y9" s="1">
        <v>4</v>
      </c>
      <c r="Z9" s="1">
        <v>4</v>
      </c>
      <c r="AA9" s="1">
        <v>4</v>
      </c>
      <c r="AC9" s="1">
        <v>1</v>
      </c>
      <c r="AD9" s="1">
        <v>5</v>
      </c>
      <c r="AF9" s="3">
        <v>4000000</v>
      </c>
      <c r="AG9" s="1">
        <v>13</v>
      </c>
      <c r="AT9" s="1" t="s">
        <v>83</v>
      </c>
      <c r="BP9" s="1">
        <v>3</v>
      </c>
      <c r="BQ9" s="1" t="s">
        <v>1845</v>
      </c>
      <c r="BR9" s="1" t="s">
        <v>1846</v>
      </c>
      <c r="BT9" s="1" t="s">
        <v>79</v>
      </c>
      <c r="BU9" s="1">
        <v>1</v>
      </c>
      <c r="BV9" s="1">
        <v>2</v>
      </c>
      <c r="BW9" s="1">
        <v>1</v>
      </c>
      <c r="BX9" s="1">
        <v>0</v>
      </c>
      <c r="BY9" s="1">
        <v>0</v>
      </c>
      <c r="BZ9" s="1">
        <v>0</v>
      </c>
      <c r="CA9" s="1">
        <v>0</v>
      </c>
      <c r="CB9" s="1">
        <v>0</v>
      </c>
      <c r="CC9" s="1">
        <v>0</v>
      </c>
      <c r="CD9" s="1">
        <v>0</v>
      </c>
      <c r="CE9" s="1">
        <v>0</v>
      </c>
      <c r="CF9" s="1">
        <v>0</v>
      </c>
      <c r="CG9" s="1">
        <v>0</v>
      </c>
      <c r="CH9" s="1">
        <v>0</v>
      </c>
      <c r="CI9" s="1">
        <v>0</v>
      </c>
      <c r="CJ9" s="1">
        <v>4</v>
      </c>
      <c r="CK9" s="1">
        <v>4</v>
      </c>
      <c r="CL9" s="1">
        <v>3</v>
      </c>
      <c r="CM9" s="1">
        <v>4</v>
      </c>
      <c r="CN9" s="1">
        <v>4</v>
      </c>
      <c r="CO9" s="1">
        <v>4</v>
      </c>
      <c r="CP9" s="1">
        <v>4</v>
      </c>
      <c r="CU9" s="1">
        <v>1</v>
      </c>
    </row>
    <row r="10" spans="1:99" x14ac:dyDescent="0.35">
      <c r="A10" s="1" t="s">
        <v>1847</v>
      </c>
      <c r="B10" s="1">
        <v>181121016</v>
      </c>
      <c r="C10" s="1">
        <v>0</v>
      </c>
      <c r="D10" s="1">
        <v>1</v>
      </c>
      <c r="E10" s="1">
        <v>0</v>
      </c>
      <c r="F10" s="1">
        <v>0</v>
      </c>
      <c r="G10" s="1">
        <v>0</v>
      </c>
      <c r="H10" s="1">
        <v>0</v>
      </c>
      <c r="I10" s="1">
        <v>0</v>
      </c>
      <c r="J10" s="1">
        <v>0</v>
      </c>
      <c r="K10" s="1">
        <v>0</v>
      </c>
      <c r="L10" s="1">
        <v>0</v>
      </c>
      <c r="M10" s="1">
        <v>0</v>
      </c>
      <c r="N10" s="1">
        <v>0</v>
      </c>
      <c r="O10" s="1">
        <v>0</v>
      </c>
      <c r="P10" s="1">
        <v>20</v>
      </c>
      <c r="Q10" s="1">
        <v>4</v>
      </c>
      <c r="R10" s="1">
        <v>4</v>
      </c>
      <c r="S10" s="1">
        <v>5</v>
      </c>
      <c r="T10" s="1">
        <v>1</v>
      </c>
      <c r="U10" s="1">
        <v>4</v>
      </c>
      <c r="V10" s="1">
        <v>3</v>
      </c>
      <c r="W10" s="1">
        <v>3</v>
      </c>
      <c r="X10" s="1">
        <v>4</v>
      </c>
      <c r="Y10" s="1">
        <v>4</v>
      </c>
      <c r="Z10" s="1">
        <v>4</v>
      </c>
      <c r="AA10" s="1">
        <v>4</v>
      </c>
      <c r="CU10" s="1">
        <v>4</v>
      </c>
    </row>
    <row r="11" spans="1:99" x14ac:dyDescent="0.35">
      <c r="A11" s="1" t="s">
        <v>1848</v>
      </c>
      <c r="B11" s="1">
        <v>181121017</v>
      </c>
      <c r="C11" s="1">
        <v>0</v>
      </c>
      <c r="D11" s="1">
        <v>1</v>
      </c>
      <c r="E11" s="1">
        <v>1</v>
      </c>
      <c r="F11" s="1">
        <v>0</v>
      </c>
      <c r="G11" s="1">
        <v>0</v>
      </c>
      <c r="H11" s="1">
        <v>1</v>
      </c>
      <c r="I11" s="1">
        <v>0</v>
      </c>
      <c r="J11" s="1">
        <v>1</v>
      </c>
      <c r="K11" s="1">
        <v>1</v>
      </c>
      <c r="L11" s="1">
        <v>0</v>
      </c>
      <c r="M11" s="1">
        <v>0</v>
      </c>
      <c r="N11" s="1">
        <v>0</v>
      </c>
      <c r="O11" s="1">
        <v>0</v>
      </c>
      <c r="P11" s="1">
        <v>10</v>
      </c>
      <c r="Q11" s="1">
        <v>7</v>
      </c>
      <c r="R11" s="1">
        <v>4</v>
      </c>
      <c r="S11" s="1">
        <v>1</v>
      </c>
      <c r="T11" s="1">
        <v>1</v>
      </c>
      <c r="U11" s="1">
        <v>3</v>
      </c>
      <c r="V11" s="1">
        <v>3</v>
      </c>
      <c r="W11" s="1">
        <v>3</v>
      </c>
      <c r="X11" s="1">
        <v>3</v>
      </c>
      <c r="Y11" s="1">
        <v>3</v>
      </c>
      <c r="Z11" s="1">
        <v>3</v>
      </c>
      <c r="AA11" s="1">
        <v>3</v>
      </c>
      <c r="AC11" s="1">
        <v>1</v>
      </c>
      <c r="AD11" s="1">
        <v>0</v>
      </c>
      <c r="AE11" s="1">
        <v>0</v>
      </c>
      <c r="AF11" s="3">
        <v>5000000</v>
      </c>
      <c r="AG11" s="1">
        <v>11</v>
      </c>
      <c r="AR11" s="1" t="s">
        <v>239</v>
      </c>
      <c r="BP11" s="1">
        <v>3</v>
      </c>
      <c r="BQ11" s="1" t="s">
        <v>1849</v>
      </c>
      <c r="BR11" s="1" t="s">
        <v>1850</v>
      </c>
      <c r="BT11" s="1" t="s">
        <v>79</v>
      </c>
      <c r="BU11" s="1">
        <v>1</v>
      </c>
      <c r="BV11" s="1">
        <v>2</v>
      </c>
      <c r="BW11" s="1">
        <v>1</v>
      </c>
      <c r="BX11" s="1">
        <v>0</v>
      </c>
      <c r="BY11" s="1">
        <v>0</v>
      </c>
      <c r="BZ11" s="1">
        <v>0</v>
      </c>
      <c r="CA11" s="1">
        <v>0</v>
      </c>
      <c r="CB11" s="1">
        <v>0</v>
      </c>
      <c r="CC11" s="1">
        <v>0</v>
      </c>
      <c r="CD11" s="1">
        <v>0</v>
      </c>
      <c r="CE11" s="1">
        <v>0</v>
      </c>
      <c r="CF11" s="1">
        <v>0</v>
      </c>
      <c r="CG11" s="1">
        <v>0</v>
      </c>
      <c r="CH11" s="1">
        <v>0</v>
      </c>
      <c r="CI11" s="1">
        <v>0</v>
      </c>
      <c r="CJ11" s="1">
        <v>3</v>
      </c>
      <c r="CK11" s="1">
        <v>3</v>
      </c>
      <c r="CL11" s="1">
        <v>4</v>
      </c>
      <c r="CM11" s="1">
        <v>4</v>
      </c>
      <c r="CN11" s="1">
        <v>4</v>
      </c>
      <c r="CO11" s="1">
        <v>4</v>
      </c>
      <c r="CP11" s="1">
        <v>3</v>
      </c>
      <c r="CU11" s="1">
        <v>1</v>
      </c>
    </row>
    <row r="12" spans="1:99" x14ac:dyDescent="0.35">
      <c r="A12" s="1" t="s">
        <v>1851</v>
      </c>
      <c r="B12" s="1">
        <v>181121021</v>
      </c>
      <c r="C12" s="1">
        <v>0</v>
      </c>
      <c r="D12" s="1">
        <v>1</v>
      </c>
      <c r="E12" s="1">
        <v>0</v>
      </c>
      <c r="F12" s="1">
        <v>0</v>
      </c>
      <c r="G12" s="1">
        <v>0</v>
      </c>
      <c r="H12" s="1">
        <v>0</v>
      </c>
      <c r="I12" s="1">
        <v>1</v>
      </c>
      <c r="J12" s="1">
        <v>1</v>
      </c>
      <c r="K12" s="1">
        <v>0</v>
      </c>
      <c r="L12" s="1">
        <v>0</v>
      </c>
      <c r="M12" s="1">
        <v>0</v>
      </c>
      <c r="N12" s="1">
        <v>0</v>
      </c>
      <c r="O12" s="1">
        <v>0</v>
      </c>
      <c r="P12" s="1" t="s">
        <v>1852</v>
      </c>
      <c r="Q12" s="1">
        <v>8</v>
      </c>
      <c r="R12" s="1">
        <v>4</v>
      </c>
      <c r="S12" s="1">
        <v>1</v>
      </c>
      <c r="T12" s="1">
        <v>1</v>
      </c>
      <c r="U12" s="1">
        <v>4</v>
      </c>
      <c r="V12" s="1">
        <v>3</v>
      </c>
      <c r="W12" s="1">
        <v>4</v>
      </c>
      <c r="X12" s="1">
        <v>4</v>
      </c>
      <c r="Y12" s="1">
        <v>4</v>
      </c>
      <c r="Z12" s="1">
        <v>4</v>
      </c>
      <c r="AA12" s="1">
        <v>4</v>
      </c>
      <c r="AC12" s="1">
        <v>1</v>
      </c>
      <c r="AD12" s="1">
        <v>1</v>
      </c>
      <c r="AE12" s="1">
        <v>1</v>
      </c>
      <c r="AF12" s="3">
        <v>4000000</v>
      </c>
      <c r="AG12" s="1">
        <v>11</v>
      </c>
      <c r="AR12" s="1" t="s">
        <v>130</v>
      </c>
      <c r="BP12" s="1">
        <v>3</v>
      </c>
      <c r="BQ12" s="1" t="s">
        <v>1853</v>
      </c>
      <c r="BR12" s="1" t="s">
        <v>1854</v>
      </c>
      <c r="BS12" s="1" t="s">
        <v>1855</v>
      </c>
      <c r="BT12" s="1" t="s">
        <v>79</v>
      </c>
      <c r="BU12" s="1">
        <v>1</v>
      </c>
      <c r="BV12" s="1">
        <v>1</v>
      </c>
      <c r="BW12" s="1">
        <v>1</v>
      </c>
      <c r="BX12" s="1">
        <v>0</v>
      </c>
      <c r="BY12" s="1">
        <v>0</v>
      </c>
      <c r="BZ12" s="1">
        <v>0</v>
      </c>
      <c r="CA12" s="1">
        <v>0</v>
      </c>
      <c r="CB12" s="1">
        <v>0</v>
      </c>
      <c r="CC12" s="1">
        <v>0</v>
      </c>
      <c r="CD12" s="1">
        <v>0</v>
      </c>
      <c r="CE12" s="1">
        <v>0</v>
      </c>
      <c r="CF12" s="1">
        <v>0</v>
      </c>
      <c r="CG12" s="1">
        <v>0</v>
      </c>
      <c r="CH12" s="1">
        <v>0</v>
      </c>
      <c r="CI12" s="1">
        <v>0</v>
      </c>
      <c r="CJ12" s="1">
        <v>4</v>
      </c>
      <c r="CK12" s="1">
        <v>4</v>
      </c>
      <c r="CL12" s="1">
        <v>4</v>
      </c>
      <c r="CM12" s="1">
        <v>4</v>
      </c>
      <c r="CN12" s="1">
        <v>4</v>
      </c>
      <c r="CO12" s="1">
        <v>4</v>
      </c>
      <c r="CP12" s="1">
        <v>4</v>
      </c>
      <c r="CU12" s="1">
        <v>1</v>
      </c>
    </row>
    <row r="13" spans="1:99" x14ac:dyDescent="0.35">
      <c r="A13" s="1" t="s">
        <v>1856</v>
      </c>
      <c r="B13" s="1">
        <v>181121022</v>
      </c>
      <c r="C13" s="1">
        <v>0</v>
      </c>
      <c r="D13" s="1">
        <v>1</v>
      </c>
      <c r="E13" s="1">
        <v>0</v>
      </c>
      <c r="F13" s="1">
        <v>0</v>
      </c>
      <c r="G13" s="1">
        <v>0</v>
      </c>
      <c r="H13" s="1">
        <v>0</v>
      </c>
      <c r="I13" s="1">
        <v>0</v>
      </c>
      <c r="J13" s="1">
        <v>1</v>
      </c>
      <c r="K13" s="1">
        <v>1</v>
      </c>
      <c r="L13" s="1">
        <v>1</v>
      </c>
      <c r="M13" s="1">
        <v>0</v>
      </c>
      <c r="N13" s="1">
        <v>0</v>
      </c>
      <c r="O13" s="1">
        <v>0</v>
      </c>
      <c r="P13" s="1">
        <v>10</v>
      </c>
      <c r="Q13" s="1">
        <v>5</v>
      </c>
      <c r="R13" s="1">
        <v>3</v>
      </c>
      <c r="S13" s="1">
        <v>1</v>
      </c>
      <c r="T13" s="1">
        <v>1</v>
      </c>
      <c r="U13" s="1">
        <v>3</v>
      </c>
      <c r="V13" s="1">
        <v>3</v>
      </c>
      <c r="W13" s="1">
        <v>3</v>
      </c>
      <c r="X13" s="1">
        <v>3</v>
      </c>
      <c r="Y13" s="1">
        <v>3</v>
      </c>
      <c r="Z13" s="1">
        <v>3</v>
      </c>
      <c r="AA13" s="1">
        <v>3</v>
      </c>
      <c r="AC13" s="1">
        <v>1</v>
      </c>
      <c r="AD13" s="1">
        <v>0</v>
      </c>
      <c r="AF13" s="3">
        <v>7000000</v>
      </c>
      <c r="AG13" s="1">
        <v>13</v>
      </c>
      <c r="AT13" s="1" t="s">
        <v>354</v>
      </c>
      <c r="BP13" s="1">
        <v>3</v>
      </c>
      <c r="BQ13" s="1" t="s">
        <v>1857</v>
      </c>
      <c r="BR13" s="1" t="s">
        <v>1858</v>
      </c>
      <c r="BS13" s="1" t="s">
        <v>1859</v>
      </c>
      <c r="BT13" s="1" t="s">
        <v>79</v>
      </c>
      <c r="BU13" s="1">
        <v>4</v>
      </c>
      <c r="BV13" s="1">
        <v>2</v>
      </c>
      <c r="BW13" s="1">
        <v>0</v>
      </c>
      <c r="BX13" s="1">
        <v>1</v>
      </c>
      <c r="BY13" s="1">
        <v>0</v>
      </c>
      <c r="BZ13" s="1">
        <v>0</v>
      </c>
      <c r="CA13" s="1">
        <v>0</v>
      </c>
      <c r="CB13" s="1">
        <v>0</v>
      </c>
      <c r="CC13" s="1">
        <v>0</v>
      </c>
      <c r="CD13" s="1">
        <v>0</v>
      </c>
      <c r="CE13" s="1">
        <v>0</v>
      </c>
      <c r="CF13" s="1">
        <v>0</v>
      </c>
      <c r="CG13" s="1">
        <v>0</v>
      </c>
      <c r="CH13" s="1">
        <v>0</v>
      </c>
      <c r="CI13" s="1">
        <v>0</v>
      </c>
      <c r="CJ13" s="1">
        <v>3</v>
      </c>
      <c r="CK13" s="1">
        <v>3</v>
      </c>
      <c r="CL13" s="1">
        <v>3</v>
      </c>
      <c r="CM13" s="1">
        <v>3</v>
      </c>
      <c r="CN13" s="1">
        <v>3</v>
      </c>
      <c r="CO13" s="1">
        <v>3</v>
      </c>
      <c r="CP13" s="1">
        <v>3</v>
      </c>
      <c r="CU13" s="1">
        <v>2</v>
      </c>
    </row>
    <row r="14" spans="1:99" x14ac:dyDescent="0.35">
      <c r="A14" s="1" t="s">
        <v>1860</v>
      </c>
      <c r="B14" s="1">
        <v>181121024</v>
      </c>
      <c r="C14" s="1">
        <v>0</v>
      </c>
      <c r="D14" s="1">
        <v>1</v>
      </c>
      <c r="E14" s="1">
        <v>0</v>
      </c>
      <c r="F14" s="1">
        <v>0</v>
      </c>
      <c r="G14" s="1">
        <v>0</v>
      </c>
      <c r="H14" s="1">
        <v>0</v>
      </c>
      <c r="I14" s="1">
        <v>0</v>
      </c>
      <c r="J14" s="1">
        <v>0</v>
      </c>
      <c r="K14" s="1">
        <v>0</v>
      </c>
      <c r="L14" s="1">
        <v>0</v>
      </c>
      <c r="M14" s="1">
        <v>0</v>
      </c>
      <c r="N14" s="1">
        <v>0</v>
      </c>
      <c r="O14" s="1">
        <v>0</v>
      </c>
      <c r="P14" s="1">
        <v>16</v>
      </c>
      <c r="Q14" s="1">
        <v>3</v>
      </c>
      <c r="R14" s="1">
        <v>3</v>
      </c>
      <c r="S14" s="1">
        <v>1</v>
      </c>
      <c r="T14" s="1">
        <v>1</v>
      </c>
      <c r="U14" s="1">
        <v>4</v>
      </c>
      <c r="V14" s="1">
        <v>3</v>
      </c>
      <c r="W14" s="1">
        <v>2</v>
      </c>
      <c r="X14" s="1">
        <v>3</v>
      </c>
      <c r="Y14" s="1">
        <v>2</v>
      </c>
      <c r="Z14" s="1">
        <v>3</v>
      </c>
      <c r="AA14" s="1">
        <v>2</v>
      </c>
      <c r="AC14" s="1">
        <v>2</v>
      </c>
      <c r="AE14" s="1">
        <v>10</v>
      </c>
      <c r="AF14" s="3">
        <v>3000000</v>
      </c>
      <c r="AG14" s="1">
        <v>13</v>
      </c>
      <c r="AT14" s="1" t="s">
        <v>86</v>
      </c>
      <c r="BP14" s="1">
        <v>3</v>
      </c>
      <c r="BQ14" s="1" t="s">
        <v>1861</v>
      </c>
      <c r="BR14" s="1" t="s">
        <v>1862</v>
      </c>
      <c r="BS14" s="1" t="s">
        <v>1863</v>
      </c>
      <c r="BT14" s="1" t="s">
        <v>79</v>
      </c>
      <c r="BU14" s="1">
        <v>1</v>
      </c>
      <c r="BV14" s="1">
        <v>2</v>
      </c>
      <c r="BW14" s="1">
        <v>1</v>
      </c>
      <c r="BX14" s="1">
        <v>0</v>
      </c>
      <c r="BY14" s="1">
        <v>0</v>
      </c>
      <c r="BZ14" s="1">
        <v>0</v>
      </c>
      <c r="CA14" s="1">
        <v>0</v>
      </c>
      <c r="CB14" s="1">
        <v>0</v>
      </c>
      <c r="CC14" s="1">
        <v>0</v>
      </c>
      <c r="CD14" s="1">
        <v>0</v>
      </c>
      <c r="CE14" s="1">
        <v>0</v>
      </c>
      <c r="CF14" s="1">
        <v>0</v>
      </c>
      <c r="CG14" s="1">
        <v>0</v>
      </c>
      <c r="CH14" s="1">
        <v>0</v>
      </c>
      <c r="CI14" s="1">
        <v>0</v>
      </c>
      <c r="CJ14" s="1">
        <v>4</v>
      </c>
      <c r="CK14" s="1">
        <v>3</v>
      </c>
      <c r="CL14" s="1">
        <v>2</v>
      </c>
      <c r="CM14" s="1">
        <v>3</v>
      </c>
      <c r="CN14" s="1">
        <v>3</v>
      </c>
      <c r="CO14" s="1">
        <v>3</v>
      </c>
      <c r="CP14" s="1">
        <v>3</v>
      </c>
      <c r="CU14" s="1">
        <v>1</v>
      </c>
    </row>
    <row r="15" spans="1:99" x14ac:dyDescent="0.35">
      <c r="A15" s="1" t="s">
        <v>1864</v>
      </c>
      <c r="B15" s="1">
        <v>181121026</v>
      </c>
      <c r="C15" s="1">
        <v>0</v>
      </c>
      <c r="D15" s="1">
        <v>1</v>
      </c>
      <c r="E15" s="1">
        <v>0</v>
      </c>
      <c r="F15" s="1">
        <v>0</v>
      </c>
      <c r="G15" s="1">
        <v>0</v>
      </c>
      <c r="H15" s="1">
        <v>0</v>
      </c>
      <c r="I15" s="1">
        <v>0</v>
      </c>
      <c r="J15" s="1">
        <v>0</v>
      </c>
      <c r="K15" s="1">
        <v>1</v>
      </c>
      <c r="L15" s="1">
        <v>0</v>
      </c>
      <c r="M15" s="1">
        <v>0</v>
      </c>
      <c r="N15" s="1">
        <v>0</v>
      </c>
      <c r="O15" s="1">
        <v>0</v>
      </c>
      <c r="P15" s="1" t="s">
        <v>117</v>
      </c>
      <c r="Q15" s="1">
        <v>2</v>
      </c>
      <c r="R15" s="1">
        <v>2</v>
      </c>
      <c r="S15" s="1">
        <v>4</v>
      </c>
      <c r="T15" s="1">
        <v>1</v>
      </c>
      <c r="U15" s="1">
        <v>3</v>
      </c>
      <c r="V15" s="1">
        <v>3</v>
      </c>
      <c r="W15" s="1">
        <v>2</v>
      </c>
      <c r="X15" s="1">
        <v>3</v>
      </c>
      <c r="Y15" s="1">
        <v>3</v>
      </c>
      <c r="Z15" s="1">
        <v>4</v>
      </c>
      <c r="AA15" s="1">
        <v>3</v>
      </c>
      <c r="CQ15" s="1">
        <v>1</v>
      </c>
      <c r="CR15" s="1" t="s">
        <v>1865</v>
      </c>
      <c r="CS15" s="1" t="s">
        <v>78</v>
      </c>
      <c r="CT15" s="5">
        <v>44585</v>
      </c>
      <c r="CU15" s="1">
        <v>1</v>
      </c>
    </row>
    <row r="16" spans="1:99" x14ac:dyDescent="0.35">
      <c r="A16" s="1" t="s">
        <v>1866</v>
      </c>
      <c r="B16" s="1">
        <v>181121029</v>
      </c>
      <c r="C16" s="1">
        <v>0</v>
      </c>
      <c r="D16" s="1">
        <v>1</v>
      </c>
      <c r="E16" s="1">
        <v>1</v>
      </c>
      <c r="F16" s="1">
        <v>0</v>
      </c>
      <c r="G16" s="1">
        <v>0</v>
      </c>
      <c r="H16" s="1">
        <v>0</v>
      </c>
      <c r="I16" s="1">
        <v>0</v>
      </c>
      <c r="J16" s="1">
        <v>0</v>
      </c>
      <c r="K16" s="1">
        <v>1</v>
      </c>
      <c r="L16" s="1">
        <v>1</v>
      </c>
      <c r="M16" s="1">
        <v>0</v>
      </c>
      <c r="N16" s="1">
        <v>0</v>
      </c>
      <c r="O16" s="1">
        <v>0</v>
      </c>
      <c r="P16" s="1">
        <v>2</v>
      </c>
      <c r="Q16" s="1">
        <v>10</v>
      </c>
      <c r="R16" s="1">
        <v>5</v>
      </c>
      <c r="S16" s="1">
        <v>1</v>
      </c>
      <c r="T16" s="1">
        <v>1</v>
      </c>
      <c r="U16" s="1">
        <v>4</v>
      </c>
      <c r="V16" s="1">
        <v>3</v>
      </c>
      <c r="W16" s="1">
        <v>3</v>
      </c>
      <c r="X16" s="1">
        <v>4</v>
      </c>
      <c r="Y16" s="1">
        <v>3</v>
      </c>
      <c r="Z16" s="1">
        <v>3</v>
      </c>
      <c r="AA16" s="1">
        <v>3</v>
      </c>
      <c r="AC16" s="1">
        <v>1</v>
      </c>
      <c r="AD16" s="1">
        <v>1</v>
      </c>
      <c r="AE16" s="1">
        <v>1</v>
      </c>
      <c r="AF16" s="3">
        <v>4500000</v>
      </c>
      <c r="AG16" s="1">
        <v>11</v>
      </c>
      <c r="AR16" s="1" t="s">
        <v>222</v>
      </c>
      <c r="BP16" s="1">
        <v>3</v>
      </c>
      <c r="BQ16" s="1" t="s">
        <v>1719</v>
      </c>
      <c r="BR16" s="1" t="s">
        <v>1867</v>
      </c>
      <c r="BS16" s="1" t="s">
        <v>1868</v>
      </c>
      <c r="BT16" s="1" t="s">
        <v>73</v>
      </c>
      <c r="BU16" s="1">
        <v>1</v>
      </c>
      <c r="BV16" s="1">
        <v>2</v>
      </c>
      <c r="BW16" s="1">
        <v>1</v>
      </c>
      <c r="BX16" s="1">
        <v>0</v>
      </c>
      <c r="BY16" s="1">
        <v>0</v>
      </c>
      <c r="BZ16" s="1">
        <v>0</v>
      </c>
      <c r="CA16" s="1">
        <v>0</v>
      </c>
      <c r="CB16" s="1">
        <v>0</v>
      </c>
      <c r="CC16" s="1">
        <v>0</v>
      </c>
      <c r="CD16" s="1">
        <v>0</v>
      </c>
      <c r="CE16" s="1">
        <v>0</v>
      </c>
      <c r="CF16" s="1">
        <v>0</v>
      </c>
      <c r="CG16" s="1">
        <v>0</v>
      </c>
      <c r="CH16" s="1">
        <v>0</v>
      </c>
      <c r="CI16" s="1">
        <v>0</v>
      </c>
      <c r="CJ16" s="1">
        <v>4</v>
      </c>
      <c r="CK16" s="1">
        <v>3</v>
      </c>
      <c r="CL16" s="1">
        <v>3</v>
      </c>
      <c r="CM16" s="1">
        <v>3</v>
      </c>
      <c r="CN16" s="1">
        <v>3</v>
      </c>
      <c r="CO16" s="1">
        <v>3</v>
      </c>
      <c r="CP16" s="1">
        <v>3</v>
      </c>
      <c r="CU16" s="1">
        <v>1</v>
      </c>
    </row>
    <row r="17" spans="1:99" x14ac:dyDescent="0.35">
      <c r="A17" s="1" t="s">
        <v>1869</v>
      </c>
      <c r="B17" s="1">
        <v>181121030</v>
      </c>
      <c r="S17" s="1">
        <v>4</v>
      </c>
      <c r="T17" s="1">
        <v>1</v>
      </c>
      <c r="U17" s="1">
        <v>4</v>
      </c>
      <c r="V17" s="1">
        <v>3</v>
      </c>
      <c r="W17" s="1">
        <v>3</v>
      </c>
      <c r="X17" s="1">
        <v>4</v>
      </c>
      <c r="Y17" s="1">
        <v>3</v>
      </c>
      <c r="Z17" s="1">
        <v>3</v>
      </c>
      <c r="AA17" s="1">
        <v>3</v>
      </c>
      <c r="CQ17" s="1">
        <v>1</v>
      </c>
      <c r="CR17" s="1" t="s">
        <v>1870</v>
      </c>
      <c r="CS17" s="1" t="s">
        <v>1871</v>
      </c>
      <c r="CT17" s="5">
        <v>44814</v>
      </c>
      <c r="CU17" s="1">
        <v>1</v>
      </c>
    </row>
    <row r="18" spans="1:99" x14ac:dyDescent="0.35">
      <c r="A18" s="1" t="s">
        <v>1872</v>
      </c>
      <c r="B18" s="1">
        <v>181121031</v>
      </c>
      <c r="S18" s="1">
        <v>4</v>
      </c>
      <c r="T18" s="1">
        <v>1</v>
      </c>
      <c r="U18" s="1">
        <v>4</v>
      </c>
      <c r="V18" s="1">
        <v>3</v>
      </c>
      <c r="W18" s="1">
        <v>3</v>
      </c>
      <c r="X18" s="1">
        <v>4</v>
      </c>
      <c r="Y18" s="1">
        <v>4</v>
      </c>
      <c r="Z18" s="1">
        <v>4</v>
      </c>
      <c r="AA18" s="1">
        <v>4</v>
      </c>
      <c r="CQ18" s="1">
        <v>1</v>
      </c>
      <c r="CR18" s="1" t="s">
        <v>1870</v>
      </c>
      <c r="CS18" s="1" t="s">
        <v>1671</v>
      </c>
      <c r="CT18" s="8">
        <v>44459</v>
      </c>
      <c r="CU18" s="1">
        <v>1</v>
      </c>
    </row>
    <row r="19" spans="1:99" x14ac:dyDescent="0.35">
      <c r="A19" s="1" t="s">
        <v>1873</v>
      </c>
      <c r="B19" s="1">
        <v>181121033</v>
      </c>
      <c r="C19" s="1">
        <v>0</v>
      </c>
      <c r="D19" s="1">
        <v>0</v>
      </c>
      <c r="E19" s="1">
        <v>0</v>
      </c>
      <c r="F19" s="1">
        <v>0</v>
      </c>
      <c r="G19" s="1">
        <v>0</v>
      </c>
      <c r="H19" s="1">
        <v>0</v>
      </c>
      <c r="I19" s="1">
        <v>0</v>
      </c>
      <c r="J19" s="1">
        <v>0</v>
      </c>
      <c r="K19" s="1">
        <v>0</v>
      </c>
      <c r="L19" s="1">
        <v>0</v>
      </c>
      <c r="M19" s="1">
        <v>0</v>
      </c>
      <c r="N19" s="1">
        <v>0</v>
      </c>
      <c r="O19" s="1" t="s">
        <v>1874</v>
      </c>
      <c r="P19" s="1">
        <v>5</v>
      </c>
      <c r="Q19" s="1">
        <v>2</v>
      </c>
      <c r="R19" s="1">
        <v>2</v>
      </c>
      <c r="S19" s="1">
        <v>1</v>
      </c>
      <c r="T19" s="1">
        <v>1</v>
      </c>
      <c r="U19" s="1">
        <v>3</v>
      </c>
      <c r="V19" s="1">
        <v>2</v>
      </c>
      <c r="W19" s="1">
        <v>2</v>
      </c>
      <c r="X19" s="1">
        <v>2</v>
      </c>
      <c r="Y19" s="1">
        <v>4</v>
      </c>
      <c r="Z19" s="1">
        <v>4</v>
      </c>
      <c r="AA19" s="1">
        <v>3</v>
      </c>
      <c r="AC19" s="1">
        <v>2</v>
      </c>
      <c r="AE19" s="1">
        <v>10</v>
      </c>
      <c r="AF19" s="3">
        <v>6000000</v>
      </c>
      <c r="AG19" s="1">
        <v>18</v>
      </c>
      <c r="AY19" s="1" t="s">
        <v>1875</v>
      </c>
      <c r="BP19" s="1">
        <v>6</v>
      </c>
      <c r="BQ19" s="1" t="s">
        <v>1876</v>
      </c>
      <c r="BR19" s="1" t="s">
        <v>1877</v>
      </c>
      <c r="BT19" s="1" t="s">
        <v>73</v>
      </c>
      <c r="BU19" s="1">
        <v>3</v>
      </c>
      <c r="BV19" s="1">
        <v>2</v>
      </c>
      <c r="BW19" s="1">
        <v>0</v>
      </c>
      <c r="BX19" s="1">
        <v>0</v>
      </c>
      <c r="BY19" s="1">
        <v>1</v>
      </c>
      <c r="BZ19" s="1">
        <v>0</v>
      </c>
      <c r="CA19" s="1">
        <v>0</v>
      </c>
      <c r="CB19" s="1">
        <v>0</v>
      </c>
      <c r="CC19" s="1">
        <v>0</v>
      </c>
      <c r="CD19" s="1">
        <v>1</v>
      </c>
      <c r="CE19" s="1">
        <v>0</v>
      </c>
      <c r="CF19" s="1">
        <v>0</v>
      </c>
      <c r="CG19" s="1">
        <v>0</v>
      </c>
      <c r="CH19" s="1">
        <v>0</v>
      </c>
      <c r="CI19" s="1" t="s">
        <v>1878</v>
      </c>
      <c r="CJ19" s="1">
        <v>4</v>
      </c>
      <c r="CK19" s="1">
        <v>4</v>
      </c>
      <c r="CL19" s="1">
        <v>2</v>
      </c>
      <c r="CM19" s="1">
        <v>4</v>
      </c>
      <c r="CN19" s="1">
        <v>4</v>
      </c>
      <c r="CO19" s="1">
        <v>4</v>
      </c>
      <c r="CP19" s="1">
        <v>4</v>
      </c>
      <c r="CU19" s="1">
        <v>1</v>
      </c>
    </row>
    <row r="20" spans="1:99" x14ac:dyDescent="0.35">
      <c r="A20" s="1" t="s">
        <v>1879</v>
      </c>
      <c r="B20" s="1">
        <v>181121034</v>
      </c>
      <c r="C20" s="1">
        <v>0</v>
      </c>
      <c r="D20" s="1">
        <v>0</v>
      </c>
      <c r="E20" s="1">
        <v>0</v>
      </c>
      <c r="F20" s="1">
        <v>0</v>
      </c>
      <c r="G20" s="1">
        <v>0</v>
      </c>
      <c r="H20" s="1">
        <v>0</v>
      </c>
      <c r="I20" s="1">
        <v>0</v>
      </c>
      <c r="J20" s="1">
        <v>1</v>
      </c>
      <c r="K20" s="1">
        <v>1</v>
      </c>
      <c r="L20" s="1">
        <v>0</v>
      </c>
      <c r="M20" s="1">
        <v>0</v>
      </c>
      <c r="N20" s="1">
        <v>0</v>
      </c>
      <c r="O20" s="1">
        <v>0</v>
      </c>
      <c r="P20" s="1">
        <v>2</v>
      </c>
      <c r="Q20" s="1">
        <v>2</v>
      </c>
      <c r="R20" s="1">
        <v>1</v>
      </c>
      <c r="S20" s="1">
        <v>1</v>
      </c>
      <c r="T20" s="1">
        <v>1</v>
      </c>
      <c r="U20" s="1">
        <v>4</v>
      </c>
      <c r="V20" s="1">
        <v>4</v>
      </c>
      <c r="W20" s="1">
        <v>3</v>
      </c>
      <c r="X20" s="1">
        <v>3</v>
      </c>
      <c r="Y20" s="1">
        <v>4</v>
      </c>
      <c r="Z20" s="1">
        <v>4</v>
      </c>
      <c r="AA20" s="1">
        <v>4</v>
      </c>
      <c r="AC20" s="1">
        <v>1</v>
      </c>
      <c r="AD20" s="1">
        <v>0</v>
      </c>
      <c r="AE20" s="1">
        <v>0</v>
      </c>
      <c r="AF20" s="3">
        <v>4285000</v>
      </c>
      <c r="AG20" s="1">
        <v>12</v>
      </c>
      <c r="AS20" s="1" t="s">
        <v>69</v>
      </c>
      <c r="BP20" s="1">
        <v>3</v>
      </c>
      <c r="BQ20" s="1" t="s">
        <v>1880</v>
      </c>
      <c r="BR20" s="1" t="s">
        <v>1881</v>
      </c>
      <c r="BS20" s="1" t="s">
        <v>1882</v>
      </c>
      <c r="BT20" s="1" t="s">
        <v>79</v>
      </c>
      <c r="BU20" s="1">
        <v>1</v>
      </c>
      <c r="BV20" s="1">
        <v>2</v>
      </c>
      <c r="BW20" s="1">
        <v>1</v>
      </c>
      <c r="BX20" s="1">
        <v>0</v>
      </c>
      <c r="BY20" s="1">
        <v>0</v>
      </c>
      <c r="BZ20" s="1">
        <v>0</v>
      </c>
      <c r="CA20" s="1">
        <v>0</v>
      </c>
      <c r="CB20" s="1">
        <v>0</v>
      </c>
      <c r="CC20" s="1">
        <v>0</v>
      </c>
      <c r="CD20" s="1">
        <v>0</v>
      </c>
      <c r="CE20" s="1">
        <v>0</v>
      </c>
      <c r="CF20" s="1">
        <v>0</v>
      </c>
      <c r="CG20" s="1">
        <v>0</v>
      </c>
      <c r="CH20" s="1">
        <v>0</v>
      </c>
      <c r="CI20" s="1">
        <v>0</v>
      </c>
      <c r="CJ20" s="1">
        <v>4</v>
      </c>
      <c r="CK20" s="1">
        <v>4</v>
      </c>
      <c r="CL20" s="1">
        <v>3</v>
      </c>
      <c r="CM20" s="1">
        <v>3</v>
      </c>
      <c r="CN20" s="1">
        <v>4</v>
      </c>
      <c r="CO20" s="1">
        <v>4</v>
      </c>
      <c r="CP20" s="1">
        <v>4</v>
      </c>
      <c r="CU20" s="1">
        <v>1</v>
      </c>
    </row>
    <row r="21" spans="1:99" x14ac:dyDescent="0.35">
      <c r="A21" s="1" t="s">
        <v>1883</v>
      </c>
      <c r="B21" s="1">
        <v>181121035</v>
      </c>
      <c r="C21" s="1">
        <v>0</v>
      </c>
      <c r="D21" s="1">
        <v>1</v>
      </c>
      <c r="E21" s="1">
        <v>0</v>
      </c>
      <c r="F21" s="1">
        <v>0</v>
      </c>
      <c r="G21" s="1">
        <v>0</v>
      </c>
      <c r="H21" s="1">
        <v>0</v>
      </c>
      <c r="I21" s="1">
        <v>0</v>
      </c>
      <c r="J21" s="1">
        <v>0</v>
      </c>
      <c r="K21" s="1">
        <v>1</v>
      </c>
      <c r="L21" s="1">
        <v>0</v>
      </c>
      <c r="M21" s="1">
        <v>0</v>
      </c>
      <c r="N21" s="1">
        <v>0</v>
      </c>
      <c r="O21" s="1">
        <v>0</v>
      </c>
      <c r="P21" s="1">
        <v>3</v>
      </c>
      <c r="Q21" s="1">
        <v>1</v>
      </c>
      <c r="R21" s="1">
        <v>1</v>
      </c>
      <c r="S21" s="1">
        <v>1</v>
      </c>
      <c r="T21" s="1">
        <v>1</v>
      </c>
      <c r="U21" s="1">
        <v>2</v>
      </c>
      <c r="V21" s="1">
        <v>2</v>
      </c>
      <c r="W21" s="1">
        <v>2</v>
      </c>
      <c r="X21" s="1">
        <v>2</v>
      </c>
      <c r="Y21" s="1">
        <v>2</v>
      </c>
      <c r="Z21" s="1">
        <v>2</v>
      </c>
      <c r="AA21" s="1">
        <v>2</v>
      </c>
      <c r="AC21" s="1">
        <v>1</v>
      </c>
      <c r="AD21" s="1">
        <v>5</v>
      </c>
      <c r="AF21" s="3">
        <v>4500000</v>
      </c>
      <c r="AG21" s="1">
        <v>12</v>
      </c>
      <c r="AS21" s="1" t="s">
        <v>244</v>
      </c>
      <c r="BP21" s="1">
        <v>6</v>
      </c>
      <c r="BQ21" s="1" t="s">
        <v>1884</v>
      </c>
      <c r="BT21" s="1" t="s">
        <v>79</v>
      </c>
      <c r="BU21" s="1">
        <v>1</v>
      </c>
      <c r="BV21" s="1">
        <v>2</v>
      </c>
      <c r="BW21" s="1">
        <v>1</v>
      </c>
      <c r="BX21" s="1">
        <v>0</v>
      </c>
      <c r="BY21" s="1">
        <v>0</v>
      </c>
      <c r="BZ21" s="1">
        <v>0</v>
      </c>
      <c r="CA21" s="1">
        <v>0</v>
      </c>
      <c r="CB21" s="1">
        <v>0</v>
      </c>
      <c r="CC21" s="1">
        <v>0</v>
      </c>
      <c r="CD21" s="1">
        <v>0</v>
      </c>
      <c r="CE21" s="1">
        <v>0</v>
      </c>
      <c r="CF21" s="1">
        <v>0</v>
      </c>
      <c r="CG21" s="1">
        <v>0</v>
      </c>
      <c r="CH21" s="1">
        <v>0</v>
      </c>
      <c r="CI21" s="1">
        <v>0</v>
      </c>
      <c r="CJ21" s="1">
        <v>4</v>
      </c>
      <c r="CK21" s="1">
        <v>4</v>
      </c>
      <c r="CL21" s="1">
        <v>4</v>
      </c>
      <c r="CM21" s="1">
        <v>4</v>
      </c>
      <c r="CN21" s="1">
        <v>4</v>
      </c>
      <c r="CO21" s="1">
        <v>4</v>
      </c>
      <c r="CP21" s="1">
        <v>4</v>
      </c>
      <c r="CU21" s="1">
        <v>1</v>
      </c>
    </row>
    <row r="22" spans="1:99" x14ac:dyDescent="0.35">
      <c r="A22" s="1" t="s">
        <v>1885</v>
      </c>
      <c r="B22" s="1">
        <v>181121036</v>
      </c>
      <c r="C22" s="1">
        <v>0</v>
      </c>
      <c r="D22" s="1">
        <v>1</v>
      </c>
      <c r="E22" s="1">
        <v>0</v>
      </c>
      <c r="F22" s="1">
        <v>0</v>
      </c>
      <c r="G22" s="1">
        <v>0</v>
      </c>
      <c r="H22" s="1">
        <v>0</v>
      </c>
      <c r="I22" s="1">
        <v>0</v>
      </c>
      <c r="J22" s="1">
        <v>0</v>
      </c>
      <c r="K22" s="1">
        <v>0</v>
      </c>
      <c r="L22" s="1">
        <v>0</v>
      </c>
      <c r="M22" s="1">
        <v>0</v>
      </c>
      <c r="N22" s="1">
        <v>0</v>
      </c>
      <c r="O22" s="1">
        <v>0</v>
      </c>
      <c r="P22" s="1">
        <v>25</v>
      </c>
      <c r="Q22" s="1">
        <v>3</v>
      </c>
      <c r="R22" s="1">
        <v>2</v>
      </c>
      <c r="S22" s="1">
        <v>1</v>
      </c>
      <c r="T22" s="1">
        <v>3</v>
      </c>
      <c r="U22" s="1">
        <v>4</v>
      </c>
      <c r="V22" s="1">
        <v>3</v>
      </c>
      <c r="W22" s="1">
        <v>3</v>
      </c>
      <c r="X22" s="1">
        <v>4</v>
      </c>
      <c r="Y22" s="1">
        <v>3</v>
      </c>
      <c r="Z22" s="1">
        <v>4</v>
      </c>
      <c r="AA22" s="1">
        <v>4</v>
      </c>
      <c r="AC22" s="1">
        <v>1</v>
      </c>
      <c r="AD22" s="1">
        <v>1</v>
      </c>
      <c r="AF22" s="3">
        <v>4285000</v>
      </c>
      <c r="AG22" s="1">
        <v>13</v>
      </c>
      <c r="AT22" s="1" t="s">
        <v>402</v>
      </c>
      <c r="BP22" s="1">
        <v>3</v>
      </c>
      <c r="BQ22" s="1" t="s">
        <v>1886</v>
      </c>
      <c r="BR22" s="1" t="s">
        <v>1887</v>
      </c>
      <c r="BS22" s="1" t="s">
        <v>1888</v>
      </c>
      <c r="BT22" s="1" t="s">
        <v>107</v>
      </c>
      <c r="BU22" s="1">
        <v>2</v>
      </c>
      <c r="BV22" s="1">
        <v>2</v>
      </c>
      <c r="BW22" s="1">
        <v>1</v>
      </c>
      <c r="BX22" s="1">
        <v>0</v>
      </c>
      <c r="BY22" s="1">
        <v>0</v>
      </c>
      <c r="BZ22" s="1">
        <v>0</v>
      </c>
      <c r="CA22" s="1">
        <v>0</v>
      </c>
      <c r="CB22" s="1">
        <v>0</v>
      </c>
      <c r="CC22" s="1">
        <v>0</v>
      </c>
      <c r="CD22" s="1">
        <v>0</v>
      </c>
      <c r="CE22" s="1">
        <v>0</v>
      </c>
      <c r="CF22" s="1">
        <v>0</v>
      </c>
      <c r="CG22" s="1">
        <v>0</v>
      </c>
      <c r="CH22" s="1">
        <v>0</v>
      </c>
      <c r="CI22" s="1">
        <v>0</v>
      </c>
      <c r="CJ22" s="1">
        <v>4</v>
      </c>
      <c r="CK22" s="1">
        <v>3</v>
      </c>
      <c r="CL22" s="1">
        <v>3</v>
      </c>
      <c r="CM22" s="1">
        <v>4</v>
      </c>
      <c r="CN22" s="1">
        <v>4</v>
      </c>
      <c r="CO22" s="1">
        <v>4</v>
      </c>
      <c r="CP22" s="1">
        <v>4</v>
      </c>
      <c r="CU22" s="1">
        <v>2</v>
      </c>
    </row>
    <row r="23" spans="1:99" x14ac:dyDescent="0.35">
      <c r="A23" s="1" t="s">
        <v>1889</v>
      </c>
      <c r="B23" s="1">
        <v>181121037</v>
      </c>
      <c r="C23" s="1">
        <v>0</v>
      </c>
      <c r="D23" s="1">
        <v>1</v>
      </c>
      <c r="E23" s="1">
        <v>0</v>
      </c>
      <c r="F23" s="1">
        <v>0</v>
      </c>
      <c r="G23" s="1">
        <v>0</v>
      </c>
      <c r="H23" s="1">
        <v>0</v>
      </c>
      <c r="I23" s="1">
        <v>0</v>
      </c>
      <c r="J23" s="1">
        <v>0</v>
      </c>
      <c r="K23" s="1">
        <v>0</v>
      </c>
      <c r="L23" s="1">
        <v>0</v>
      </c>
      <c r="M23" s="1">
        <v>0</v>
      </c>
      <c r="N23" s="1">
        <v>0</v>
      </c>
      <c r="O23" s="1">
        <v>0</v>
      </c>
      <c r="P23" s="1">
        <v>31</v>
      </c>
      <c r="Q23" s="1">
        <v>6</v>
      </c>
      <c r="R23" s="1">
        <v>6</v>
      </c>
      <c r="S23" s="1">
        <v>1</v>
      </c>
      <c r="T23" s="1">
        <v>1</v>
      </c>
      <c r="U23" s="1">
        <v>4</v>
      </c>
      <c r="V23" s="1">
        <v>4</v>
      </c>
      <c r="W23" s="1">
        <v>3</v>
      </c>
      <c r="X23" s="1">
        <v>4</v>
      </c>
      <c r="Y23" s="1">
        <v>4</v>
      </c>
      <c r="Z23" s="1">
        <v>4</v>
      </c>
      <c r="AA23" s="1">
        <v>4</v>
      </c>
      <c r="AC23" s="1">
        <v>1</v>
      </c>
      <c r="AD23" s="1">
        <v>6</v>
      </c>
      <c r="AF23" s="3">
        <v>4600000</v>
      </c>
      <c r="AG23" s="1">
        <v>13</v>
      </c>
      <c r="AT23" s="1" t="s">
        <v>86</v>
      </c>
      <c r="BP23" s="1">
        <v>3</v>
      </c>
      <c r="BQ23" s="1" t="s">
        <v>1890</v>
      </c>
      <c r="BT23" s="1" t="s">
        <v>79</v>
      </c>
      <c r="BU23" s="1">
        <v>1</v>
      </c>
      <c r="BV23" s="1">
        <v>2</v>
      </c>
      <c r="BW23" s="1">
        <v>1</v>
      </c>
      <c r="BX23" s="1">
        <v>0</v>
      </c>
      <c r="BY23" s="1">
        <v>0</v>
      </c>
      <c r="BZ23" s="1">
        <v>0</v>
      </c>
      <c r="CA23" s="1">
        <v>0</v>
      </c>
      <c r="CB23" s="1">
        <v>0</v>
      </c>
      <c r="CC23" s="1">
        <v>0</v>
      </c>
      <c r="CD23" s="1">
        <v>0</v>
      </c>
      <c r="CE23" s="1">
        <v>0</v>
      </c>
      <c r="CF23" s="1">
        <v>0</v>
      </c>
      <c r="CG23" s="1">
        <v>0</v>
      </c>
      <c r="CH23" s="1">
        <v>0</v>
      </c>
      <c r="CI23" s="1">
        <v>0</v>
      </c>
      <c r="CJ23" s="1">
        <v>4</v>
      </c>
      <c r="CK23" s="1">
        <v>4</v>
      </c>
      <c r="CL23" s="1">
        <v>4</v>
      </c>
      <c r="CM23" s="1">
        <v>4</v>
      </c>
      <c r="CN23" s="1">
        <v>4</v>
      </c>
      <c r="CO23" s="1">
        <v>4</v>
      </c>
      <c r="CP23" s="1">
        <v>4</v>
      </c>
      <c r="CU23" s="1">
        <v>1</v>
      </c>
    </row>
    <row r="24" spans="1:99" x14ac:dyDescent="0.35">
      <c r="A24" s="1" t="s">
        <v>1891</v>
      </c>
      <c r="B24" s="1">
        <v>181121038</v>
      </c>
      <c r="C24" s="1">
        <v>0</v>
      </c>
      <c r="D24" s="1">
        <v>1</v>
      </c>
      <c r="E24" s="1">
        <v>0</v>
      </c>
      <c r="F24" s="1">
        <v>0</v>
      </c>
      <c r="G24" s="1">
        <v>0</v>
      </c>
      <c r="H24" s="1">
        <v>0</v>
      </c>
      <c r="I24" s="1">
        <v>0</v>
      </c>
      <c r="J24" s="1">
        <v>0</v>
      </c>
      <c r="K24" s="1">
        <v>0</v>
      </c>
      <c r="L24" s="1">
        <v>0</v>
      </c>
      <c r="M24" s="1">
        <v>0</v>
      </c>
      <c r="N24" s="1">
        <v>0</v>
      </c>
      <c r="O24" s="1">
        <v>0</v>
      </c>
      <c r="P24" s="1">
        <v>20</v>
      </c>
      <c r="Q24" s="1">
        <v>10</v>
      </c>
      <c r="R24" s="1">
        <v>6</v>
      </c>
      <c r="S24" s="1">
        <v>1</v>
      </c>
      <c r="T24" s="1">
        <v>1</v>
      </c>
      <c r="U24" s="1">
        <v>4</v>
      </c>
      <c r="V24" s="1">
        <v>3</v>
      </c>
      <c r="W24" s="1">
        <v>4</v>
      </c>
      <c r="X24" s="1">
        <v>4</v>
      </c>
      <c r="Y24" s="1">
        <v>3</v>
      </c>
      <c r="Z24" s="1">
        <v>4</v>
      </c>
      <c r="AA24" s="1">
        <v>4</v>
      </c>
      <c r="AC24" s="1">
        <v>1</v>
      </c>
      <c r="AD24" s="1">
        <v>1</v>
      </c>
      <c r="AE24" s="1">
        <v>1</v>
      </c>
      <c r="AF24" s="3">
        <v>5000000</v>
      </c>
      <c r="AG24" s="1">
        <v>13</v>
      </c>
      <c r="AT24" s="1" t="s">
        <v>402</v>
      </c>
      <c r="BP24" s="1">
        <v>3</v>
      </c>
      <c r="BQ24" s="1" t="s">
        <v>1892</v>
      </c>
      <c r="BR24" s="1" t="s">
        <v>1893</v>
      </c>
      <c r="BT24" s="1" t="s">
        <v>79</v>
      </c>
      <c r="BU24" s="1">
        <v>2</v>
      </c>
      <c r="BV24" s="1">
        <v>1</v>
      </c>
      <c r="BW24" s="1">
        <v>0</v>
      </c>
      <c r="BX24" s="1">
        <v>0</v>
      </c>
      <c r="BY24" s="1">
        <v>1</v>
      </c>
      <c r="BZ24" s="1">
        <v>0</v>
      </c>
      <c r="CA24" s="1">
        <v>0</v>
      </c>
      <c r="CB24" s="1">
        <v>0</v>
      </c>
      <c r="CC24" s="1">
        <v>0</v>
      </c>
      <c r="CD24" s="1">
        <v>0</v>
      </c>
      <c r="CE24" s="1">
        <v>0</v>
      </c>
      <c r="CF24" s="1">
        <v>1</v>
      </c>
      <c r="CG24" s="1">
        <v>0</v>
      </c>
      <c r="CH24" s="1">
        <v>1</v>
      </c>
      <c r="CI24" s="1">
        <v>0</v>
      </c>
      <c r="CJ24" s="1">
        <v>4</v>
      </c>
      <c r="CK24" s="1">
        <v>4</v>
      </c>
      <c r="CL24" s="1">
        <v>2</v>
      </c>
      <c r="CM24" s="1">
        <v>4</v>
      </c>
      <c r="CN24" s="1">
        <v>4</v>
      </c>
      <c r="CO24" s="1">
        <v>4</v>
      </c>
      <c r="CP24" s="1">
        <v>4</v>
      </c>
      <c r="CU24" s="1">
        <v>2</v>
      </c>
    </row>
    <row r="25" spans="1:99" x14ac:dyDescent="0.35">
      <c r="A25" s="1" t="s">
        <v>1894</v>
      </c>
      <c r="B25" s="1">
        <v>181121040</v>
      </c>
      <c r="C25" s="1">
        <v>0</v>
      </c>
      <c r="D25" s="1">
        <v>0</v>
      </c>
      <c r="E25" s="1">
        <v>0</v>
      </c>
      <c r="F25" s="1">
        <v>0</v>
      </c>
      <c r="G25" s="1">
        <v>0</v>
      </c>
      <c r="H25" s="1">
        <v>0</v>
      </c>
      <c r="I25" s="1">
        <v>0</v>
      </c>
      <c r="J25" s="1">
        <v>0</v>
      </c>
      <c r="K25" s="1">
        <v>1</v>
      </c>
      <c r="L25" s="1">
        <v>0</v>
      </c>
      <c r="M25" s="1">
        <v>0</v>
      </c>
      <c r="N25" s="1">
        <v>0</v>
      </c>
      <c r="O25" s="1">
        <v>0</v>
      </c>
      <c r="P25" s="1">
        <v>1</v>
      </c>
      <c r="Q25" s="1">
        <v>5</v>
      </c>
      <c r="R25" s="1">
        <v>3</v>
      </c>
      <c r="S25" s="1">
        <v>1</v>
      </c>
      <c r="T25" s="1">
        <v>1</v>
      </c>
      <c r="U25" s="1">
        <v>4</v>
      </c>
      <c r="V25" s="1">
        <v>3</v>
      </c>
      <c r="W25" s="1">
        <v>2</v>
      </c>
      <c r="X25" s="1">
        <v>4</v>
      </c>
      <c r="Y25" s="1">
        <v>3</v>
      </c>
      <c r="Z25" s="1">
        <v>4</v>
      </c>
      <c r="AA25" s="1">
        <v>3</v>
      </c>
      <c r="AC25" s="1">
        <v>1</v>
      </c>
      <c r="AD25" s="1">
        <v>1</v>
      </c>
      <c r="AE25" s="1">
        <v>1</v>
      </c>
      <c r="AF25" s="3">
        <v>4500000</v>
      </c>
      <c r="AG25" s="1">
        <v>12</v>
      </c>
      <c r="AS25" s="1" t="s">
        <v>69</v>
      </c>
      <c r="BP25" s="1">
        <v>3</v>
      </c>
      <c r="BQ25" s="1" t="s">
        <v>1895</v>
      </c>
      <c r="BR25" s="1" t="s">
        <v>1896</v>
      </c>
      <c r="BT25" s="1" t="s">
        <v>79</v>
      </c>
      <c r="BU25" s="1">
        <v>1</v>
      </c>
      <c r="BV25" s="1">
        <v>2</v>
      </c>
      <c r="BW25" s="1">
        <v>1</v>
      </c>
      <c r="BX25" s="1">
        <v>0</v>
      </c>
      <c r="BY25" s="1">
        <v>0</v>
      </c>
      <c r="BZ25" s="1">
        <v>0</v>
      </c>
      <c r="CA25" s="1">
        <v>0</v>
      </c>
      <c r="CB25" s="1">
        <v>0</v>
      </c>
      <c r="CC25" s="1">
        <v>0</v>
      </c>
      <c r="CD25" s="1">
        <v>0</v>
      </c>
      <c r="CE25" s="1">
        <v>0</v>
      </c>
      <c r="CF25" s="1">
        <v>0</v>
      </c>
      <c r="CG25" s="1">
        <v>0</v>
      </c>
      <c r="CH25" s="1">
        <v>0</v>
      </c>
      <c r="CI25" s="1">
        <v>0</v>
      </c>
      <c r="CJ25" s="1">
        <v>4</v>
      </c>
      <c r="CK25" s="1">
        <v>4</v>
      </c>
      <c r="CL25" s="1">
        <v>3</v>
      </c>
      <c r="CM25" s="1">
        <v>4</v>
      </c>
      <c r="CN25" s="1">
        <v>4</v>
      </c>
      <c r="CO25" s="1">
        <v>4</v>
      </c>
      <c r="CP25" s="1">
        <v>4</v>
      </c>
      <c r="CU25" s="1">
        <v>1</v>
      </c>
    </row>
    <row r="26" spans="1:99" x14ac:dyDescent="0.35">
      <c r="A26" s="1" t="s">
        <v>1897</v>
      </c>
      <c r="B26" s="1">
        <v>181121041</v>
      </c>
    </row>
    <row r="27" spans="1:99" x14ac:dyDescent="0.35">
      <c r="A27" s="1" t="s">
        <v>1898</v>
      </c>
      <c r="B27" s="1">
        <v>181121042</v>
      </c>
      <c r="C27" s="1">
        <v>0</v>
      </c>
      <c r="D27" s="1">
        <v>1</v>
      </c>
      <c r="E27" s="1">
        <v>1</v>
      </c>
      <c r="F27" s="1">
        <v>0</v>
      </c>
      <c r="G27" s="1">
        <v>0</v>
      </c>
      <c r="H27" s="1">
        <v>0</v>
      </c>
      <c r="I27" s="1">
        <v>0</v>
      </c>
      <c r="J27" s="1">
        <v>0</v>
      </c>
      <c r="K27" s="1">
        <v>0</v>
      </c>
      <c r="L27" s="1">
        <v>0</v>
      </c>
      <c r="M27" s="1">
        <v>1</v>
      </c>
      <c r="N27" s="1">
        <v>0</v>
      </c>
      <c r="O27" s="1">
        <v>0</v>
      </c>
      <c r="P27" s="1">
        <v>8</v>
      </c>
      <c r="Q27" s="1">
        <v>4</v>
      </c>
      <c r="R27" s="1">
        <v>3</v>
      </c>
      <c r="S27" s="1">
        <v>1</v>
      </c>
      <c r="T27" s="1">
        <v>1</v>
      </c>
      <c r="U27" s="1">
        <v>3</v>
      </c>
      <c r="V27" s="1">
        <v>3</v>
      </c>
      <c r="W27" s="1">
        <v>2</v>
      </c>
      <c r="X27" s="1">
        <v>3</v>
      </c>
      <c r="Y27" s="1">
        <v>3</v>
      </c>
      <c r="Z27" s="1">
        <v>3</v>
      </c>
      <c r="AA27" s="1">
        <v>3</v>
      </c>
      <c r="AC27" s="1">
        <v>1</v>
      </c>
      <c r="AD27" s="1">
        <v>1</v>
      </c>
      <c r="AF27" s="3">
        <v>7500000</v>
      </c>
      <c r="AG27" s="1">
        <v>12</v>
      </c>
      <c r="AS27" s="1" t="s">
        <v>244</v>
      </c>
      <c r="BP27" s="1">
        <v>6</v>
      </c>
      <c r="BQ27" s="1" t="s">
        <v>1899</v>
      </c>
      <c r="BR27" s="1" t="s">
        <v>1900</v>
      </c>
      <c r="BT27" s="1" t="s">
        <v>79</v>
      </c>
      <c r="BU27" s="1">
        <v>1</v>
      </c>
      <c r="BV27" s="1">
        <v>1</v>
      </c>
      <c r="BW27" s="1">
        <v>1</v>
      </c>
      <c r="BX27" s="1">
        <v>0</v>
      </c>
      <c r="BY27" s="1">
        <v>0</v>
      </c>
      <c r="BZ27" s="1">
        <v>0</v>
      </c>
      <c r="CA27" s="1">
        <v>0</v>
      </c>
      <c r="CB27" s="1">
        <v>0</v>
      </c>
      <c r="CC27" s="1">
        <v>0</v>
      </c>
      <c r="CD27" s="1">
        <v>0</v>
      </c>
      <c r="CE27" s="1">
        <v>0</v>
      </c>
      <c r="CF27" s="1">
        <v>0</v>
      </c>
      <c r="CG27" s="1">
        <v>0</v>
      </c>
      <c r="CH27" s="1">
        <v>0</v>
      </c>
      <c r="CI27" s="1">
        <v>0</v>
      </c>
      <c r="CJ27" s="1">
        <v>4</v>
      </c>
      <c r="CK27" s="1">
        <v>4</v>
      </c>
      <c r="CL27" s="1">
        <v>4</v>
      </c>
      <c r="CM27" s="1">
        <v>4</v>
      </c>
      <c r="CN27" s="1">
        <v>4</v>
      </c>
      <c r="CO27" s="1">
        <v>4</v>
      </c>
      <c r="CP27" s="1">
        <v>4</v>
      </c>
      <c r="CU27" s="1">
        <v>1</v>
      </c>
    </row>
    <row r="28" spans="1:99" x14ac:dyDescent="0.35">
      <c r="A28" s="1" t="s">
        <v>1901</v>
      </c>
      <c r="B28" s="1">
        <v>181121044</v>
      </c>
      <c r="C28" s="1">
        <v>0</v>
      </c>
      <c r="D28" s="1">
        <v>1</v>
      </c>
      <c r="E28" s="1">
        <v>0</v>
      </c>
      <c r="F28" s="1">
        <v>0</v>
      </c>
      <c r="G28" s="1">
        <v>0</v>
      </c>
      <c r="H28" s="1">
        <v>1</v>
      </c>
      <c r="I28" s="1">
        <v>0</v>
      </c>
      <c r="J28" s="1">
        <v>1</v>
      </c>
      <c r="K28" s="1">
        <v>0</v>
      </c>
      <c r="L28" s="1">
        <v>0</v>
      </c>
      <c r="M28" s="1">
        <v>0</v>
      </c>
      <c r="N28" s="1">
        <v>0</v>
      </c>
      <c r="O28" s="1">
        <v>0</v>
      </c>
      <c r="P28" s="1">
        <v>15</v>
      </c>
      <c r="Q28" s="1">
        <v>4</v>
      </c>
      <c r="R28" s="1">
        <v>4</v>
      </c>
      <c r="S28" s="1">
        <v>1</v>
      </c>
      <c r="T28" s="1">
        <v>4</v>
      </c>
      <c r="U28" s="1">
        <v>4</v>
      </c>
      <c r="V28" s="1">
        <v>3</v>
      </c>
      <c r="W28" s="1">
        <v>3</v>
      </c>
      <c r="X28" s="1">
        <v>3</v>
      </c>
      <c r="Y28" s="1">
        <v>3</v>
      </c>
      <c r="Z28" s="1">
        <v>4</v>
      </c>
      <c r="AA28" s="1">
        <v>3</v>
      </c>
      <c r="AC28" s="1">
        <v>2</v>
      </c>
      <c r="AE28" s="1">
        <v>1</v>
      </c>
      <c r="AF28" s="3">
        <v>6650000</v>
      </c>
      <c r="AG28" s="1">
        <v>13</v>
      </c>
      <c r="AT28" s="1" t="s">
        <v>75</v>
      </c>
      <c r="BP28" s="1">
        <v>3</v>
      </c>
      <c r="BQ28" s="1" t="s">
        <v>1902</v>
      </c>
      <c r="BR28" s="1" t="s">
        <v>1903</v>
      </c>
      <c r="BS28" s="1" t="s">
        <v>1904</v>
      </c>
      <c r="BT28" s="1" t="s">
        <v>73</v>
      </c>
      <c r="BU28" s="1">
        <v>1</v>
      </c>
      <c r="BV28" s="1">
        <v>1</v>
      </c>
      <c r="BW28" s="1">
        <v>1</v>
      </c>
      <c r="BX28" s="1">
        <v>0</v>
      </c>
      <c r="BY28" s="1">
        <v>0</v>
      </c>
      <c r="BZ28" s="1">
        <v>0</v>
      </c>
      <c r="CA28" s="1">
        <v>0</v>
      </c>
      <c r="CB28" s="1">
        <v>0</v>
      </c>
      <c r="CC28" s="1">
        <v>0</v>
      </c>
      <c r="CD28" s="1">
        <v>0</v>
      </c>
      <c r="CE28" s="1">
        <v>0</v>
      </c>
      <c r="CF28" s="1">
        <v>0</v>
      </c>
      <c r="CG28" s="1">
        <v>0</v>
      </c>
      <c r="CH28" s="1">
        <v>0</v>
      </c>
      <c r="CI28" s="1">
        <v>0</v>
      </c>
      <c r="CJ28" s="1">
        <v>3</v>
      </c>
      <c r="CK28" s="1">
        <v>4</v>
      </c>
      <c r="CL28" s="1">
        <v>4</v>
      </c>
      <c r="CM28" s="1">
        <v>3</v>
      </c>
      <c r="CN28" s="1">
        <v>4</v>
      </c>
      <c r="CO28" s="1">
        <v>4</v>
      </c>
      <c r="CP28" s="1">
        <v>4</v>
      </c>
      <c r="CU28" s="1">
        <v>1</v>
      </c>
    </row>
    <row r="29" spans="1:99" x14ac:dyDescent="0.35">
      <c r="A29" s="1" t="s">
        <v>1905</v>
      </c>
      <c r="B29" s="1">
        <v>181121045</v>
      </c>
      <c r="C29" s="1">
        <v>0</v>
      </c>
      <c r="D29" s="1">
        <v>1</v>
      </c>
      <c r="E29" s="1">
        <v>1</v>
      </c>
      <c r="F29" s="1">
        <v>0</v>
      </c>
      <c r="G29" s="1">
        <v>0</v>
      </c>
      <c r="H29" s="1">
        <v>0</v>
      </c>
      <c r="I29" s="1">
        <v>0</v>
      </c>
      <c r="J29" s="1">
        <v>0</v>
      </c>
      <c r="K29" s="1">
        <v>1</v>
      </c>
      <c r="L29" s="1">
        <v>0</v>
      </c>
      <c r="M29" s="1">
        <v>0</v>
      </c>
      <c r="N29" s="1">
        <v>0</v>
      </c>
      <c r="O29" s="1">
        <v>0</v>
      </c>
      <c r="P29" s="1">
        <v>80</v>
      </c>
      <c r="Q29" s="1">
        <v>40</v>
      </c>
      <c r="R29" s="1">
        <v>20</v>
      </c>
      <c r="S29" s="1">
        <v>1</v>
      </c>
      <c r="T29" s="1">
        <v>1</v>
      </c>
      <c r="U29" s="1">
        <v>4</v>
      </c>
      <c r="V29" s="1">
        <v>4</v>
      </c>
      <c r="W29" s="1">
        <v>3</v>
      </c>
      <c r="X29" s="1">
        <v>3</v>
      </c>
      <c r="Y29" s="1">
        <v>4</v>
      </c>
      <c r="Z29" s="1">
        <v>4</v>
      </c>
      <c r="AA29" s="1">
        <v>4</v>
      </c>
      <c r="AC29" s="1">
        <v>1</v>
      </c>
      <c r="AD29" s="1">
        <v>5</v>
      </c>
      <c r="AE29" s="1">
        <v>5</v>
      </c>
      <c r="AF29" s="3">
        <v>4500000</v>
      </c>
      <c r="AG29" s="1">
        <v>11</v>
      </c>
      <c r="AR29" s="1" t="s">
        <v>130</v>
      </c>
      <c r="BP29" s="1">
        <v>6</v>
      </c>
      <c r="BQ29" s="1" t="s">
        <v>1906</v>
      </c>
      <c r="BR29" s="1" t="s">
        <v>1907</v>
      </c>
      <c r="BT29" s="1" t="s">
        <v>79</v>
      </c>
      <c r="BU29" s="1">
        <v>1</v>
      </c>
      <c r="BV29" s="1">
        <v>1</v>
      </c>
      <c r="BW29" s="1">
        <v>0</v>
      </c>
      <c r="BX29" s="1">
        <v>0</v>
      </c>
      <c r="BY29" s="1">
        <v>1</v>
      </c>
      <c r="BZ29" s="1">
        <v>0</v>
      </c>
      <c r="CA29" s="1">
        <v>0</v>
      </c>
      <c r="CB29" s="1">
        <v>0</v>
      </c>
      <c r="CC29" s="1">
        <v>0</v>
      </c>
      <c r="CD29" s="1">
        <v>0</v>
      </c>
      <c r="CE29" s="1">
        <v>0</v>
      </c>
      <c r="CF29" s="1">
        <v>0</v>
      </c>
      <c r="CG29" s="1">
        <v>0</v>
      </c>
      <c r="CH29" s="1">
        <v>0</v>
      </c>
      <c r="CI29" s="1">
        <v>0</v>
      </c>
      <c r="CJ29" s="1">
        <v>4</v>
      </c>
      <c r="CK29" s="1">
        <v>4</v>
      </c>
      <c r="CL29" s="1">
        <v>4</v>
      </c>
      <c r="CM29" s="1">
        <v>4</v>
      </c>
      <c r="CN29" s="1">
        <v>4</v>
      </c>
      <c r="CO29" s="1">
        <v>4</v>
      </c>
      <c r="CP29" s="1">
        <v>4</v>
      </c>
      <c r="CU29" s="1">
        <v>1</v>
      </c>
    </row>
    <row r="30" spans="1:99" x14ac:dyDescent="0.35">
      <c r="A30" s="1" t="s">
        <v>1908</v>
      </c>
      <c r="B30" s="1">
        <v>181121046</v>
      </c>
      <c r="C30" s="1">
        <v>0</v>
      </c>
      <c r="D30" s="1">
        <v>1</v>
      </c>
      <c r="E30" s="1">
        <v>0</v>
      </c>
      <c r="F30" s="1">
        <v>0</v>
      </c>
      <c r="G30" s="1">
        <v>0</v>
      </c>
      <c r="H30" s="1">
        <v>0</v>
      </c>
      <c r="I30" s="1">
        <v>0</v>
      </c>
      <c r="J30" s="1">
        <v>0</v>
      </c>
      <c r="K30" s="1">
        <v>0</v>
      </c>
      <c r="L30" s="1">
        <v>1</v>
      </c>
      <c r="M30" s="1">
        <v>0</v>
      </c>
      <c r="N30" s="1">
        <v>0</v>
      </c>
      <c r="O30" s="1">
        <v>0</v>
      </c>
      <c r="P30" s="1">
        <v>20</v>
      </c>
      <c r="Q30" s="1">
        <v>6</v>
      </c>
      <c r="R30" s="1">
        <v>6</v>
      </c>
      <c r="S30" s="1">
        <v>1</v>
      </c>
      <c r="T30" s="1">
        <v>6</v>
      </c>
      <c r="U30" s="1">
        <v>4</v>
      </c>
      <c r="V30" s="1">
        <v>3</v>
      </c>
      <c r="W30" s="1">
        <v>4</v>
      </c>
      <c r="X30" s="1">
        <v>4</v>
      </c>
      <c r="Y30" s="1">
        <v>3</v>
      </c>
      <c r="Z30" s="1">
        <v>3</v>
      </c>
      <c r="AA30" s="1">
        <v>4</v>
      </c>
      <c r="AC30" s="1">
        <v>1</v>
      </c>
      <c r="AD30" s="1">
        <v>3</v>
      </c>
      <c r="AF30" s="3">
        <v>4000000</v>
      </c>
      <c r="AG30" s="1">
        <v>18</v>
      </c>
      <c r="AY30" s="1" t="s">
        <v>1875</v>
      </c>
      <c r="BP30" s="1">
        <v>6</v>
      </c>
      <c r="BQ30" s="1" t="s">
        <v>1909</v>
      </c>
      <c r="BR30" s="1" t="s">
        <v>1910</v>
      </c>
      <c r="BT30" s="1" t="s">
        <v>79</v>
      </c>
      <c r="BU30" s="1">
        <v>1</v>
      </c>
      <c r="BV30" s="1">
        <v>2</v>
      </c>
      <c r="BW30" s="1">
        <v>1</v>
      </c>
      <c r="BX30" s="1">
        <v>0</v>
      </c>
      <c r="BY30" s="1">
        <v>0</v>
      </c>
      <c r="BZ30" s="1">
        <v>0</v>
      </c>
      <c r="CA30" s="1">
        <v>0</v>
      </c>
      <c r="CB30" s="1">
        <v>0</v>
      </c>
      <c r="CC30" s="1">
        <v>0</v>
      </c>
      <c r="CD30" s="1">
        <v>0</v>
      </c>
      <c r="CE30" s="1">
        <v>0</v>
      </c>
      <c r="CF30" s="1">
        <v>0</v>
      </c>
      <c r="CG30" s="1">
        <v>0</v>
      </c>
      <c r="CH30" s="1">
        <v>0</v>
      </c>
      <c r="CI30" s="1">
        <v>0</v>
      </c>
      <c r="CJ30" s="1">
        <v>4</v>
      </c>
      <c r="CK30" s="1">
        <v>4</v>
      </c>
      <c r="CL30" s="1">
        <v>4</v>
      </c>
      <c r="CM30" s="1">
        <v>4</v>
      </c>
      <c r="CN30" s="1">
        <v>4</v>
      </c>
      <c r="CO30" s="1">
        <v>4</v>
      </c>
      <c r="CP30" s="1">
        <v>4</v>
      </c>
      <c r="CU30" s="1">
        <v>4</v>
      </c>
    </row>
    <row r="31" spans="1:99" x14ac:dyDescent="0.35">
      <c r="A31" s="1" t="s">
        <v>1911</v>
      </c>
      <c r="B31" s="1">
        <v>181121047</v>
      </c>
      <c r="C31" s="1">
        <v>1</v>
      </c>
      <c r="D31" s="1">
        <v>1</v>
      </c>
      <c r="E31" s="1">
        <v>0</v>
      </c>
      <c r="F31" s="1">
        <v>0</v>
      </c>
      <c r="G31" s="1">
        <v>0</v>
      </c>
      <c r="H31" s="1">
        <v>0</v>
      </c>
      <c r="I31" s="1">
        <v>0</v>
      </c>
      <c r="J31" s="1">
        <v>0</v>
      </c>
      <c r="K31" s="1">
        <v>1</v>
      </c>
      <c r="L31" s="1">
        <v>0</v>
      </c>
      <c r="M31" s="1">
        <v>0</v>
      </c>
      <c r="N31" s="1">
        <v>0</v>
      </c>
      <c r="O31" s="1">
        <v>0</v>
      </c>
      <c r="P31" s="1" t="s">
        <v>1912</v>
      </c>
      <c r="Q31" s="1" t="s">
        <v>436</v>
      </c>
      <c r="R31" s="1" t="s">
        <v>1913</v>
      </c>
      <c r="S31" s="1">
        <v>1</v>
      </c>
      <c r="T31" s="1">
        <v>1</v>
      </c>
      <c r="U31" s="1">
        <v>4</v>
      </c>
      <c r="V31" s="1">
        <v>3</v>
      </c>
      <c r="W31" s="1">
        <v>3</v>
      </c>
      <c r="X31" s="1">
        <v>3</v>
      </c>
      <c r="Y31" s="1">
        <v>3</v>
      </c>
      <c r="Z31" s="1">
        <v>3</v>
      </c>
      <c r="AA31" s="1">
        <v>4</v>
      </c>
      <c r="AC31" s="1">
        <v>2</v>
      </c>
      <c r="AE31" s="1">
        <v>1</v>
      </c>
      <c r="AF31" s="3">
        <v>5300000</v>
      </c>
      <c r="AG31" s="1">
        <v>13</v>
      </c>
      <c r="AT31" s="1" t="s">
        <v>75</v>
      </c>
      <c r="BP31" s="1">
        <v>3</v>
      </c>
      <c r="BQ31" s="1" t="s">
        <v>1914</v>
      </c>
      <c r="BR31" s="1" t="s">
        <v>1915</v>
      </c>
      <c r="BT31" s="1" t="s">
        <v>79</v>
      </c>
      <c r="BU31" s="1">
        <v>2</v>
      </c>
      <c r="BV31" s="1">
        <v>2</v>
      </c>
      <c r="BW31" s="1">
        <v>1</v>
      </c>
      <c r="BX31" s="1">
        <v>0</v>
      </c>
      <c r="BY31" s="1">
        <v>0</v>
      </c>
      <c r="BZ31" s="1">
        <v>0</v>
      </c>
      <c r="CA31" s="1">
        <v>0</v>
      </c>
      <c r="CB31" s="1">
        <v>0</v>
      </c>
      <c r="CC31" s="1">
        <v>0</v>
      </c>
      <c r="CD31" s="1">
        <v>0</v>
      </c>
      <c r="CE31" s="1">
        <v>0</v>
      </c>
      <c r="CF31" s="1">
        <v>0</v>
      </c>
      <c r="CG31" s="1">
        <v>0</v>
      </c>
      <c r="CH31" s="1">
        <v>0</v>
      </c>
      <c r="CI31" s="1">
        <v>0</v>
      </c>
      <c r="CJ31" s="1">
        <v>4</v>
      </c>
      <c r="CK31" s="1">
        <v>4</v>
      </c>
      <c r="CL31" s="1">
        <v>3</v>
      </c>
      <c r="CM31" s="1">
        <v>4</v>
      </c>
      <c r="CN31" s="1">
        <v>4</v>
      </c>
      <c r="CO31" s="1">
        <v>4</v>
      </c>
      <c r="CP31" s="1">
        <v>4</v>
      </c>
      <c r="CU31" s="1">
        <v>1</v>
      </c>
    </row>
    <row r="32" spans="1:99" x14ac:dyDescent="0.35">
      <c r="A32" s="1" t="s">
        <v>1916</v>
      </c>
      <c r="B32" s="1">
        <v>181121048</v>
      </c>
      <c r="C32" s="1">
        <v>0</v>
      </c>
      <c r="D32" s="1">
        <v>1</v>
      </c>
      <c r="E32" s="1">
        <v>0</v>
      </c>
      <c r="F32" s="1">
        <v>0</v>
      </c>
      <c r="G32" s="1">
        <v>0</v>
      </c>
      <c r="H32" s="1">
        <v>0</v>
      </c>
      <c r="I32" s="1">
        <v>0</v>
      </c>
      <c r="J32" s="1">
        <v>1</v>
      </c>
      <c r="K32" s="1">
        <v>0</v>
      </c>
      <c r="L32" s="1">
        <v>0</v>
      </c>
      <c r="M32" s="1">
        <v>0</v>
      </c>
      <c r="N32" s="1">
        <v>0</v>
      </c>
      <c r="O32" s="1">
        <v>0</v>
      </c>
      <c r="P32" s="1" t="s">
        <v>463</v>
      </c>
      <c r="Q32" s="4">
        <v>46054</v>
      </c>
      <c r="R32" s="1">
        <v>1</v>
      </c>
      <c r="S32" s="1">
        <v>1</v>
      </c>
      <c r="T32" s="1">
        <v>1</v>
      </c>
      <c r="U32" s="1">
        <v>4</v>
      </c>
      <c r="V32" s="1">
        <v>3</v>
      </c>
      <c r="W32" s="1">
        <v>2</v>
      </c>
      <c r="X32" s="1">
        <v>3</v>
      </c>
      <c r="Y32" s="1">
        <v>4</v>
      </c>
      <c r="Z32" s="1">
        <v>4</v>
      </c>
      <c r="AA32" s="1">
        <v>3</v>
      </c>
      <c r="AC32" s="1">
        <v>1</v>
      </c>
      <c r="AD32" s="1">
        <v>1</v>
      </c>
      <c r="AF32" s="3">
        <v>6000000</v>
      </c>
      <c r="AG32" s="1">
        <v>13</v>
      </c>
      <c r="AT32" s="1" t="s">
        <v>750</v>
      </c>
      <c r="BP32" s="1">
        <v>3</v>
      </c>
      <c r="BQ32" s="1" t="s">
        <v>1917</v>
      </c>
      <c r="BR32" s="1" t="s">
        <v>1918</v>
      </c>
      <c r="BT32" s="1" t="s">
        <v>79</v>
      </c>
      <c r="BU32" s="1">
        <v>1</v>
      </c>
      <c r="BV32" s="1">
        <v>1</v>
      </c>
      <c r="BW32" s="1">
        <v>1</v>
      </c>
      <c r="BX32" s="1">
        <v>0</v>
      </c>
      <c r="BY32" s="1">
        <v>1</v>
      </c>
      <c r="BZ32" s="1">
        <v>0</v>
      </c>
      <c r="CA32" s="1">
        <v>0</v>
      </c>
      <c r="CB32" s="1">
        <v>1</v>
      </c>
      <c r="CC32" s="1">
        <v>0</v>
      </c>
      <c r="CD32" s="1">
        <v>1</v>
      </c>
      <c r="CE32" s="1">
        <v>0</v>
      </c>
      <c r="CF32" s="1">
        <v>0</v>
      </c>
      <c r="CG32" s="1">
        <v>0</v>
      </c>
      <c r="CH32" s="1">
        <v>0</v>
      </c>
      <c r="CI32" s="1">
        <v>0</v>
      </c>
      <c r="CJ32" s="1">
        <v>4</v>
      </c>
      <c r="CK32" s="1">
        <v>4</v>
      </c>
      <c r="CL32" s="1">
        <v>1</v>
      </c>
      <c r="CM32" s="1">
        <v>3</v>
      </c>
      <c r="CN32" s="1">
        <v>4</v>
      </c>
      <c r="CO32" s="1">
        <v>4</v>
      </c>
      <c r="CP32" s="1">
        <v>4</v>
      </c>
      <c r="CU32" s="1">
        <v>1</v>
      </c>
    </row>
    <row r="33" spans="1:99" x14ac:dyDescent="0.35">
      <c r="A33" s="1" t="s">
        <v>1919</v>
      </c>
      <c r="B33" s="1">
        <v>181121049</v>
      </c>
      <c r="C33" s="1">
        <v>0</v>
      </c>
      <c r="D33" s="1">
        <v>1</v>
      </c>
      <c r="E33" s="1">
        <v>0</v>
      </c>
      <c r="F33" s="1">
        <v>0</v>
      </c>
      <c r="G33" s="1">
        <v>0</v>
      </c>
      <c r="H33" s="1">
        <v>0</v>
      </c>
      <c r="I33" s="1">
        <v>0</v>
      </c>
      <c r="J33" s="1">
        <v>0</v>
      </c>
      <c r="K33" s="1">
        <v>0</v>
      </c>
      <c r="L33" s="1">
        <v>0</v>
      </c>
      <c r="M33" s="1">
        <v>0</v>
      </c>
      <c r="N33" s="1">
        <v>0</v>
      </c>
      <c r="O33" s="1">
        <v>0</v>
      </c>
      <c r="P33" s="1">
        <v>80</v>
      </c>
      <c r="Q33" s="1">
        <v>5</v>
      </c>
      <c r="R33" s="1">
        <v>2</v>
      </c>
      <c r="S33" s="1">
        <v>1</v>
      </c>
      <c r="T33" s="1">
        <v>1</v>
      </c>
      <c r="U33" s="1">
        <v>3</v>
      </c>
      <c r="V33" s="1">
        <v>3</v>
      </c>
      <c r="W33" s="1">
        <v>2</v>
      </c>
      <c r="X33" s="1">
        <v>3</v>
      </c>
      <c r="Y33" s="1">
        <v>3</v>
      </c>
      <c r="Z33" s="1">
        <v>3</v>
      </c>
      <c r="AA33" s="1">
        <v>3</v>
      </c>
      <c r="AC33" s="1">
        <v>1</v>
      </c>
      <c r="AD33" s="1">
        <v>4</v>
      </c>
      <c r="AE33" s="1">
        <v>4</v>
      </c>
      <c r="AF33" s="3">
        <v>4500000</v>
      </c>
      <c r="AG33" s="1">
        <v>12</v>
      </c>
      <c r="AS33" s="1" t="s">
        <v>472</v>
      </c>
      <c r="BP33" s="1">
        <v>3</v>
      </c>
      <c r="BQ33" s="1" t="s">
        <v>1920</v>
      </c>
      <c r="BR33" s="1" t="s">
        <v>1921</v>
      </c>
      <c r="BS33" s="1" t="s">
        <v>1922</v>
      </c>
      <c r="BT33" s="1" t="s">
        <v>79</v>
      </c>
      <c r="BU33" s="1">
        <v>1</v>
      </c>
      <c r="BV33" s="1">
        <v>1</v>
      </c>
      <c r="BW33" s="1">
        <v>1</v>
      </c>
      <c r="BX33" s="1">
        <v>0</v>
      </c>
      <c r="BY33" s="1">
        <v>0</v>
      </c>
      <c r="BZ33" s="1">
        <v>0</v>
      </c>
      <c r="CA33" s="1">
        <v>0</v>
      </c>
      <c r="CB33" s="1">
        <v>0</v>
      </c>
      <c r="CC33" s="1">
        <v>0</v>
      </c>
      <c r="CD33" s="1">
        <v>0</v>
      </c>
      <c r="CE33" s="1">
        <v>0</v>
      </c>
      <c r="CF33" s="1">
        <v>0</v>
      </c>
      <c r="CG33" s="1">
        <v>0</v>
      </c>
      <c r="CH33" s="1">
        <v>0</v>
      </c>
      <c r="CI33" s="1">
        <v>0</v>
      </c>
      <c r="CJ33" s="1">
        <v>3</v>
      </c>
      <c r="CK33" s="1">
        <v>3</v>
      </c>
      <c r="CL33" s="1">
        <v>2</v>
      </c>
      <c r="CM33" s="1">
        <v>3</v>
      </c>
      <c r="CN33" s="1">
        <v>3</v>
      </c>
      <c r="CO33" s="1">
        <v>3</v>
      </c>
      <c r="CP33" s="1">
        <v>3</v>
      </c>
      <c r="CU33" s="1">
        <v>1</v>
      </c>
    </row>
    <row r="34" spans="1:99" x14ac:dyDescent="0.35">
      <c r="A34" s="1" t="s">
        <v>1923</v>
      </c>
      <c r="B34" s="1">
        <v>181121050</v>
      </c>
      <c r="C34" s="1">
        <v>0</v>
      </c>
      <c r="D34" s="1">
        <v>1</v>
      </c>
      <c r="E34" s="1">
        <v>0</v>
      </c>
      <c r="F34" s="1">
        <v>0</v>
      </c>
      <c r="G34" s="1">
        <v>0</v>
      </c>
      <c r="H34" s="1">
        <v>0</v>
      </c>
      <c r="I34" s="1">
        <v>0</v>
      </c>
      <c r="J34" s="1">
        <v>0</v>
      </c>
      <c r="K34" s="1">
        <v>0</v>
      </c>
      <c r="L34" s="1">
        <v>0</v>
      </c>
      <c r="M34" s="1">
        <v>0</v>
      </c>
      <c r="N34" s="1">
        <v>0</v>
      </c>
      <c r="O34" s="1">
        <v>0</v>
      </c>
      <c r="P34" s="1">
        <v>1</v>
      </c>
      <c r="Q34" s="1">
        <v>1</v>
      </c>
      <c r="R34" s="1">
        <v>0</v>
      </c>
      <c r="S34" s="1">
        <v>4</v>
      </c>
      <c r="T34" s="1">
        <v>1</v>
      </c>
      <c r="U34" s="1">
        <v>4</v>
      </c>
      <c r="V34" s="1">
        <v>4</v>
      </c>
      <c r="W34" s="1">
        <v>3</v>
      </c>
      <c r="X34" s="1">
        <v>4</v>
      </c>
      <c r="Y34" s="1">
        <v>4</v>
      </c>
      <c r="Z34" s="1">
        <v>4</v>
      </c>
      <c r="AA34" s="1">
        <v>4</v>
      </c>
      <c r="CQ34" s="1">
        <v>1</v>
      </c>
      <c r="CR34" s="1" t="s">
        <v>1924</v>
      </c>
      <c r="CS34" s="1" t="s">
        <v>1925</v>
      </c>
      <c r="CT34" s="5">
        <v>44781</v>
      </c>
      <c r="CU34" s="1">
        <v>1</v>
      </c>
    </row>
    <row r="35" spans="1:99" x14ac:dyDescent="0.35">
      <c r="A35" s="1" t="s">
        <v>1926</v>
      </c>
      <c r="B35" s="1">
        <v>181121054</v>
      </c>
      <c r="C35" s="1">
        <v>0</v>
      </c>
      <c r="D35" s="1">
        <v>1</v>
      </c>
      <c r="E35" s="1">
        <v>0</v>
      </c>
      <c r="F35" s="1">
        <v>0</v>
      </c>
      <c r="G35" s="1">
        <v>0</v>
      </c>
      <c r="H35" s="1">
        <v>0</v>
      </c>
      <c r="I35" s="1">
        <v>0</v>
      </c>
      <c r="J35" s="1">
        <v>0</v>
      </c>
      <c r="K35" s="1">
        <v>0</v>
      </c>
      <c r="L35" s="1">
        <v>0</v>
      </c>
      <c r="M35" s="1">
        <v>0</v>
      </c>
      <c r="N35" s="1">
        <v>0</v>
      </c>
      <c r="O35" s="1">
        <v>0</v>
      </c>
      <c r="P35" s="1" t="s">
        <v>270</v>
      </c>
      <c r="Q35" s="1" t="s">
        <v>124</v>
      </c>
      <c r="R35" s="1" t="s">
        <v>124</v>
      </c>
      <c r="S35" s="1">
        <v>1</v>
      </c>
      <c r="T35" s="1">
        <v>1</v>
      </c>
      <c r="U35" s="1">
        <v>3</v>
      </c>
      <c r="V35" s="1">
        <v>3</v>
      </c>
      <c r="W35" s="1">
        <v>3</v>
      </c>
      <c r="X35" s="1">
        <v>3</v>
      </c>
      <c r="Y35" s="1">
        <v>3</v>
      </c>
      <c r="Z35" s="1">
        <v>3</v>
      </c>
      <c r="AA35" s="1">
        <v>3</v>
      </c>
      <c r="AC35" s="1">
        <v>2</v>
      </c>
      <c r="AE35" s="1">
        <v>1</v>
      </c>
      <c r="AF35" s="3">
        <v>2000000</v>
      </c>
      <c r="AG35" s="1">
        <v>13</v>
      </c>
      <c r="AT35" s="1" t="s">
        <v>271</v>
      </c>
      <c r="BP35" s="1">
        <v>3</v>
      </c>
      <c r="BQ35" s="1" t="s">
        <v>1927</v>
      </c>
      <c r="BR35" s="1" t="s">
        <v>1928</v>
      </c>
      <c r="BT35" s="1" t="s">
        <v>107</v>
      </c>
      <c r="BU35" s="1">
        <v>1</v>
      </c>
      <c r="BV35" s="1">
        <v>2</v>
      </c>
      <c r="BW35" s="1">
        <v>1</v>
      </c>
      <c r="BX35" s="1">
        <v>0</v>
      </c>
      <c r="BY35" s="1">
        <v>0</v>
      </c>
      <c r="BZ35" s="1">
        <v>0</v>
      </c>
      <c r="CA35" s="1">
        <v>0</v>
      </c>
      <c r="CB35" s="1">
        <v>0</v>
      </c>
      <c r="CC35" s="1">
        <v>0</v>
      </c>
      <c r="CD35" s="1">
        <v>0</v>
      </c>
      <c r="CE35" s="1">
        <v>0</v>
      </c>
      <c r="CF35" s="1">
        <v>0</v>
      </c>
      <c r="CG35" s="1">
        <v>0</v>
      </c>
      <c r="CH35" s="1">
        <v>0</v>
      </c>
      <c r="CI35" s="1">
        <v>0</v>
      </c>
      <c r="CJ35" s="1">
        <v>4</v>
      </c>
      <c r="CK35" s="1">
        <v>4</v>
      </c>
      <c r="CL35" s="1">
        <v>4</v>
      </c>
      <c r="CM35" s="1">
        <v>4</v>
      </c>
      <c r="CN35" s="1">
        <v>4</v>
      </c>
      <c r="CO35" s="1">
        <v>4</v>
      </c>
      <c r="CP35" s="1">
        <v>4</v>
      </c>
      <c r="CU35" s="1">
        <v>1</v>
      </c>
    </row>
    <row r="36" spans="1:99" x14ac:dyDescent="0.35">
      <c r="A36" s="1" t="s">
        <v>1929</v>
      </c>
      <c r="B36" s="1">
        <v>181121055</v>
      </c>
      <c r="C36" s="1">
        <v>1</v>
      </c>
      <c r="D36" s="1">
        <v>1</v>
      </c>
      <c r="E36" s="1">
        <v>0</v>
      </c>
      <c r="F36" s="1">
        <v>0</v>
      </c>
      <c r="G36" s="1">
        <v>0</v>
      </c>
      <c r="H36" s="1">
        <v>0</v>
      </c>
      <c r="I36" s="1">
        <v>1</v>
      </c>
      <c r="J36" s="1">
        <v>1</v>
      </c>
      <c r="K36" s="1">
        <v>1</v>
      </c>
      <c r="L36" s="1">
        <v>0</v>
      </c>
      <c r="M36" s="1">
        <v>0</v>
      </c>
      <c r="N36" s="1">
        <v>0</v>
      </c>
      <c r="O36" s="1">
        <v>0</v>
      </c>
      <c r="P36" s="1" t="s">
        <v>1930</v>
      </c>
      <c r="Q36" s="4">
        <v>46301</v>
      </c>
      <c r="R36" s="1">
        <v>6</v>
      </c>
      <c r="S36" s="1">
        <v>1</v>
      </c>
      <c r="T36" s="1">
        <v>1</v>
      </c>
      <c r="U36" s="1">
        <v>4</v>
      </c>
      <c r="V36" s="1">
        <v>4</v>
      </c>
      <c r="W36" s="1">
        <v>4</v>
      </c>
      <c r="X36" s="1">
        <v>4</v>
      </c>
      <c r="Y36" s="1">
        <v>4</v>
      </c>
      <c r="Z36" s="1">
        <v>4</v>
      </c>
      <c r="AA36" s="1">
        <v>4</v>
      </c>
      <c r="AC36" s="1">
        <v>1</v>
      </c>
      <c r="AD36" s="1">
        <v>2</v>
      </c>
      <c r="AE36" s="1">
        <v>2</v>
      </c>
      <c r="AF36" s="3">
        <v>5000000</v>
      </c>
      <c r="AG36" s="1">
        <v>11</v>
      </c>
      <c r="AR36" s="1" t="s">
        <v>222</v>
      </c>
      <c r="BP36" s="1">
        <v>3</v>
      </c>
      <c r="BQ36" s="1" t="s">
        <v>1931</v>
      </c>
      <c r="BR36" s="1" t="s">
        <v>1932</v>
      </c>
      <c r="BS36" s="1" t="s">
        <v>1933</v>
      </c>
      <c r="BT36" s="1" t="s">
        <v>73</v>
      </c>
      <c r="BU36" s="1">
        <v>3</v>
      </c>
      <c r="BV36" s="1">
        <v>1</v>
      </c>
      <c r="BW36" s="1">
        <v>0</v>
      </c>
      <c r="BX36" s="1">
        <v>0</v>
      </c>
      <c r="BY36" s="1">
        <v>0</v>
      </c>
      <c r="BZ36" s="1">
        <v>0</v>
      </c>
      <c r="CA36" s="1">
        <v>1</v>
      </c>
      <c r="CB36" s="1">
        <v>0</v>
      </c>
      <c r="CC36" s="1">
        <v>0</v>
      </c>
      <c r="CD36" s="1">
        <v>0</v>
      </c>
      <c r="CE36" s="1">
        <v>0</v>
      </c>
      <c r="CF36" s="1">
        <v>0</v>
      </c>
      <c r="CG36" s="1">
        <v>0</v>
      </c>
      <c r="CH36" s="1">
        <v>1</v>
      </c>
      <c r="CI36" s="1">
        <v>0</v>
      </c>
      <c r="CJ36" s="1">
        <v>4</v>
      </c>
      <c r="CK36" s="1">
        <v>4</v>
      </c>
      <c r="CL36" s="1">
        <v>4</v>
      </c>
      <c r="CM36" s="1">
        <v>4</v>
      </c>
      <c r="CN36" s="1">
        <v>4</v>
      </c>
      <c r="CO36" s="1">
        <v>4</v>
      </c>
      <c r="CP36" s="1">
        <v>4</v>
      </c>
      <c r="CU36" s="1">
        <v>4</v>
      </c>
    </row>
    <row r="37" spans="1:99" x14ac:dyDescent="0.35">
      <c r="A37" s="1" t="s">
        <v>1934</v>
      </c>
      <c r="B37" s="1">
        <v>181121056</v>
      </c>
      <c r="C37" s="1">
        <v>0</v>
      </c>
      <c r="D37" s="1">
        <v>1</v>
      </c>
      <c r="E37" s="1">
        <v>0</v>
      </c>
      <c r="F37" s="1">
        <v>0</v>
      </c>
      <c r="G37" s="1">
        <v>0</v>
      </c>
      <c r="H37" s="1">
        <v>0</v>
      </c>
      <c r="I37" s="1">
        <v>0</v>
      </c>
      <c r="J37" s="1">
        <v>0</v>
      </c>
      <c r="K37" s="1">
        <v>1</v>
      </c>
      <c r="L37" s="1">
        <v>0</v>
      </c>
      <c r="M37" s="1">
        <v>0</v>
      </c>
      <c r="N37" s="1">
        <v>0</v>
      </c>
      <c r="O37" s="1">
        <v>0</v>
      </c>
      <c r="P37" s="1">
        <v>60</v>
      </c>
      <c r="Q37" s="1">
        <v>20</v>
      </c>
      <c r="R37" s="1">
        <v>5</v>
      </c>
      <c r="S37" s="1">
        <v>1</v>
      </c>
      <c r="T37" s="1">
        <v>3</v>
      </c>
      <c r="U37" s="1">
        <v>3</v>
      </c>
      <c r="V37" s="1">
        <v>3</v>
      </c>
      <c r="W37" s="1">
        <v>3</v>
      </c>
      <c r="X37" s="1">
        <v>3</v>
      </c>
      <c r="Y37" s="1">
        <v>3</v>
      </c>
      <c r="Z37" s="1">
        <v>3</v>
      </c>
      <c r="AA37" s="1">
        <v>3</v>
      </c>
      <c r="AC37" s="1">
        <v>2</v>
      </c>
      <c r="AE37" s="1">
        <v>11</v>
      </c>
      <c r="AF37" s="3">
        <v>3500000</v>
      </c>
      <c r="AG37" s="1">
        <v>13</v>
      </c>
      <c r="AT37" s="1" t="s">
        <v>402</v>
      </c>
      <c r="BP37" s="1">
        <v>3</v>
      </c>
      <c r="BQ37" s="1" t="s">
        <v>1935</v>
      </c>
      <c r="BR37" s="1" t="s">
        <v>1936</v>
      </c>
      <c r="BT37" s="1" t="s">
        <v>79</v>
      </c>
      <c r="BU37" s="1">
        <v>1</v>
      </c>
      <c r="BV37" s="1">
        <v>2</v>
      </c>
      <c r="BW37" s="1">
        <v>1</v>
      </c>
      <c r="BX37" s="1">
        <v>0</v>
      </c>
      <c r="BY37" s="1">
        <v>0</v>
      </c>
      <c r="BZ37" s="1">
        <v>0</v>
      </c>
      <c r="CA37" s="1">
        <v>0</v>
      </c>
      <c r="CB37" s="1">
        <v>0</v>
      </c>
      <c r="CC37" s="1">
        <v>0</v>
      </c>
      <c r="CD37" s="1">
        <v>0</v>
      </c>
      <c r="CE37" s="1">
        <v>0</v>
      </c>
      <c r="CF37" s="1">
        <v>0</v>
      </c>
      <c r="CG37" s="1">
        <v>0</v>
      </c>
      <c r="CH37" s="1">
        <v>0</v>
      </c>
      <c r="CI37" s="1">
        <v>0</v>
      </c>
      <c r="CJ37" s="1">
        <v>4</v>
      </c>
      <c r="CK37" s="1">
        <v>4</v>
      </c>
      <c r="CL37" s="1">
        <v>3</v>
      </c>
      <c r="CM37" s="1">
        <v>4</v>
      </c>
      <c r="CN37" s="1">
        <v>4</v>
      </c>
      <c r="CO37" s="1">
        <v>4</v>
      </c>
      <c r="CP37" s="1">
        <v>4</v>
      </c>
      <c r="CU37" s="1">
        <v>1</v>
      </c>
    </row>
    <row r="38" spans="1:99" x14ac:dyDescent="0.35">
      <c r="A38" s="1" t="s">
        <v>1937</v>
      </c>
      <c r="B38" s="1">
        <v>181121057</v>
      </c>
      <c r="C38" s="1">
        <v>0</v>
      </c>
      <c r="D38" s="1">
        <v>1</v>
      </c>
      <c r="E38" s="1">
        <v>0</v>
      </c>
      <c r="F38" s="1">
        <v>0</v>
      </c>
      <c r="G38" s="1">
        <v>0</v>
      </c>
      <c r="H38" s="1">
        <v>0</v>
      </c>
      <c r="I38" s="1">
        <v>0</v>
      </c>
      <c r="J38" s="1">
        <v>0</v>
      </c>
      <c r="K38" s="1">
        <v>1</v>
      </c>
      <c r="L38" s="1">
        <v>0</v>
      </c>
      <c r="M38" s="1">
        <v>0</v>
      </c>
      <c r="N38" s="1">
        <v>0</v>
      </c>
      <c r="O38" s="1">
        <v>0</v>
      </c>
      <c r="P38" s="1">
        <v>20</v>
      </c>
      <c r="Q38" s="1">
        <v>2</v>
      </c>
      <c r="R38" s="1">
        <v>2</v>
      </c>
      <c r="S38" s="1">
        <v>1</v>
      </c>
      <c r="T38" s="1">
        <v>1</v>
      </c>
      <c r="U38" s="1">
        <v>4</v>
      </c>
      <c r="V38" s="1">
        <v>3</v>
      </c>
      <c r="W38" s="1">
        <v>3</v>
      </c>
      <c r="X38" s="1">
        <v>4</v>
      </c>
      <c r="Y38" s="1">
        <v>3</v>
      </c>
      <c r="Z38" s="1">
        <v>4</v>
      </c>
      <c r="AA38" s="1">
        <v>3</v>
      </c>
      <c r="AC38" s="1">
        <v>1</v>
      </c>
      <c r="AD38" s="1">
        <v>1</v>
      </c>
      <c r="AF38" s="3">
        <v>2700000</v>
      </c>
      <c r="AG38" s="1">
        <v>13</v>
      </c>
      <c r="AT38" s="1" t="s">
        <v>86</v>
      </c>
      <c r="BP38" s="1">
        <v>3</v>
      </c>
      <c r="BQ38" s="1" t="s">
        <v>1938</v>
      </c>
      <c r="BT38" s="1" t="s">
        <v>107</v>
      </c>
      <c r="BU38" s="1">
        <v>5</v>
      </c>
      <c r="BV38" s="1">
        <v>4</v>
      </c>
      <c r="BW38" s="1">
        <v>0</v>
      </c>
      <c r="BX38" s="1">
        <v>1</v>
      </c>
      <c r="BY38" s="1">
        <v>0</v>
      </c>
      <c r="BZ38" s="1">
        <v>0</v>
      </c>
      <c r="CA38" s="1">
        <v>0</v>
      </c>
      <c r="CB38" s="1">
        <v>0</v>
      </c>
      <c r="CC38" s="1">
        <v>0</v>
      </c>
      <c r="CD38" s="1">
        <v>0</v>
      </c>
      <c r="CE38" s="1">
        <v>0</v>
      </c>
      <c r="CF38" s="1">
        <v>0</v>
      </c>
      <c r="CG38" s="1">
        <v>0</v>
      </c>
      <c r="CH38" s="1">
        <v>1</v>
      </c>
      <c r="CI38" s="1">
        <v>0</v>
      </c>
      <c r="CJ38" s="1">
        <v>3</v>
      </c>
      <c r="CK38" s="1">
        <v>3</v>
      </c>
      <c r="CL38" s="1">
        <v>2</v>
      </c>
      <c r="CM38" s="1">
        <v>3</v>
      </c>
      <c r="CN38" s="1">
        <v>4</v>
      </c>
      <c r="CO38" s="1">
        <v>4</v>
      </c>
      <c r="CP38" s="1">
        <v>3</v>
      </c>
      <c r="CU38" s="1">
        <v>1</v>
      </c>
    </row>
    <row r="39" spans="1:99" x14ac:dyDescent="0.35">
      <c r="A39" s="1" t="s">
        <v>1939</v>
      </c>
      <c r="B39" s="1">
        <v>181121058</v>
      </c>
      <c r="C39" s="1">
        <v>0</v>
      </c>
      <c r="D39" s="1">
        <v>1</v>
      </c>
      <c r="E39" s="1">
        <v>0</v>
      </c>
      <c r="F39" s="1">
        <v>0</v>
      </c>
      <c r="G39" s="1">
        <v>0</v>
      </c>
      <c r="H39" s="1">
        <v>0</v>
      </c>
      <c r="I39" s="1">
        <v>0</v>
      </c>
      <c r="J39" s="1">
        <v>1</v>
      </c>
      <c r="K39" s="1">
        <v>0</v>
      </c>
      <c r="L39" s="1">
        <v>0</v>
      </c>
      <c r="M39" s="1">
        <v>0</v>
      </c>
      <c r="N39" s="1">
        <v>0</v>
      </c>
      <c r="O39" s="1">
        <v>0</v>
      </c>
      <c r="P39" s="1">
        <v>20</v>
      </c>
      <c r="Q39" s="1">
        <v>5</v>
      </c>
      <c r="R39" s="1">
        <v>3</v>
      </c>
      <c r="S39" s="1">
        <v>1</v>
      </c>
      <c r="T39" s="1">
        <v>1</v>
      </c>
      <c r="U39" s="1">
        <v>4</v>
      </c>
      <c r="V39" s="1">
        <v>3</v>
      </c>
      <c r="W39" s="1">
        <v>3</v>
      </c>
      <c r="X39" s="1">
        <v>4</v>
      </c>
      <c r="Y39" s="1">
        <v>4</v>
      </c>
      <c r="Z39" s="1">
        <v>4</v>
      </c>
      <c r="AA39" s="1">
        <v>4</v>
      </c>
      <c r="AC39" s="1">
        <v>1</v>
      </c>
      <c r="AD39" s="1">
        <v>3</v>
      </c>
      <c r="AF39" s="3">
        <v>4000000</v>
      </c>
      <c r="AG39" s="1">
        <v>13</v>
      </c>
      <c r="AT39" s="1" t="s">
        <v>86</v>
      </c>
      <c r="BP39" s="1">
        <v>3</v>
      </c>
      <c r="BQ39" s="1" t="s">
        <v>1940</v>
      </c>
      <c r="BR39" s="1" t="s">
        <v>1941</v>
      </c>
      <c r="BS39" s="1" t="s">
        <v>1942</v>
      </c>
      <c r="BT39" s="1" t="s">
        <v>79</v>
      </c>
      <c r="BU39" s="1">
        <v>4</v>
      </c>
      <c r="BV39" s="1">
        <v>1</v>
      </c>
      <c r="BW39" s="1">
        <v>0</v>
      </c>
      <c r="BX39" s="1">
        <v>0</v>
      </c>
      <c r="BY39" s="1">
        <v>0</v>
      </c>
      <c r="BZ39" s="1">
        <v>0</v>
      </c>
      <c r="CA39" s="1">
        <v>0</v>
      </c>
      <c r="CB39" s="1">
        <v>0</v>
      </c>
      <c r="CC39" s="1">
        <v>0</v>
      </c>
      <c r="CD39" s="1">
        <v>1</v>
      </c>
      <c r="CE39" s="1">
        <v>0</v>
      </c>
      <c r="CF39" s="1">
        <v>1</v>
      </c>
      <c r="CG39" s="1">
        <v>0</v>
      </c>
      <c r="CH39" s="1">
        <v>0</v>
      </c>
      <c r="CI39" s="1">
        <v>0</v>
      </c>
      <c r="CJ39" s="1">
        <v>4</v>
      </c>
      <c r="CK39" s="1">
        <v>3</v>
      </c>
      <c r="CL39" s="1">
        <v>4</v>
      </c>
      <c r="CM39" s="1">
        <v>4</v>
      </c>
      <c r="CN39" s="1">
        <v>4</v>
      </c>
      <c r="CO39" s="1">
        <v>4</v>
      </c>
      <c r="CP39" s="1">
        <v>4</v>
      </c>
      <c r="CU39" s="1">
        <v>1</v>
      </c>
    </row>
    <row r="40" spans="1:99" x14ac:dyDescent="0.35">
      <c r="A40" s="1" t="s">
        <v>1943</v>
      </c>
      <c r="B40" s="1">
        <v>181121060</v>
      </c>
      <c r="C40" s="1">
        <v>0</v>
      </c>
      <c r="D40" s="1">
        <v>1</v>
      </c>
      <c r="E40" s="1">
        <v>0</v>
      </c>
      <c r="F40" s="1">
        <v>0</v>
      </c>
      <c r="G40" s="1">
        <v>0</v>
      </c>
      <c r="H40" s="1">
        <v>1</v>
      </c>
      <c r="I40" s="1">
        <v>1</v>
      </c>
      <c r="J40" s="1">
        <v>0</v>
      </c>
      <c r="K40" s="1">
        <v>1</v>
      </c>
      <c r="L40" s="1">
        <v>0</v>
      </c>
      <c r="M40" s="1">
        <v>0</v>
      </c>
      <c r="N40" s="1">
        <v>0</v>
      </c>
      <c r="O40" s="1">
        <v>0</v>
      </c>
      <c r="P40" s="1">
        <v>10</v>
      </c>
      <c r="Q40" s="1">
        <v>7</v>
      </c>
      <c r="R40" s="1">
        <v>3</v>
      </c>
      <c r="S40" s="1">
        <v>1</v>
      </c>
      <c r="T40" s="1">
        <v>1</v>
      </c>
      <c r="U40" s="1">
        <v>4</v>
      </c>
      <c r="V40" s="1">
        <v>3</v>
      </c>
      <c r="W40" s="1">
        <v>3</v>
      </c>
      <c r="X40" s="1">
        <v>3</v>
      </c>
      <c r="Y40" s="1">
        <v>4</v>
      </c>
      <c r="Z40" s="1">
        <v>4</v>
      </c>
      <c r="AA40" s="1">
        <v>4</v>
      </c>
      <c r="AC40" s="1">
        <v>2</v>
      </c>
      <c r="AE40" s="1">
        <v>1</v>
      </c>
      <c r="AF40" s="3">
        <v>4500000</v>
      </c>
      <c r="AG40" s="1">
        <v>13</v>
      </c>
      <c r="AT40" s="1" t="s">
        <v>1414</v>
      </c>
      <c r="BP40" s="1">
        <v>3</v>
      </c>
      <c r="BQ40" s="1" t="s">
        <v>1944</v>
      </c>
      <c r="BR40" s="1" t="s">
        <v>1945</v>
      </c>
      <c r="BS40" s="1" t="s">
        <v>1946</v>
      </c>
      <c r="BT40" s="1" t="s">
        <v>79</v>
      </c>
      <c r="BU40" s="1">
        <v>1</v>
      </c>
      <c r="BV40" s="1">
        <v>2</v>
      </c>
      <c r="BW40" s="1">
        <v>1</v>
      </c>
      <c r="BX40" s="1">
        <v>0</v>
      </c>
      <c r="BY40" s="1">
        <v>0</v>
      </c>
      <c r="BZ40" s="1">
        <v>0</v>
      </c>
      <c r="CA40" s="1">
        <v>0</v>
      </c>
      <c r="CB40" s="1">
        <v>0</v>
      </c>
      <c r="CC40" s="1">
        <v>0</v>
      </c>
      <c r="CD40" s="1">
        <v>0</v>
      </c>
      <c r="CE40" s="1">
        <v>0</v>
      </c>
      <c r="CF40" s="1">
        <v>0</v>
      </c>
      <c r="CG40" s="1">
        <v>0</v>
      </c>
      <c r="CH40" s="1">
        <v>0</v>
      </c>
      <c r="CI40" s="1">
        <v>0</v>
      </c>
      <c r="CJ40" s="1">
        <v>4</v>
      </c>
      <c r="CK40" s="1">
        <v>4</v>
      </c>
      <c r="CL40" s="1">
        <v>3</v>
      </c>
      <c r="CM40" s="1">
        <v>4</v>
      </c>
      <c r="CN40" s="1">
        <v>4</v>
      </c>
      <c r="CO40" s="1">
        <v>4</v>
      </c>
      <c r="CP40" s="1">
        <v>4</v>
      </c>
      <c r="CU40" s="1">
        <v>1</v>
      </c>
    </row>
    <row r="41" spans="1:99" x14ac:dyDescent="0.35">
      <c r="A41" s="1" t="s">
        <v>1947</v>
      </c>
      <c r="B41" s="1">
        <v>181121061</v>
      </c>
      <c r="C41" s="1">
        <v>0</v>
      </c>
      <c r="D41" s="1">
        <v>0</v>
      </c>
      <c r="E41" s="1">
        <v>0</v>
      </c>
      <c r="F41" s="1">
        <v>0</v>
      </c>
      <c r="G41" s="1">
        <v>0</v>
      </c>
      <c r="H41" s="1">
        <v>0</v>
      </c>
      <c r="I41" s="1">
        <v>0</v>
      </c>
      <c r="J41" s="1">
        <v>0</v>
      </c>
      <c r="K41" s="1">
        <v>0</v>
      </c>
      <c r="L41" s="1">
        <v>1</v>
      </c>
      <c r="M41" s="1">
        <v>0</v>
      </c>
      <c r="N41" s="1">
        <v>0</v>
      </c>
      <c r="O41" s="1">
        <v>0</v>
      </c>
      <c r="P41" s="1" t="s">
        <v>1948</v>
      </c>
      <c r="Q41" s="1">
        <v>3</v>
      </c>
      <c r="R41" s="1">
        <v>3</v>
      </c>
      <c r="S41" s="1">
        <v>3</v>
      </c>
      <c r="T41" s="1">
        <v>1</v>
      </c>
      <c r="U41" s="1">
        <v>4</v>
      </c>
      <c r="V41" s="1">
        <v>4</v>
      </c>
      <c r="W41" s="1">
        <v>4</v>
      </c>
      <c r="X41" s="1">
        <v>4</v>
      </c>
      <c r="Y41" s="1">
        <v>4</v>
      </c>
      <c r="Z41" s="1">
        <v>4</v>
      </c>
      <c r="AA41" s="1">
        <v>4</v>
      </c>
      <c r="AB41" s="1">
        <v>2</v>
      </c>
      <c r="AC41" s="1">
        <v>2</v>
      </c>
      <c r="AE41" s="1">
        <v>8</v>
      </c>
      <c r="AF41" s="3">
        <v>6000000</v>
      </c>
      <c r="AG41" s="1">
        <v>12</v>
      </c>
      <c r="AS41" s="1" t="s">
        <v>1949</v>
      </c>
      <c r="BP41" s="1">
        <v>4</v>
      </c>
      <c r="BT41" s="1" t="s">
        <v>107</v>
      </c>
      <c r="BU41" s="1">
        <v>5</v>
      </c>
      <c r="BV41" s="1">
        <v>4</v>
      </c>
      <c r="BW41" s="1">
        <v>0</v>
      </c>
      <c r="BX41" s="1">
        <v>0</v>
      </c>
      <c r="BY41" s="1">
        <v>0</v>
      </c>
      <c r="BZ41" s="1">
        <v>0</v>
      </c>
      <c r="CA41" s="1">
        <v>0</v>
      </c>
      <c r="CB41" s="1">
        <v>0</v>
      </c>
      <c r="CC41" s="1">
        <v>0</v>
      </c>
      <c r="CD41" s="1">
        <v>0</v>
      </c>
      <c r="CE41" s="1">
        <v>0</v>
      </c>
      <c r="CF41" s="1">
        <v>0</v>
      </c>
      <c r="CG41" s="1">
        <v>0</v>
      </c>
      <c r="CH41" s="1">
        <v>1</v>
      </c>
      <c r="CI41" s="1">
        <v>0</v>
      </c>
      <c r="CJ41" s="1">
        <v>4</v>
      </c>
      <c r="CK41" s="1">
        <v>4</v>
      </c>
      <c r="CL41" s="1">
        <v>4</v>
      </c>
      <c r="CM41" s="1">
        <v>4</v>
      </c>
      <c r="CN41" s="1">
        <v>4</v>
      </c>
      <c r="CO41" s="1">
        <v>4</v>
      </c>
      <c r="CP41" s="1">
        <v>4</v>
      </c>
      <c r="CU41" s="1">
        <v>2</v>
      </c>
    </row>
    <row r="42" spans="1:99" x14ac:dyDescent="0.35">
      <c r="A42" s="1" t="s">
        <v>1950</v>
      </c>
      <c r="B42" s="1">
        <v>181121062</v>
      </c>
      <c r="C42" s="1">
        <v>0</v>
      </c>
      <c r="D42" s="1">
        <v>1</v>
      </c>
      <c r="E42" s="1">
        <v>0</v>
      </c>
      <c r="F42" s="1">
        <v>0</v>
      </c>
      <c r="G42" s="1">
        <v>0</v>
      </c>
      <c r="H42" s="1">
        <v>0</v>
      </c>
      <c r="I42" s="1">
        <v>0</v>
      </c>
      <c r="J42" s="1">
        <v>0</v>
      </c>
      <c r="K42" s="1">
        <v>0</v>
      </c>
      <c r="L42" s="1">
        <v>0</v>
      </c>
      <c r="M42" s="1">
        <v>0</v>
      </c>
      <c r="N42" s="1">
        <v>0</v>
      </c>
      <c r="O42" s="1">
        <v>0</v>
      </c>
      <c r="P42" s="1" t="s">
        <v>1951</v>
      </c>
      <c r="Q42" s="1" t="s">
        <v>1952</v>
      </c>
      <c r="R42" s="1">
        <v>30</v>
      </c>
      <c r="S42" s="1">
        <v>5</v>
      </c>
      <c r="T42" s="1">
        <v>1</v>
      </c>
      <c r="U42" s="1">
        <v>4</v>
      </c>
      <c r="V42" s="1">
        <v>4</v>
      </c>
      <c r="W42" s="1">
        <v>2</v>
      </c>
      <c r="X42" s="1">
        <v>4</v>
      </c>
      <c r="Y42" s="1">
        <v>4</v>
      </c>
      <c r="Z42" s="1">
        <v>4</v>
      </c>
      <c r="AA42" s="1">
        <v>4</v>
      </c>
      <c r="CU42" s="1">
        <v>4</v>
      </c>
    </row>
    <row r="43" spans="1:99" x14ac:dyDescent="0.35">
      <c r="A43" s="1" t="s">
        <v>3696</v>
      </c>
      <c r="B43" s="1">
        <v>181121001</v>
      </c>
    </row>
    <row r="44" spans="1:99" x14ac:dyDescent="0.35">
      <c r="A44" s="1" t="s">
        <v>3697</v>
      </c>
      <c r="B44" s="1">
        <v>181121004</v>
      </c>
    </row>
    <row r="45" spans="1:99" x14ac:dyDescent="0.35">
      <c r="A45" s="1" t="s">
        <v>3698</v>
      </c>
      <c r="B45" s="1">
        <v>181121009</v>
      </c>
    </row>
    <row r="46" spans="1:99" x14ac:dyDescent="0.35">
      <c r="A46" s="1" t="s">
        <v>3699</v>
      </c>
      <c r="B46" s="1">
        <v>181121011</v>
      </c>
    </row>
    <row r="47" spans="1:99" x14ac:dyDescent="0.35">
      <c r="A47" s="1" t="s">
        <v>3700</v>
      </c>
      <c r="B47" s="1">
        <v>181121015</v>
      </c>
    </row>
    <row r="48" spans="1:99" x14ac:dyDescent="0.35">
      <c r="A48" s="1" t="s">
        <v>3701</v>
      </c>
      <c r="B48" s="1">
        <v>181121018</v>
      </c>
    </row>
    <row r="49" spans="1:2" x14ac:dyDescent="0.35">
      <c r="A49" s="1" t="s">
        <v>3702</v>
      </c>
      <c r="B49" s="1">
        <v>181121020</v>
      </c>
    </row>
    <row r="50" spans="1:2" x14ac:dyDescent="0.35">
      <c r="A50" s="1" t="s">
        <v>3703</v>
      </c>
      <c r="B50" s="1">
        <v>181121027</v>
      </c>
    </row>
    <row r="51" spans="1:2" x14ac:dyDescent="0.35">
      <c r="A51" s="1" t="s">
        <v>3704</v>
      </c>
      <c r="B51" s="1">
        <v>181121028</v>
      </c>
    </row>
    <row r="52" spans="1:2" x14ac:dyDescent="0.35">
      <c r="A52" s="1" t="s">
        <v>3705</v>
      </c>
      <c r="B52" s="1">
        <v>181121039</v>
      </c>
    </row>
    <row r="53" spans="1:2" x14ac:dyDescent="0.35">
      <c r="A53" s="1" t="s">
        <v>3706</v>
      </c>
      <c r="B53" s="1">
        <v>181121051</v>
      </c>
    </row>
    <row r="54" spans="1:2" x14ac:dyDescent="0.35">
      <c r="A54" s="1" t="s">
        <v>3707</v>
      </c>
      <c r="B54" s="1">
        <v>181121052</v>
      </c>
    </row>
    <row r="55" spans="1:2" x14ac:dyDescent="0.35">
      <c r="A55" s="1" t="s">
        <v>3708</v>
      </c>
      <c r="B55" s="1">
        <v>181121059</v>
      </c>
    </row>
    <row r="56" spans="1:2" x14ac:dyDescent="0.35">
      <c r="A56" s="1" t="s">
        <v>3709</v>
      </c>
      <c r="B56" s="1">
        <v>181121065</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66DD93-5737-4C7C-8A77-0070C8406D29}">
  <dimension ref="A1:CU33"/>
  <sheetViews>
    <sheetView topLeftCell="R1" zoomScale="55" zoomScaleNormal="55" workbookViewId="0">
      <pane ySplit="1" topLeftCell="A2" activePane="bottomLeft" state="frozen"/>
      <selection pane="bottomLeft" activeCell="T1" sqref="T1"/>
    </sheetView>
  </sheetViews>
  <sheetFormatPr defaultColWidth="8.90625" defaultRowHeight="14.5" x14ac:dyDescent="0.35"/>
  <cols>
    <col min="1" max="1" width="33.453125" style="1" bestFit="1" customWidth="1"/>
    <col min="2" max="2" width="10" style="1" customWidth="1"/>
    <col min="3" max="9" width="64.08984375" style="1" bestFit="1" customWidth="1"/>
    <col min="10" max="14" width="65.08984375" style="1" bestFit="1" customWidth="1"/>
    <col min="15" max="15" width="67.54296875" style="1" bestFit="1" customWidth="1"/>
    <col min="16" max="16" width="110" style="1" bestFit="1" customWidth="1"/>
    <col min="17" max="17" width="63.90625" style="1" bestFit="1" customWidth="1"/>
    <col min="18" max="18" width="73" style="1" bestFit="1" customWidth="1"/>
    <col min="19" max="19" width="25" style="1" bestFit="1" customWidth="1"/>
    <col min="20" max="20" width="41.26953125" style="1" bestFit="1" customWidth="1"/>
    <col min="21" max="21" width="67.08984375" style="1" bestFit="1" customWidth="1"/>
    <col min="22" max="22" width="90.453125" style="1" bestFit="1" customWidth="1"/>
    <col min="23" max="23" width="74.90625" style="1" bestFit="1" customWidth="1"/>
    <col min="24" max="24" width="89.36328125" style="1" bestFit="1" customWidth="1"/>
    <col min="25" max="25" width="72.453125" style="1" bestFit="1" customWidth="1"/>
    <col min="26" max="26" width="75.1796875" style="1" bestFit="1" customWidth="1"/>
    <col min="27" max="27" width="79" style="1" bestFit="1" customWidth="1"/>
    <col min="28" max="28" width="43.08984375" style="1" bestFit="1" customWidth="1"/>
    <col min="29" max="29" width="73.1796875" style="1" bestFit="1" customWidth="1"/>
    <col min="30" max="30" width="43.36328125" style="1" bestFit="1" customWidth="1"/>
    <col min="31" max="31" width="50.54296875" style="1" bestFit="1" customWidth="1"/>
    <col min="32" max="32" width="120.26953125" style="1" bestFit="1" customWidth="1"/>
    <col min="33" max="33" width="39.08984375" style="1" bestFit="1" customWidth="1"/>
    <col min="34" max="35" width="45.7265625" style="1" bestFit="1" customWidth="1"/>
    <col min="36" max="37" width="46.1796875" style="1" bestFit="1" customWidth="1"/>
    <col min="38" max="38" width="45.7265625" style="1" bestFit="1" customWidth="1"/>
    <col min="39" max="52" width="46.1796875" style="1" bestFit="1" customWidth="1"/>
    <col min="53" max="55" width="45.7265625" style="1" bestFit="1" customWidth="1"/>
    <col min="56" max="64" width="46.1796875" style="1" bestFit="1" customWidth="1"/>
    <col min="65" max="67" width="45.7265625" style="1" bestFit="1" customWidth="1"/>
    <col min="68" max="68" width="58.90625" style="1" bestFit="1" customWidth="1"/>
    <col min="69" max="69" width="43.26953125" style="1" bestFit="1" customWidth="1"/>
    <col min="70" max="70" width="45.36328125" style="1" bestFit="1" customWidth="1"/>
    <col min="71" max="71" width="45.26953125" style="1" bestFit="1" customWidth="1"/>
    <col min="72" max="72" width="55.453125" style="1" bestFit="1" customWidth="1"/>
    <col min="73" max="73" width="217.453125" style="1" bestFit="1" customWidth="1"/>
    <col min="74" max="74" width="65.08984375" style="1" bestFit="1" customWidth="1"/>
    <col min="75" max="83" width="117.26953125" style="1" bestFit="1" customWidth="1"/>
    <col min="84" max="86" width="118.26953125" style="1" bestFit="1" customWidth="1"/>
    <col min="87" max="87" width="120.7265625" style="1" bestFit="1" customWidth="1"/>
    <col min="88" max="88" width="76.6328125" style="1" bestFit="1" customWidth="1"/>
    <col min="89" max="89" width="100.26953125" style="1" bestFit="1" customWidth="1"/>
    <col min="90" max="90" width="84.36328125" style="1" bestFit="1" customWidth="1"/>
    <col min="91" max="91" width="98.6328125" style="1" bestFit="1" customWidth="1"/>
    <col min="92" max="92" width="81.90625" style="1" bestFit="1" customWidth="1"/>
    <col min="93" max="93" width="84.7265625" style="1" bestFit="1" customWidth="1"/>
    <col min="94" max="94" width="88.54296875" style="1" bestFit="1" customWidth="1"/>
    <col min="95" max="95" width="40.54296875" style="1" bestFit="1" customWidth="1"/>
    <col min="96" max="96" width="53.36328125" style="1" bestFit="1" customWidth="1"/>
    <col min="97" max="97" width="23.90625" style="1" bestFit="1" customWidth="1"/>
    <col min="98" max="98" width="24.7265625" style="1" bestFit="1" customWidth="1"/>
    <col min="99" max="99" width="55.26953125" style="1" bestFit="1" customWidth="1"/>
    <col min="100" max="16384" width="8.90625" style="1"/>
  </cols>
  <sheetData>
    <row r="1" spans="1:99" s="6" customFormat="1" x14ac:dyDescent="0.35">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6" t="s">
        <v>15</v>
      </c>
      <c r="Q1" s="6" t="s">
        <v>16</v>
      </c>
      <c r="R1" s="6" t="s">
        <v>17</v>
      </c>
      <c r="S1" s="6" t="s">
        <v>18</v>
      </c>
      <c r="T1" s="6" t="s">
        <v>19</v>
      </c>
      <c r="U1" s="6" t="s">
        <v>20</v>
      </c>
      <c r="V1" s="6" t="s">
        <v>21</v>
      </c>
      <c r="W1" s="6" t="s">
        <v>22</v>
      </c>
      <c r="X1" s="6" t="s">
        <v>23</v>
      </c>
      <c r="Y1" s="6" t="s">
        <v>24</v>
      </c>
      <c r="Z1" s="6" t="s">
        <v>25</v>
      </c>
      <c r="AA1" s="6" t="s">
        <v>26</v>
      </c>
      <c r="AB1" s="6" t="s">
        <v>27</v>
      </c>
      <c r="AC1" s="6" t="s">
        <v>28</v>
      </c>
      <c r="AD1" s="6" t="s">
        <v>29</v>
      </c>
      <c r="AE1" s="6" t="s">
        <v>30</v>
      </c>
      <c r="AF1" s="6" t="s">
        <v>31</v>
      </c>
      <c r="AG1" s="6" t="s">
        <v>32</v>
      </c>
      <c r="AH1" s="6" t="s">
        <v>33</v>
      </c>
      <c r="AI1" s="6" t="s">
        <v>33</v>
      </c>
      <c r="AJ1" s="6" t="s">
        <v>34</v>
      </c>
      <c r="AK1" s="6" t="s">
        <v>34</v>
      </c>
      <c r="AL1" s="6" t="s">
        <v>33</v>
      </c>
      <c r="AM1" s="6" t="s">
        <v>34</v>
      </c>
      <c r="AN1" s="6" t="s">
        <v>34</v>
      </c>
      <c r="AO1" s="6" t="s">
        <v>34</v>
      </c>
      <c r="AP1" s="6" t="s">
        <v>34</v>
      </c>
      <c r="AQ1" s="6" t="s">
        <v>34</v>
      </c>
      <c r="AR1" s="6" t="s">
        <v>34</v>
      </c>
      <c r="AS1" s="6" t="s">
        <v>34</v>
      </c>
      <c r="AT1" s="6" t="s">
        <v>34</v>
      </c>
      <c r="AU1" s="6" t="s">
        <v>34</v>
      </c>
      <c r="AV1" s="6" t="s">
        <v>34</v>
      </c>
      <c r="AW1" s="6" t="s">
        <v>34</v>
      </c>
      <c r="AX1" s="6" t="s">
        <v>34</v>
      </c>
      <c r="AY1" s="6" t="s">
        <v>34</v>
      </c>
      <c r="AZ1" s="6" t="s">
        <v>34</v>
      </c>
      <c r="BA1" s="6" t="s">
        <v>33</v>
      </c>
      <c r="BB1" s="6" t="s">
        <v>33</v>
      </c>
      <c r="BC1" s="6" t="s">
        <v>33</v>
      </c>
      <c r="BD1" s="6" t="s">
        <v>34</v>
      </c>
      <c r="BE1" s="6" t="s">
        <v>34</v>
      </c>
      <c r="BF1" s="6" t="s">
        <v>34</v>
      </c>
      <c r="BG1" s="6" t="s">
        <v>34</v>
      </c>
      <c r="BH1" s="6" t="s">
        <v>34</v>
      </c>
      <c r="BI1" s="6" t="s">
        <v>34</v>
      </c>
      <c r="BJ1" s="6" t="s">
        <v>34</v>
      </c>
      <c r="BK1" s="6" t="s">
        <v>34</v>
      </c>
      <c r="BL1" s="6" t="s">
        <v>34</v>
      </c>
      <c r="BM1" s="6" t="s">
        <v>33</v>
      </c>
      <c r="BN1" s="6" t="s">
        <v>33</v>
      </c>
      <c r="BO1" s="6" t="s">
        <v>33</v>
      </c>
      <c r="BP1" s="6" t="s">
        <v>35</v>
      </c>
      <c r="BQ1" s="6" t="s">
        <v>36</v>
      </c>
      <c r="BR1" s="6" t="s">
        <v>37</v>
      </c>
      <c r="BS1" s="6" t="s">
        <v>38</v>
      </c>
      <c r="BT1" s="6" t="s">
        <v>39</v>
      </c>
      <c r="BU1" s="6" t="s">
        <v>40</v>
      </c>
      <c r="BV1" s="6" t="s">
        <v>41</v>
      </c>
      <c r="BW1" s="6" t="s">
        <v>42</v>
      </c>
      <c r="BX1" s="6" t="s">
        <v>43</v>
      </c>
      <c r="BY1" s="6" t="s">
        <v>44</v>
      </c>
      <c r="BZ1" s="6" t="s">
        <v>45</v>
      </c>
      <c r="CA1" s="6" t="s">
        <v>46</v>
      </c>
      <c r="CB1" s="6" t="s">
        <v>47</v>
      </c>
      <c r="CC1" s="6" t="s">
        <v>48</v>
      </c>
      <c r="CD1" s="6" t="s">
        <v>49</v>
      </c>
      <c r="CE1" s="6" t="s">
        <v>50</v>
      </c>
      <c r="CF1" s="6" t="s">
        <v>51</v>
      </c>
      <c r="CG1" s="6" t="s">
        <v>52</v>
      </c>
      <c r="CH1" s="6" t="s">
        <v>53</v>
      </c>
      <c r="CI1" s="6" t="s">
        <v>54</v>
      </c>
      <c r="CJ1" s="6" t="s">
        <v>55</v>
      </c>
      <c r="CK1" s="6" t="s">
        <v>56</v>
      </c>
      <c r="CL1" s="6" t="s">
        <v>57</v>
      </c>
      <c r="CM1" s="6" t="s">
        <v>58</v>
      </c>
      <c r="CN1" s="6" t="s">
        <v>59</v>
      </c>
      <c r="CO1" s="6" t="s">
        <v>60</v>
      </c>
      <c r="CP1" s="6" t="s">
        <v>61</v>
      </c>
      <c r="CQ1" s="6" t="s">
        <v>62</v>
      </c>
      <c r="CR1" s="6" t="s">
        <v>63</v>
      </c>
      <c r="CS1" s="6" t="s">
        <v>64</v>
      </c>
      <c r="CT1" s="6" t="s">
        <v>65</v>
      </c>
      <c r="CU1" s="6" t="s">
        <v>66</v>
      </c>
    </row>
    <row r="2" spans="1:99" x14ac:dyDescent="0.35">
      <c r="A2" s="1" t="s">
        <v>4122</v>
      </c>
      <c r="B2" s="1">
        <v>171244004</v>
      </c>
      <c r="C2" s="1">
        <v>0</v>
      </c>
      <c r="D2" s="1">
        <v>1</v>
      </c>
      <c r="E2" s="1">
        <v>1</v>
      </c>
      <c r="F2" s="1">
        <v>0</v>
      </c>
      <c r="G2" s="1">
        <v>0</v>
      </c>
      <c r="H2" s="1">
        <v>0</v>
      </c>
      <c r="I2" s="1">
        <v>0</v>
      </c>
      <c r="J2" s="1">
        <v>0</v>
      </c>
      <c r="K2" s="1">
        <v>1</v>
      </c>
      <c r="L2" s="1">
        <v>0</v>
      </c>
      <c r="M2" s="1">
        <v>0</v>
      </c>
      <c r="N2" s="1">
        <v>0</v>
      </c>
      <c r="O2" s="1">
        <v>0</v>
      </c>
      <c r="P2" s="1">
        <v>5</v>
      </c>
      <c r="Q2" s="1">
        <v>3</v>
      </c>
      <c r="R2" s="1">
        <v>2</v>
      </c>
      <c r="S2" s="1">
        <v>1</v>
      </c>
      <c r="T2" s="1">
        <v>1</v>
      </c>
      <c r="U2" s="1">
        <v>4</v>
      </c>
      <c r="V2" s="1">
        <v>3</v>
      </c>
      <c r="W2" s="1">
        <v>3</v>
      </c>
      <c r="X2" s="1">
        <v>3</v>
      </c>
      <c r="Y2" s="1">
        <v>3</v>
      </c>
      <c r="Z2" s="1">
        <v>4</v>
      </c>
      <c r="AA2" s="1">
        <v>4</v>
      </c>
      <c r="AC2" s="1">
        <v>1</v>
      </c>
      <c r="AD2" s="1">
        <v>6</v>
      </c>
      <c r="AF2" s="3">
        <v>8000000</v>
      </c>
      <c r="AG2" s="1">
        <v>13</v>
      </c>
      <c r="AT2" s="1" t="s">
        <v>83</v>
      </c>
      <c r="BP2" s="1">
        <v>3</v>
      </c>
      <c r="BQ2" s="1" t="s">
        <v>4123</v>
      </c>
      <c r="BR2" s="1" t="s">
        <v>4124</v>
      </c>
      <c r="BT2" s="1" t="s">
        <v>73</v>
      </c>
      <c r="BU2" s="1">
        <v>3</v>
      </c>
      <c r="BV2" s="1">
        <v>3</v>
      </c>
      <c r="BW2" s="1">
        <v>0</v>
      </c>
      <c r="BX2" s="1">
        <v>0</v>
      </c>
      <c r="BY2" s="1">
        <v>1</v>
      </c>
      <c r="BZ2" s="1">
        <v>0</v>
      </c>
      <c r="CA2" s="1">
        <v>0</v>
      </c>
      <c r="CB2" s="1">
        <v>1</v>
      </c>
      <c r="CC2" s="1">
        <v>0</v>
      </c>
      <c r="CD2" s="1">
        <v>0</v>
      </c>
      <c r="CE2" s="1">
        <v>0</v>
      </c>
      <c r="CF2" s="1">
        <v>0</v>
      </c>
      <c r="CG2" s="1">
        <v>1</v>
      </c>
      <c r="CH2" s="1">
        <v>1</v>
      </c>
      <c r="CI2" s="1">
        <v>0</v>
      </c>
      <c r="CJ2" s="1">
        <v>4</v>
      </c>
      <c r="CK2" s="1">
        <v>2</v>
      </c>
      <c r="CL2" s="1">
        <v>2</v>
      </c>
      <c r="CM2" s="1">
        <v>3</v>
      </c>
      <c r="CN2" s="1">
        <v>4</v>
      </c>
      <c r="CO2" s="1">
        <v>4</v>
      </c>
      <c r="CP2" s="1">
        <v>4</v>
      </c>
      <c r="CU2" s="1">
        <v>1</v>
      </c>
    </row>
    <row r="3" spans="1:99" x14ac:dyDescent="0.35">
      <c r="A3" s="1" t="s">
        <v>4125</v>
      </c>
      <c r="B3" s="1">
        <v>171244006</v>
      </c>
      <c r="C3" s="1">
        <v>0</v>
      </c>
      <c r="D3" s="1">
        <v>1</v>
      </c>
      <c r="E3" s="1">
        <v>0</v>
      </c>
      <c r="F3" s="1">
        <v>0</v>
      </c>
      <c r="G3" s="1">
        <v>0</v>
      </c>
      <c r="H3" s="1">
        <v>1</v>
      </c>
      <c r="I3" s="1">
        <v>1</v>
      </c>
      <c r="J3" s="1">
        <v>1</v>
      </c>
      <c r="K3" s="1">
        <v>1</v>
      </c>
      <c r="L3" s="1">
        <v>0</v>
      </c>
      <c r="M3" s="1">
        <v>0</v>
      </c>
      <c r="N3" s="1">
        <v>1</v>
      </c>
      <c r="O3" s="1">
        <v>0</v>
      </c>
      <c r="P3" s="1">
        <v>5</v>
      </c>
      <c r="Q3" s="1">
        <v>8</v>
      </c>
      <c r="R3" s="1">
        <v>3</v>
      </c>
      <c r="S3" s="1">
        <v>1</v>
      </c>
      <c r="T3" s="1">
        <v>1</v>
      </c>
      <c r="U3" s="1">
        <v>4</v>
      </c>
      <c r="V3" s="1">
        <v>3</v>
      </c>
      <c r="W3" s="1">
        <v>3</v>
      </c>
      <c r="X3" s="1">
        <v>3</v>
      </c>
      <c r="Y3" s="1">
        <v>3</v>
      </c>
      <c r="Z3" s="1">
        <v>3</v>
      </c>
      <c r="AA3" s="1">
        <v>4</v>
      </c>
      <c r="AC3" s="1">
        <v>1</v>
      </c>
      <c r="AD3" s="1">
        <v>0</v>
      </c>
      <c r="AF3" s="3">
        <v>4000000</v>
      </c>
      <c r="AG3" s="1">
        <v>13</v>
      </c>
      <c r="AT3" s="1" t="s">
        <v>392</v>
      </c>
      <c r="BP3" s="1">
        <v>3</v>
      </c>
      <c r="BQ3" s="1" t="s">
        <v>4126</v>
      </c>
      <c r="BR3" s="1" t="s">
        <v>4127</v>
      </c>
      <c r="BT3" s="1" t="s">
        <v>73</v>
      </c>
      <c r="BU3" s="1">
        <v>3</v>
      </c>
      <c r="BV3" s="1">
        <v>2</v>
      </c>
      <c r="BW3" s="1">
        <v>0</v>
      </c>
      <c r="BX3" s="1">
        <v>1</v>
      </c>
      <c r="BY3" s="1">
        <v>0</v>
      </c>
      <c r="BZ3" s="1">
        <v>0</v>
      </c>
      <c r="CA3" s="1">
        <v>0</v>
      </c>
      <c r="CB3" s="1">
        <v>0</v>
      </c>
      <c r="CC3" s="1">
        <v>0</v>
      </c>
      <c r="CD3" s="1">
        <v>0</v>
      </c>
      <c r="CE3" s="1">
        <v>0</v>
      </c>
      <c r="CF3" s="1">
        <v>0</v>
      </c>
      <c r="CG3" s="1">
        <v>0</v>
      </c>
      <c r="CH3" s="1">
        <v>0</v>
      </c>
      <c r="CI3" s="1">
        <v>0</v>
      </c>
      <c r="CJ3" s="1">
        <v>4</v>
      </c>
      <c r="CK3" s="1">
        <v>4</v>
      </c>
      <c r="CL3" s="1">
        <v>4</v>
      </c>
      <c r="CM3" s="1">
        <v>4</v>
      </c>
      <c r="CN3" s="1">
        <v>4</v>
      </c>
      <c r="CO3" s="1">
        <v>4</v>
      </c>
      <c r="CP3" s="1">
        <v>4</v>
      </c>
      <c r="CU3" s="1">
        <v>1</v>
      </c>
    </row>
    <row r="4" spans="1:99" x14ac:dyDescent="0.35">
      <c r="A4" s="1" t="s">
        <v>4128</v>
      </c>
      <c r="B4" s="1">
        <v>171244008</v>
      </c>
      <c r="C4" s="1">
        <v>0</v>
      </c>
      <c r="D4" s="1">
        <v>1</v>
      </c>
      <c r="E4" s="1">
        <v>0</v>
      </c>
      <c r="F4" s="1">
        <v>0</v>
      </c>
      <c r="G4" s="1">
        <v>0</v>
      </c>
      <c r="H4" s="1">
        <v>0</v>
      </c>
      <c r="I4" s="1">
        <v>0</v>
      </c>
      <c r="J4" s="1">
        <v>0</v>
      </c>
      <c r="K4" s="1">
        <v>0</v>
      </c>
      <c r="L4" s="1">
        <v>0</v>
      </c>
      <c r="M4" s="1">
        <v>0</v>
      </c>
      <c r="N4" s="1">
        <v>0</v>
      </c>
      <c r="O4" s="1">
        <v>0</v>
      </c>
      <c r="P4" s="1">
        <v>35</v>
      </c>
      <c r="Q4" s="1">
        <v>8</v>
      </c>
      <c r="R4" s="1">
        <v>5</v>
      </c>
      <c r="S4" s="1">
        <v>5</v>
      </c>
      <c r="T4" s="1">
        <v>1</v>
      </c>
      <c r="U4" s="1">
        <v>4</v>
      </c>
      <c r="V4" s="1">
        <v>3</v>
      </c>
      <c r="W4" s="1">
        <v>3</v>
      </c>
      <c r="X4" s="1">
        <v>3</v>
      </c>
      <c r="Y4" s="1">
        <v>3</v>
      </c>
      <c r="Z4" s="1">
        <v>4</v>
      </c>
      <c r="AA4" s="1">
        <v>4</v>
      </c>
      <c r="CU4" s="1">
        <v>2</v>
      </c>
    </row>
    <row r="5" spans="1:99" x14ac:dyDescent="0.35">
      <c r="A5" s="1" t="s">
        <v>4129</v>
      </c>
      <c r="B5" s="1">
        <v>171244017</v>
      </c>
      <c r="C5" s="1">
        <v>0</v>
      </c>
      <c r="D5" s="1">
        <v>0</v>
      </c>
      <c r="E5" s="1">
        <v>0</v>
      </c>
      <c r="F5" s="1">
        <v>0</v>
      </c>
      <c r="G5" s="1">
        <v>0</v>
      </c>
      <c r="H5" s="1">
        <v>0</v>
      </c>
      <c r="I5" s="1">
        <v>0</v>
      </c>
      <c r="J5" s="1">
        <v>1</v>
      </c>
      <c r="K5" s="1">
        <v>0</v>
      </c>
      <c r="L5" s="1">
        <v>0</v>
      </c>
      <c r="M5" s="1">
        <v>0</v>
      </c>
      <c r="N5" s="1">
        <v>0</v>
      </c>
      <c r="O5" s="1">
        <v>0</v>
      </c>
      <c r="P5" s="1">
        <v>2</v>
      </c>
      <c r="Q5" s="1">
        <v>2</v>
      </c>
      <c r="R5" s="1">
        <v>2</v>
      </c>
      <c r="S5" s="1">
        <v>1</v>
      </c>
      <c r="T5" s="1">
        <v>1</v>
      </c>
      <c r="U5" s="1">
        <v>3</v>
      </c>
      <c r="V5" s="1">
        <v>3</v>
      </c>
      <c r="W5" s="1">
        <v>3</v>
      </c>
      <c r="X5" s="1">
        <v>3</v>
      </c>
      <c r="Y5" s="1">
        <v>3</v>
      </c>
      <c r="Z5" s="1">
        <v>3</v>
      </c>
      <c r="AA5" s="1">
        <v>3</v>
      </c>
      <c r="AC5" s="1">
        <v>1</v>
      </c>
      <c r="AD5" s="1">
        <v>6</v>
      </c>
      <c r="AF5" s="3">
        <v>3500000</v>
      </c>
      <c r="AG5" s="1">
        <v>13</v>
      </c>
      <c r="AT5" s="1" t="s">
        <v>75</v>
      </c>
      <c r="BP5" s="1">
        <v>3</v>
      </c>
      <c r="BQ5" s="1" t="s">
        <v>4130</v>
      </c>
      <c r="BR5" s="1" t="s">
        <v>4131</v>
      </c>
      <c r="BS5" s="1" t="s">
        <v>4132</v>
      </c>
      <c r="BT5" s="1" t="s">
        <v>79</v>
      </c>
      <c r="BU5" s="1">
        <v>2</v>
      </c>
      <c r="BV5" s="1">
        <v>2</v>
      </c>
      <c r="BW5" s="1">
        <v>0</v>
      </c>
      <c r="BX5" s="1">
        <v>0</v>
      </c>
      <c r="BY5" s="1">
        <v>0</v>
      </c>
      <c r="BZ5" s="1">
        <v>0</v>
      </c>
      <c r="CA5" s="1">
        <v>0</v>
      </c>
      <c r="CB5" s="1">
        <v>0</v>
      </c>
      <c r="CC5" s="1">
        <v>1</v>
      </c>
      <c r="CD5" s="1">
        <v>0</v>
      </c>
      <c r="CE5" s="1">
        <v>1</v>
      </c>
      <c r="CF5" s="1">
        <v>1</v>
      </c>
      <c r="CG5" s="1">
        <v>0</v>
      </c>
      <c r="CH5" s="1">
        <v>0</v>
      </c>
      <c r="CI5" s="1">
        <v>0</v>
      </c>
      <c r="CJ5" s="1">
        <v>2</v>
      </c>
      <c r="CK5" s="1">
        <v>3</v>
      </c>
      <c r="CL5" s="1">
        <v>2</v>
      </c>
      <c r="CM5" s="1">
        <v>3</v>
      </c>
      <c r="CN5" s="1">
        <v>3</v>
      </c>
      <c r="CO5" s="1">
        <v>3</v>
      </c>
      <c r="CP5" s="1">
        <v>3</v>
      </c>
      <c r="CU5" s="1">
        <v>2</v>
      </c>
    </row>
    <row r="6" spans="1:99" x14ac:dyDescent="0.35">
      <c r="A6" s="1" t="s">
        <v>4133</v>
      </c>
      <c r="B6" s="1">
        <v>171244027</v>
      </c>
      <c r="C6" s="1">
        <v>1</v>
      </c>
      <c r="D6" s="1">
        <v>1</v>
      </c>
      <c r="E6" s="1">
        <v>0</v>
      </c>
      <c r="F6" s="1">
        <v>0</v>
      </c>
      <c r="G6" s="1">
        <v>0</v>
      </c>
      <c r="H6" s="1">
        <v>1</v>
      </c>
      <c r="I6" s="1">
        <v>0</v>
      </c>
      <c r="J6" s="1">
        <v>0</v>
      </c>
      <c r="K6" s="1">
        <v>0</v>
      </c>
      <c r="L6" s="1">
        <v>0</v>
      </c>
      <c r="M6" s="1">
        <v>0</v>
      </c>
      <c r="N6" s="1">
        <v>0</v>
      </c>
      <c r="O6" s="1">
        <v>0</v>
      </c>
      <c r="P6" s="1">
        <v>30</v>
      </c>
      <c r="Q6" s="1">
        <v>17</v>
      </c>
      <c r="R6" s="1">
        <v>10</v>
      </c>
      <c r="S6" s="1">
        <v>1</v>
      </c>
      <c r="T6" s="1">
        <v>1</v>
      </c>
      <c r="U6" s="1">
        <v>3</v>
      </c>
      <c r="V6" s="1">
        <v>3</v>
      </c>
      <c r="W6" s="1">
        <v>3</v>
      </c>
      <c r="X6" s="1">
        <v>3</v>
      </c>
      <c r="Y6" s="1">
        <v>4</v>
      </c>
      <c r="Z6" s="1">
        <v>3</v>
      </c>
      <c r="AA6" s="1">
        <v>3</v>
      </c>
      <c r="AC6" s="1">
        <v>2</v>
      </c>
      <c r="AE6" s="1">
        <v>2</v>
      </c>
      <c r="AF6" s="3">
        <v>3200000</v>
      </c>
      <c r="AG6" s="1">
        <v>13</v>
      </c>
      <c r="AT6" s="1" t="s">
        <v>354</v>
      </c>
      <c r="BP6" s="1">
        <v>3</v>
      </c>
      <c r="BQ6" s="1" t="s">
        <v>4134</v>
      </c>
      <c r="BR6" s="1" t="s">
        <v>4135</v>
      </c>
      <c r="BS6" s="1" t="s">
        <v>4136</v>
      </c>
      <c r="BT6" s="1" t="s">
        <v>79</v>
      </c>
      <c r="BU6" s="1">
        <v>3</v>
      </c>
      <c r="BV6" s="1">
        <v>2</v>
      </c>
      <c r="BW6" s="1">
        <v>0</v>
      </c>
      <c r="BX6" s="1">
        <v>1</v>
      </c>
      <c r="BY6" s="1">
        <v>0</v>
      </c>
      <c r="BZ6" s="1">
        <v>0</v>
      </c>
      <c r="CA6" s="1">
        <v>0</v>
      </c>
      <c r="CB6" s="1">
        <v>0</v>
      </c>
      <c r="CC6" s="1">
        <v>0</v>
      </c>
      <c r="CD6" s="1">
        <v>0</v>
      </c>
      <c r="CE6" s="1">
        <v>0</v>
      </c>
      <c r="CF6" s="1">
        <v>0</v>
      </c>
      <c r="CG6" s="1">
        <v>0</v>
      </c>
      <c r="CH6" s="1">
        <v>0</v>
      </c>
      <c r="CI6" s="1">
        <v>0</v>
      </c>
      <c r="CJ6" s="1">
        <v>4</v>
      </c>
      <c r="CK6" s="1">
        <v>3</v>
      </c>
      <c r="CL6" s="1">
        <v>2</v>
      </c>
      <c r="CM6" s="1">
        <v>3</v>
      </c>
      <c r="CN6" s="1">
        <v>4</v>
      </c>
      <c r="CO6" s="1">
        <v>4</v>
      </c>
      <c r="CP6" s="1">
        <v>3</v>
      </c>
      <c r="CU6" s="1">
        <v>4</v>
      </c>
    </row>
    <row r="7" spans="1:99" x14ac:dyDescent="0.35">
      <c r="A7" s="1" t="s">
        <v>4137</v>
      </c>
      <c r="B7" s="1">
        <v>171244031</v>
      </c>
      <c r="C7" s="1">
        <v>0</v>
      </c>
      <c r="D7" s="1">
        <v>1</v>
      </c>
      <c r="E7" s="1">
        <v>0</v>
      </c>
      <c r="F7" s="1">
        <v>0</v>
      </c>
      <c r="G7" s="1">
        <v>0</v>
      </c>
      <c r="H7" s="1">
        <v>1</v>
      </c>
      <c r="I7" s="1">
        <v>0</v>
      </c>
      <c r="J7" s="1">
        <v>0</v>
      </c>
      <c r="K7" s="1">
        <v>1</v>
      </c>
      <c r="L7" s="1">
        <v>0</v>
      </c>
      <c r="M7" s="1">
        <v>0</v>
      </c>
      <c r="N7" s="1">
        <v>0</v>
      </c>
      <c r="O7" s="1">
        <v>0</v>
      </c>
      <c r="P7" s="1">
        <v>7</v>
      </c>
      <c r="Q7" s="1">
        <v>5</v>
      </c>
      <c r="R7" s="1">
        <v>3</v>
      </c>
      <c r="S7" s="1">
        <v>1</v>
      </c>
      <c r="T7" s="1">
        <v>1</v>
      </c>
      <c r="U7" s="1">
        <v>4</v>
      </c>
      <c r="V7" s="1">
        <v>3</v>
      </c>
      <c r="W7" s="1">
        <v>3</v>
      </c>
      <c r="X7" s="1">
        <v>4</v>
      </c>
      <c r="Y7" s="1">
        <v>3</v>
      </c>
      <c r="Z7" s="1">
        <v>4</v>
      </c>
      <c r="AA7" s="1">
        <v>4</v>
      </c>
      <c r="AC7" s="1">
        <v>1</v>
      </c>
      <c r="AD7" s="1">
        <v>5</v>
      </c>
      <c r="AF7" s="3">
        <v>6200000</v>
      </c>
      <c r="AG7" s="1">
        <v>16</v>
      </c>
      <c r="AW7" s="1" t="s">
        <v>1819</v>
      </c>
      <c r="BP7" s="1">
        <v>3</v>
      </c>
      <c r="BQ7" s="1" t="s">
        <v>4138</v>
      </c>
      <c r="BR7" s="1" t="s">
        <v>4139</v>
      </c>
      <c r="BT7" s="1" t="s">
        <v>79</v>
      </c>
      <c r="BU7" s="1">
        <v>1</v>
      </c>
      <c r="BV7" s="1">
        <v>2</v>
      </c>
      <c r="BW7" s="1">
        <v>1</v>
      </c>
      <c r="BX7" s="1">
        <v>0</v>
      </c>
      <c r="BY7" s="1">
        <v>0</v>
      </c>
      <c r="BZ7" s="1">
        <v>0</v>
      </c>
      <c r="CA7" s="1">
        <v>0</v>
      </c>
      <c r="CB7" s="1">
        <v>0</v>
      </c>
      <c r="CC7" s="1">
        <v>0</v>
      </c>
      <c r="CD7" s="1">
        <v>0</v>
      </c>
      <c r="CE7" s="1">
        <v>0</v>
      </c>
      <c r="CF7" s="1">
        <v>0</v>
      </c>
      <c r="CG7" s="1">
        <v>0</v>
      </c>
      <c r="CH7" s="1">
        <v>0</v>
      </c>
      <c r="CI7" s="1">
        <v>0</v>
      </c>
      <c r="CJ7" s="1">
        <v>4</v>
      </c>
      <c r="CK7" s="1">
        <v>3</v>
      </c>
      <c r="CL7" s="1">
        <v>3</v>
      </c>
      <c r="CM7" s="1">
        <v>4</v>
      </c>
      <c r="CN7" s="1">
        <v>4</v>
      </c>
      <c r="CO7" s="1">
        <v>4</v>
      </c>
      <c r="CP7" s="1">
        <v>4</v>
      </c>
      <c r="CU7" s="1">
        <v>4</v>
      </c>
    </row>
    <row r="8" spans="1:99" x14ac:dyDescent="0.35">
      <c r="A8" s="1" t="s">
        <v>4140</v>
      </c>
      <c r="B8" s="1">
        <v>171244032</v>
      </c>
      <c r="C8" s="1">
        <v>0</v>
      </c>
      <c r="D8" s="1">
        <v>1</v>
      </c>
      <c r="E8" s="1">
        <v>0</v>
      </c>
      <c r="F8" s="1">
        <v>1</v>
      </c>
      <c r="G8" s="1">
        <v>0</v>
      </c>
      <c r="H8" s="1">
        <v>1</v>
      </c>
      <c r="I8" s="1">
        <v>0</v>
      </c>
      <c r="J8" s="1">
        <v>0</v>
      </c>
      <c r="K8" s="1">
        <v>1</v>
      </c>
      <c r="L8" s="1">
        <v>0</v>
      </c>
      <c r="M8" s="1">
        <v>0</v>
      </c>
      <c r="N8" s="1">
        <v>0</v>
      </c>
      <c r="O8" s="1">
        <v>0</v>
      </c>
      <c r="P8" s="1" t="s">
        <v>570</v>
      </c>
      <c r="Q8" s="1" t="s">
        <v>570</v>
      </c>
      <c r="R8" s="1">
        <v>9</v>
      </c>
      <c r="S8" s="1">
        <v>1</v>
      </c>
      <c r="T8" s="1">
        <v>1</v>
      </c>
      <c r="U8" s="1">
        <v>4</v>
      </c>
      <c r="V8" s="1">
        <v>4</v>
      </c>
      <c r="W8" s="1">
        <v>4</v>
      </c>
      <c r="X8" s="1">
        <v>4</v>
      </c>
      <c r="Y8" s="1">
        <v>4</v>
      </c>
      <c r="Z8" s="1">
        <v>4</v>
      </c>
      <c r="AA8" s="1">
        <v>4</v>
      </c>
      <c r="AC8" s="1">
        <v>1</v>
      </c>
      <c r="AD8" s="1">
        <v>5</v>
      </c>
      <c r="AF8" s="3">
        <v>6584000</v>
      </c>
      <c r="AG8" s="1">
        <v>13</v>
      </c>
      <c r="AT8" s="1" t="s">
        <v>83</v>
      </c>
      <c r="BP8" s="1">
        <v>3</v>
      </c>
      <c r="BQ8" s="1" t="s">
        <v>4141</v>
      </c>
      <c r="BR8" s="1" t="s">
        <v>4142</v>
      </c>
      <c r="BS8" s="1" t="s">
        <v>4143</v>
      </c>
      <c r="BT8" s="1" t="s">
        <v>73</v>
      </c>
      <c r="BU8" s="1">
        <v>1</v>
      </c>
      <c r="BV8" s="1">
        <v>2</v>
      </c>
      <c r="BW8" s="1">
        <v>1</v>
      </c>
      <c r="BX8" s="1">
        <v>0</v>
      </c>
      <c r="BY8" s="1">
        <v>0</v>
      </c>
      <c r="BZ8" s="1">
        <v>0</v>
      </c>
      <c r="CA8" s="1">
        <v>0</v>
      </c>
      <c r="CB8" s="1">
        <v>0</v>
      </c>
      <c r="CC8" s="1">
        <v>0</v>
      </c>
      <c r="CD8" s="1">
        <v>0</v>
      </c>
      <c r="CE8" s="1">
        <v>0</v>
      </c>
      <c r="CF8" s="1">
        <v>0</v>
      </c>
      <c r="CG8" s="1">
        <v>0</v>
      </c>
      <c r="CH8" s="1">
        <v>0</v>
      </c>
      <c r="CI8" s="1">
        <v>0</v>
      </c>
      <c r="CJ8" s="1">
        <v>4</v>
      </c>
      <c r="CK8" s="1">
        <v>4</v>
      </c>
      <c r="CL8" s="1">
        <v>3</v>
      </c>
      <c r="CM8" s="1">
        <v>4</v>
      </c>
      <c r="CN8" s="1">
        <v>4</v>
      </c>
      <c r="CO8" s="1">
        <v>4</v>
      </c>
      <c r="CP8" s="1">
        <v>4</v>
      </c>
      <c r="CU8" s="1">
        <v>1</v>
      </c>
    </row>
    <row r="9" spans="1:99" x14ac:dyDescent="0.35">
      <c r="A9" s="1" t="s">
        <v>4283</v>
      </c>
      <c r="B9" s="1">
        <v>161244016</v>
      </c>
    </row>
    <row r="10" spans="1:99" x14ac:dyDescent="0.35">
      <c r="A10" s="1" t="s">
        <v>4284</v>
      </c>
      <c r="B10" s="1">
        <v>161244021</v>
      </c>
    </row>
    <row r="11" spans="1:99" x14ac:dyDescent="0.35">
      <c r="A11" s="1" t="s">
        <v>4285</v>
      </c>
      <c r="B11" s="1">
        <v>171244003</v>
      </c>
    </row>
    <row r="12" spans="1:99" x14ac:dyDescent="0.35">
      <c r="A12" s="1" t="s">
        <v>4286</v>
      </c>
      <c r="B12" s="1">
        <v>171244005</v>
      </c>
    </row>
    <row r="13" spans="1:99" x14ac:dyDescent="0.35">
      <c r="A13" s="1" t="s">
        <v>4287</v>
      </c>
      <c r="B13" s="1">
        <v>171244007</v>
      </c>
    </row>
    <row r="14" spans="1:99" x14ac:dyDescent="0.35">
      <c r="A14" s="1" t="s">
        <v>4288</v>
      </c>
      <c r="B14" s="1">
        <v>171244009</v>
      </c>
    </row>
    <row r="15" spans="1:99" x14ac:dyDescent="0.35">
      <c r="A15" s="1" t="s">
        <v>4289</v>
      </c>
      <c r="B15" s="1">
        <v>171244010</v>
      </c>
    </row>
    <row r="16" spans="1:99" x14ac:dyDescent="0.35">
      <c r="A16" s="1" t="s">
        <v>4290</v>
      </c>
      <c r="B16" s="1">
        <v>171244011</v>
      </c>
    </row>
    <row r="17" spans="1:2" x14ac:dyDescent="0.35">
      <c r="A17" s="1" t="s">
        <v>4291</v>
      </c>
      <c r="B17" s="1">
        <v>171244012</v>
      </c>
    </row>
    <row r="18" spans="1:2" x14ac:dyDescent="0.35">
      <c r="A18" s="1" t="s">
        <v>4292</v>
      </c>
      <c r="B18" s="1">
        <v>171244013</v>
      </c>
    </row>
    <row r="19" spans="1:2" x14ac:dyDescent="0.35">
      <c r="A19" s="1" t="s">
        <v>4293</v>
      </c>
      <c r="B19" s="1">
        <v>171244014</v>
      </c>
    </row>
    <row r="20" spans="1:2" x14ac:dyDescent="0.35">
      <c r="A20" s="1" t="s">
        <v>4294</v>
      </c>
      <c r="B20" s="1">
        <v>171244015</v>
      </c>
    </row>
    <row r="21" spans="1:2" x14ac:dyDescent="0.35">
      <c r="A21" s="1" t="s">
        <v>4295</v>
      </c>
      <c r="B21" s="1">
        <v>171244016</v>
      </c>
    </row>
    <row r="22" spans="1:2" x14ac:dyDescent="0.35">
      <c r="A22" s="1" t="s">
        <v>4296</v>
      </c>
      <c r="B22" s="1">
        <v>171244018</v>
      </c>
    </row>
    <row r="23" spans="1:2" x14ac:dyDescent="0.35">
      <c r="A23" s="1" t="s">
        <v>4297</v>
      </c>
      <c r="B23" s="1">
        <v>171244020</v>
      </c>
    </row>
    <row r="24" spans="1:2" x14ac:dyDescent="0.35">
      <c r="A24" s="1" t="s">
        <v>4298</v>
      </c>
      <c r="B24" s="1">
        <v>171244021</v>
      </c>
    </row>
    <row r="25" spans="1:2" x14ac:dyDescent="0.35">
      <c r="A25" s="1" t="s">
        <v>4299</v>
      </c>
      <c r="B25" s="1">
        <v>171244022</v>
      </c>
    </row>
    <row r="26" spans="1:2" x14ac:dyDescent="0.35">
      <c r="A26" s="1" t="s">
        <v>4300</v>
      </c>
      <c r="B26" s="1">
        <v>171244023</v>
      </c>
    </row>
    <row r="27" spans="1:2" x14ac:dyDescent="0.35">
      <c r="A27" s="1" t="s">
        <v>4301</v>
      </c>
      <c r="B27" s="1">
        <v>171244024</v>
      </c>
    </row>
    <row r="28" spans="1:2" x14ac:dyDescent="0.35">
      <c r="A28" s="1" t="s">
        <v>4302</v>
      </c>
      <c r="B28" s="1">
        <v>171244025</v>
      </c>
    </row>
    <row r="29" spans="1:2" x14ac:dyDescent="0.35">
      <c r="A29" s="1" t="s">
        <v>4303</v>
      </c>
      <c r="B29" s="1">
        <v>171244026</v>
      </c>
    </row>
    <row r="30" spans="1:2" x14ac:dyDescent="0.35">
      <c r="A30" s="1" t="s">
        <v>4304</v>
      </c>
      <c r="B30" s="1">
        <v>171244028</v>
      </c>
    </row>
    <row r="31" spans="1:2" x14ac:dyDescent="0.35">
      <c r="A31" s="1" t="s">
        <v>4305</v>
      </c>
      <c r="B31" s="1">
        <v>171244029</v>
      </c>
    </row>
    <row r="32" spans="1:2" x14ac:dyDescent="0.35">
      <c r="A32" s="1" t="s">
        <v>4306</v>
      </c>
      <c r="B32" s="1">
        <v>171244030</v>
      </c>
    </row>
    <row r="33" spans="1:2" x14ac:dyDescent="0.35">
      <c r="A33" s="1" t="s">
        <v>887</v>
      </c>
      <c r="B33" s="1">
        <v>171244033</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767EAA-E20D-4914-96D5-EF0A99F58A70}">
  <dimension ref="A1"/>
  <sheetViews>
    <sheetView workbookViewId="0"/>
  </sheetViews>
  <sheetFormatPr defaultRowHeight="14.5"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37</vt:i4>
      </vt:variant>
      <vt:variant>
        <vt:lpstr>Named Ranges</vt:lpstr>
      </vt:variant>
      <vt:variant>
        <vt:i4>1</vt:i4>
      </vt:variant>
    </vt:vector>
  </HeadingPairs>
  <TitlesOfParts>
    <vt:vector size="38" baseType="lpstr">
      <vt:lpstr>D3 - Administrasi Bisnis</vt:lpstr>
      <vt:lpstr>D4 - Akuntansi</vt:lpstr>
      <vt:lpstr>D4 - Administrasi Bisnis</vt:lpstr>
      <vt:lpstr>D3 - Akuntansi</vt:lpstr>
      <vt:lpstr>D4 - Akuntansi Manajemen Pemeri</vt:lpstr>
      <vt:lpstr>D3 - Teknik Aeronautika</vt:lpstr>
      <vt:lpstr>D4 - Teknik Elektronika</vt:lpstr>
      <vt:lpstr>D3 - Teknik Elektronika</vt:lpstr>
      <vt:lpstr>D4 - Teknik Informatika</vt:lpstr>
      <vt:lpstr>D3 - Teknik Informatika</vt:lpstr>
      <vt:lpstr>D3 - Teknik Kimia</vt:lpstr>
      <vt:lpstr>D4 - Teknik Kimia Produksi Bers</vt:lpstr>
      <vt:lpstr>D4 - Teknik Konservasi Energi</vt:lpstr>
      <vt:lpstr>D3 - Teknik Konversi Energi</vt:lpstr>
      <vt:lpstr>D3 - Teknik Listrik</vt:lpstr>
      <vt:lpstr>D3 - Teknik Mesin</vt:lpstr>
      <vt:lpstr>D4 - Teknik Otomasi Industri</vt:lpstr>
      <vt:lpstr>D3 - Teknik Pendingin Dan Tata </vt:lpstr>
      <vt:lpstr>D4 - Teknik Perancangan dan Kon</vt:lpstr>
      <vt:lpstr>D4 - Teknik Perancangan Jalan D</vt:lpstr>
      <vt:lpstr>D4 - Teknik Perawatan Dan Perb</vt:lpstr>
      <vt:lpstr>D4 - Teknik Telekomunikasi</vt:lpstr>
      <vt:lpstr>D3 - Teknik Telekomunikasi</vt:lpstr>
      <vt:lpstr>D4 - Teknologi Pembangkit Tenag</vt:lpstr>
      <vt:lpstr>D3 - Usaha Perjalanan Wisata</vt:lpstr>
      <vt:lpstr>D3 - Analis Kimia</vt:lpstr>
      <vt:lpstr>D3 - Bahasa Inggris</vt:lpstr>
      <vt:lpstr>D3 - Keuangan Dan Perbankan</vt:lpstr>
      <vt:lpstr>D4 - Keuangan Syariah</vt:lpstr>
      <vt:lpstr>D4 - Manajemen Aset</vt:lpstr>
      <vt:lpstr>D4 - Manajemen Pemasaran</vt:lpstr>
      <vt:lpstr>D3 - Manajemen Pemasaran</vt:lpstr>
      <vt:lpstr>D4 - Teknik Pendingin dan Tata </vt:lpstr>
      <vt:lpstr>D3 - Teknik Konstruksi Gedung</vt:lpstr>
      <vt:lpstr>D3 - Teknik Konstruksi Sipil</vt:lpstr>
      <vt:lpstr>D4 - Proses Manufaktur</vt:lpstr>
      <vt:lpstr>Sheet1</vt:lpstr>
      <vt:lpst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ARIEF SUKINANTO</dc:creator>
  <cp:lastModifiedBy>RINDI INDRIANI</cp:lastModifiedBy>
  <dcterms:created xsi:type="dcterms:W3CDTF">2026-03-12T10:29:08Z</dcterms:created>
  <dcterms:modified xsi:type="dcterms:W3CDTF">2026-06-03T23:04:00Z</dcterms:modified>
</cp:coreProperties>
</file>